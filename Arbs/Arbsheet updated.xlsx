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gvaps1\USR6\CHGE\desktop\Fuel dashboard\Arbs\"/>
    </mc:Choice>
  </mc:AlternateContent>
  <xr:revisionPtr revIDLastSave="0" documentId="13_ncr:1_{4F1649E9-3661-4A55-A4E0-FB8B2881D08E}" xr6:coauthVersionLast="47" xr6:coauthVersionMax="47" xr10:uidLastSave="{00000000-0000-0000-0000-000000000000}"/>
  <bookViews>
    <workbookView xWindow="-120" yWindow="-120" windowWidth="29040" windowHeight="15720" tabRatio="807" xr2:uid="{00000000-000D-0000-FFFF-FFFF00000000}"/>
  </bookViews>
  <sheets>
    <sheet name="MAIN" sheetId="12" r:id="rId1"/>
    <sheet name="Premium" sheetId="2" r:id="rId2"/>
    <sheet name="Freight" sheetId="5" r:id="rId3"/>
    <sheet name="Loading Arrival" sheetId="3" r:id="rId4"/>
    <sheet name="ROTT TO USGC" sheetId="16" r:id="rId5"/>
    <sheet name="ROTT TO SING" sheetId="4" r:id="rId6"/>
    <sheet name="ROTT TO AG" sheetId="11" r:id="rId7"/>
    <sheet name="MED TO SING" sheetId="10" r:id="rId8"/>
    <sheet name="MED TO AG" sheetId="13" r:id="rId9"/>
    <sheet name="ROLLS HS" sheetId="8" r:id="rId10"/>
    <sheet name="ROLLS LS" sheetId="9" r:id="rId11"/>
    <sheet name="Mapping" sheetId="6" r:id="rId12"/>
    <sheet name="Tullet" sheetId="1" r:id="rId13"/>
    <sheet name="Tullet US" sheetId="15" r:id="rId14"/>
  </sheets>
  <definedNames>
    <definedName name="_xlnm.Print_Area" localSheetId="0">MAIN!$A$1:$L$199</definedName>
  </definedNames>
  <calcPr calcId="191029"/>
  <pivotCaches>
    <pivotCache cacheId="0" r:id="rId15"/>
    <pivotCache cacheId="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2" l="1"/>
  <c r="C15" i="2"/>
  <c r="B15" i="2"/>
  <c r="D30" i="2"/>
  <c r="B14" i="2"/>
  <c r="D14" i="2"/>
  <c r="C14" i="2"/>
  <c r="C30" i="2"/>
  <c r="B30" i="2"/>
  <c r="V32" i="15" l="1"/>
  <c r="V31" i="15"/>
  <c r="V30" i="15"/>
  <c r="V29" i="15"/>
  <c r="V28" i="15"/>
  <c r="V27" i="15"/>
  <c r="V26" i="15"/>
  <c r="V25" i="15"/>
  <c r="V24" i="15"/>
  <c r="AC51" i="15"/>
  <c r="AC50" i="15"/>
  <c r="AC49" i="15"/>
  <c r="AC48" i="15"/>
  <c r="Z48" i="15"/>
  <c r="W48" i="15"/>
  <c r="T48" i="15"/>
  <c r="Q48" i="15"/>
  <c r="N48" i="15"/>
  <c r="K48" i="15"/>
  <c r="H48" i="15"/>
  <c r="E48" i="15"/>
  <c r="B48" i="15"/>
  <c r="AF47" i="15"/>
  <c r="AC47" i="15"/>
  <c r="W47" i="15"/>
  <c r="T47" i="15"/>
  <c r="Q47" i="15"/>
  <c r="N47" i="15"/>
  <c r="K47" i="15"/>
  <c r="H47" i="15"/>
  <c r="E47" i="15"/>
  <c r="B47" i="15"/>
  <c r="AC46" i="15"/>
  <c r="W46" i="15"/>
  <c r="T46" i="15"/>
  <c r="Q46" i="15"/>
  <c r="N46" i="15"/>
  <c r="K46" i="15"/>
  <c r="H46" i="15"/>
  <c r="E46" i="15"/>
  <c r="B46" i="15"/>
  <c r="AG45" i="15"/>
  <c r="AF45" i="15"/>
  <c r="AC45" i="15"/>
  <c r="Z45" i="15"/>
  <c r="W45" i="15"/>
  <c r="T45" i="15"/>
  <c r="Q45" i="15"/>
  <c r="N45" i="15"/>
  <c r="K45" i="15"/>
  <c r="H45" i="15"/>
  <c r="E45" i="15"/>
  <c r="B45" i="15"/>
  <c r="AF44" i="15"/>
  <c r="AC44" i="15"/>
  <c r="W44" i="15"/>
  <c r="T44" i="15"/>
  <c r="Q44" i="15"/>
  <c r="N44" i="15"/>
  <c r="K44" i="15"/>
  <c r="H44" i="15"/>
  <c r="E44" i="15"/>
  <c r="B44" i="15"/>
  <c r="AG43" i="15"/>
  <c r="AF43" i="15"/>
  <c r="AC43" i="15"/>
  <c r="Z43" i="15"/>
  <c r="W43" i="15"/>
  <c r="T43" i="15"/>
  <c r="Q43" i="15"/>
  <c r="N43" i="15"/>
  <c r="K43" i="15"/>
  <c r="H43" i="15"/>
  <c r="E43" i="15"/>
  <c r="B43" i="15"/>
  <c r="Z39" i="15"/>
  <c r="T39" i="15"/>
  <c r="Q39" i="15"/>
  <c r="K39" i="15"/>
  <c r="H39" i="15"/>
  <c r="E39" i="15"/>
  <c r="B39" i="15"/>
  <c r="AC35" i="15"/>
  <c r="Z35" i="15"/>
  <c r="W35" i="15"/>
  <c r="T35" i="15"/>
  <c r="L35" i="15"/>
  <c r="K35" i="15"/>
  <c r="H35" i="15"/>
  <c r="AF34" i="15"/>
  <c r="AC34" i="15"/>
  <c r="Z34" i="15"/>
  <c r="W34" i="15"/>
  <c r="T34" i="15"/>
  <c r="Q34" i="15"/>
  <c r="N34" i="15"/>
  <c r="L34" i="15"/>
  <c r="K34" i="15"/>
  <c r="H34" i="15"/>
  <c r="B34" i="15"/>
  <c r="Z47" i="15" s="1"/>
  <c r="AF33" i="15"/>
  <c r="AC33" i="15"/>
  <c r="Z33" i="15"/>
  <c r="W33" i="15"/>
  <c r="T33" i="15"/>
  <c r="Q33" i="15"/>
  <c r="N33" i="15"/>
  <c r="L33" i="15"/>
  <c r="K33" i="15"/>
  <c r="H33" i="15"/>
  <c r="B33" i="15"/>
  <c r="AF50" i="15" s="1"/>
  <c r="AF32" i="15"/>
  <c r="AC32" i="15"/>
  <c r="Z32" i="15"/>
  <c r="W32" i="15"/>
  <c r="T32" i="15"/>
  <c r="Q32" i="15"/>
  <c r="N32" i="15"/>
  <c r="L32" i="15"/>
  <c r="K32" i="15"/>
  <c r="H32" i="15"/>
  <c r="B32" i="15"/>
  <c r="AF31" i="15"/>
  <c r="AC31" i="15"/>
  <c r="Z31" i="15"/>
  <c r="W31" i="15"/>
  <c r="T31" i="15"/>
  <c r="Q31" i="15"/>
  <c r="N31" i="15"/>
  <c r="L31" i="15"/>
  <c r="K31" i="15"/>
  <c r="H31" i="15"/>
  <c r="B31" i="15"/>
  <c r="AF30" i="15"/>
  <c r="AC30" i="15"/>
  <c r="Z30" i="15"/>
  <c r="W30" i="15"/>
  <c r="T30" i="15"/>
  <c r="Q30" i="15"/>
  <c r="N30" i="15"/>
  <c r="L30" i="15"/>
  <c r="K30" i="15"/>
  <c r="H30" i="15"/>
  <c r="B30" i="15"/>
  <c r="AF49" i="15" s="1"/>
  <c r="AF29" i="15"/>
  <c r="AC29" i="15"/>
  <c r="Z29" i="15"/>
  <c r="W29" i="15"/>
  <c r="T29" i="15"/>
  <c r="Q29" i="15"/>
  <c r="N29" i="15"/>
  <c r="L29" i="15"/>
  <c r="K29" i="15"/>
  <c r="H29" i="15"/>
  <c r="B29" i="15"/>
  <c r="AF48" i="15" s="1"/>
  <c r="AF28" i="15"/>
  <c r="AC28" i="15"/>
  <c r="Z28" i="15"/>
  <c r="W28" i="15"/>
  <c r="T28" i="15"/>
  <c r="Q28" i="15"/>
  <c r="N28" i="15"/>
  <c r="L28" i="15"/>
  <c r="K28" i="15"/>
  <c r="H28" i="15"/>
  <c r="B28" i="15"/>
  <c r="AF27" i="15"/>
  <c r="AC27" i="15"/>
  <c r="Z27" i="15"/>
  <c r="W27" i="15"/>
  <c r="T27" i="15"/>
  <c r="Q27" i="15"/>
  <c r="N27" i="15"/>
  <c r="L27" i="15"/>
  <c r="K27" i="15"/>
  <c r="H27" i="15"/>
  <c r="B27" i="15"/>
  <c r="AF46" i="15" s="1"/>
  <c r="AG26" i="15"/>
  <c r="AG27" i="15" s="1"/>
  <c r="AF26" i="15"/>
  <c r="AC26" i="15"/>
  <c r="Z26" i="15"/>
  <c r="W26" i="15"/>
  <c r="T26" i="15"/>
  <c r="R26" i="15"/>
  <c r="Q26" i="15"/>
  <c r="N26" i="15"/>
  <c r="L26" i="15"/>
  <c r="K26" i="15"/>
  <c r="H26" i="15"/>
  <c r="B26" i="15"/>
  <c r="AG25" i="15"/>
  <c r="AF25" i="15"/>
  <c r="AC25" i="15"/>
  <c r="Z25" i="15"/>
  <c r="W25" i="15"/>
  <c r="T25" i="15"/>
  <c r="R25" i="15"/>
  <c r="Q25" i="15"/>
  <c r="N25" i="15"/>
  <c r="L25" i="15"/>
  <c r="K25" i="15"/>
  <c r="H25" i="15"/>
  <c r="C25" i="15"/>
  <c r="C26" i="15" s="1"/>
  <c r="B25" i="15"/>
  <c r="Z44" i="15" s="1"/>
  <c r="AG24" i="15"/>
  <c r="AF24" i="15"/>
  <c r="AC24" i="15"/>
  <c r="Z24" i="15"/>
  <c r="W24" i="15"/>
  <c r="T24" i="15"/>
  <c r="R24" i="15"/>
  <c r="Q24" i="15"/>
  <c r="N24" i="15"/>
  <c r="L24" i="15"/>
  <c r="K24" i="15"/>
  <c r="H24" i="15"/>
  <c r="B24" i="15"/>
  <c r="AI21" i="15"/>
  <c r="AF21" i="15"/>
  <c r="AC21" i="15"/>
  <c r="Z21" i="15"/>
  <c r="W21" i="15"/>
  <c r="T21" i="15"/>
  <c r="Q21" i="15"/>
  <c r="N21" i="15"/>
  <c r="K21" i="15"/>
  <c r="B21" i="15"/>
  <c r="AI17" i="15"/>
  <c r="AF17" i="15"/>
  <c r="AC17" i="15"/>
  <c r="Z17" i="15"/>
  <c r="W17" i="15"/>
  <c r="T17" i="15"/>
  <c r="Q17" i="15"/>
  <c r="N17" i="15"/>
  <c r="K17" i="15"/>
  <c r="H17" i="15"/>
  <c r="AI16" i="15"/>
  <c r="AF16" i="15"/>
  <c r="AC16" i="15"/>
  <c r="Z16" i="15"/>
  <c r="W16" i="15"/>
  <c r="T16" i="15"/>
  <c r="Q16" i="15"/>
  <c r="N16" i="15"/>
  <c r="K16" i="15"/>
  <c r="H16" i="15"/>
  <c r="AI15" i="15"/>
  <c r="AF15" i="15"/>
  <c r="AC15" i="15"/>
  <c r="Z15" i="15"/>
  <c r="W15" i="15"/>
  <c r="T15" i="15"/>
  <c r="Q15" i="15"/>
  <c r="N15" i="15"/>
  <c r="K15" i="15"/>
  <c r="H15" i="15"/>
  <c r="AI14" i="15"/>
  <c r="AF14" i="15"/>
  <c r="AC14" i="15"/>
  <c r="Z14" i="15"/>
  <c r="W14" i="15"/>
  <c r="T14" i="15"/>
  <c r="Q14" i="15"/>
  <c r="N14" i="15"/>
  <c r="K14" i="15"/>
  <c r="H14" i="15"/>
  <c r="AI13" i="15"/>
  <c r="AF13" i="15"/>
  <c r="AC13" i="15"/>
  <c r="Z13" i="15"/>
  <c r="W13" i="15"/>
  <c r="T13" i="15"/>
  <c r="Q13" i="15"/>
  <c r="N13" i="15"/>
  <c r="K13" i="15"/>
  <c r="H13" i="15"/>
  <c r="AI12" i="15"/>
  <c r="AF12" i="15"/>
  <c r="AC12" i="15"/>
  <c r="Z12" i="15"/>
  <c r="W12" i="15"/>
  <c r="T12" i="15"/>
  <c r="Q12" i="15"/>
  <c r="N12" i="15"/>
  <c r="K12" i="15"/>
  <c r="H12" i="15"/>
  <c r="AI11" i="15"/>
  <c r="AF11" i="15"/>
  <c r="AC11" i="15"/>
  <c r="Z11" i="15"/>
  <c r="W11" i="15"/>
  <c r="T11" i="15"/>
  <c r="Q11" i="15"/>
  <c r="N11" i="15"/>
  <c r="K11" i="15"/>
  <c r="H11" i="15"/>
  <c r="AI10" i="15"/>
  <c r="AF10" i="15"/>
  <c r="AC10" i="15"/>
  <c r="Z10" i="15"/>
  <c r="W10" i="15"/>
  <c r="T10" i="15"/>
  <c r="Q10" i="15"/>
  <c r="N10" i="15"/>
  <c r="K10" i="15"/>
  <c r="H10" i="15"/>
  <c r="F10" i="15"/>
  <c r="E10" i="15"/>
  <c r="AI9" i="15"/>
  <c r="AF9" i="15"/>
  <c r="AC9" i="15"/>
  <c r="Z9" i="15"/>
  <c r="W9" i="15"/>
  <c r="T9" i="15"/>
  <c r="Q9" i="15"/>
  <c r="N9" i="15"/>
  <c r="K9" i="15"/>
  <c r="H9" i="15"/>
  <c r="F9" i="15"/>
  <c r="E9" i="15"/>
  <c r="AI8" i="15"/>
  <c r="AF8" i="15"/>
  <c r="AC8" i="15"/>
  <c r="Z8" i="15"/>
  <c r="W8" i="15"/>
  <c r="T8" i="15"/>
  <c r="Q8" i="15"/>
  <c r="N8" i="15"/>
  <c r="K8" i="15"/>
  <c r="H8" i="15"/>
  <c r="AI7" i="15"/>
  <c r="AF7" i="15"/>
  <c r="AC7" i="15"/>
  <c r="Z7" i="15"/>
  <c r="W7" i="15"/>
  <c r="T7" i="15"/>
  <c r="Q7" i="15"/>
  <c r="N7" i="15"/>
  <c r="K7" i="15"/>
  <c r="H7" i="15"/>
  <c r="AI6" i="15"/>
  <c r="AF6" i="15"/>
  <c r="AC6" i="15"/>
  <c r="Z6" i="15"/>
  <c r="W6" i="15"/>
  <c r="T6" i="15"/>
  <c r="Q6" i="15"/>
  <c r="N6" i="15"/>
  <c r="K6" i="15"/>
  <c r="H6" i="15"/>
  <c r="O26" i="15" l="1"/>
  <c r="C27" i="15"/>
  <c r="AG28" i="15"/>
  <c r="AG29" i="15" s="1"/>
  <c r="R27" i="15"/>
  <c r="R28" i="15" s="1"/>
  <c r="R29" i="15" s="1"/>
  <c r="Z46" i="15"/>
  <c r="AG46" i="15"/>
  <c r="AG47" i="15" s="1"/>
  <c r="AG48" i="15" s="1"/>
  <c r="C24" i="15"/>
  <c r="O25" i="15"/>
  <c r="AG49" i="15" l="1"/>
  <c r="AG50" i="15"/>
  <c r="R30" i="15"/>
  <c r="R31" i="15" s="1"/>
  <c r="R32" i="15" s="1"/>
  <c r="AG30" i="15"/>
  <c r="AG31" i="15" s="1"/>
  <c r="AG32" i="15" s="1"/>
  <c r="AG34" i="15"/>
  <c r="AG33" i="15"/>
  <c r="R33" i="15"/>
  <c r="C28" i="15"/>
  <c r="O27" i="15"/>
  <c r="O28" i="15" l="1"/>
  <c r="O33" i="15" s="1"/>
  <c r="C29" i="15"/>
  <c r="C33" i="15"/>
  <c r="R34" i="15"/>
  <c r="O29" i="15" l="1"/>
  <c r="C30" i="15"/>
  <c r="C31" i="15" l="1"/>
  <c r="O30" i="15"/>
  <c r="C34" i="15"/>
  <c r="C32" i="15" l="1"/>
  <c r="O32" i="15" s="1"/>
  <c r="O31" i="15"/>
  <c r="O34" i="15" s="1"/>
  <c r="A25" i="15" l="1"/>
  <c r="A26" i="15"/>
  <c r="A27" i="15"/>
  <c r="A28" i="15"/>
  <c r="A29" i="15"/>
  <c r="A30" i="15"/>
  <c r="A31" i="15"/>
  <c r="A32" i="15"/>
  <c r="A24" i="15"/>
  <c r="J263" i="12" l="1"/>
  <c r="K263" i="12"/>
  <c r="L263" i="12"/>
  <c r="J265" i="12"/>
  <c r="K265" i="12"/>
  <c r="L265" i="12"/>
  <c r="J266" i="12"/>
  <c r="K266" i="12"/>
  <c r="L266" i="12"/>
  <c r="J267" i="12"/>
  <c r="K267" i="12"/>
  <c r="L267" i="12"/>
  <c r="J269" i="12"/>
  <c r="K269" i="12"/>
  <c r="L269" i="12"/>
  <c r="J272" i="12"/>
  <c r="K272" i="12"/>
  <c r="L272" i="12"/>
  <c r="J273" i="12"/>
  <c r="K273" i="12"/>
  <c r="L273" i="12"/>
  <c r="J274" i="12"/>
  <c r="K274" i="12"/>
  <c r="L274" i="12"/>
  <c r="J275" i="12"/>
  <c r="K275" i="12"/>
  <c r="L275" i="12"/>
  <c r="J276" i="12"/>
  <c r="K276" i="12"/>
  <c r="L276" i="12"/>
  <c r="J239" i="12"/>
  <c r="K239" i="12"/>
  <c r="L239" i="12"/>
  <c r="J241" i="12"/>
  <c r="K241" i="12"/>
  <c r="L241" i="12"/>
  <c r="J242" i="12"/>
  <c r="K242" i="12"/>
  <c r="L242" i="12"/>
  <c r="J243" i="12"/>
  <c r="K243" i="12"/>
  <c r="L243" i="12"/>
  <c r="J245" i="12"/>
  <c r="K245" i="12"/>
  <c r="L245" i="12"/>
  <c r="J248" i="12"/>
  <c r="K248" i="12"/>
  <c r="L248" i="12"/>
  <c r="J249" i="12"/>
  <c r="K249" i="12"/>
  <c r="L249" i="12"/>
  <c r="J250" i="12"/>
  <c r="K250" i="12"/>
  <c r="L250" i="12"/>
  <c r="J251" i="12"/>
  <c r="K251" i="12"/>
  <c r="L251" i="12"/>
  <c r="J252" i="12"/>
  <c r="K252" i="12"/>
  <c r="L252" i="12"/>
  <c r="F263" i="12"/>
  <c r="G263" i="12"/>
  <c r="H263" i="12"/>
  <c r="F265" i="12"/>
  <c r="G265" i="12"/>
  <c r="H265" i="12"/>
  <c r="F266" i="12"/>
  <c r="G266" i="12"/>
  <c r="H266" i="12"/>
  <c r="F267" i="12"/>
  <c r="G267" i="12"/>
  <c r="H267" i="12"/>
  <c r="F269" i="12"/>
  <c r="G269" i="12"/>
  <c r="H269" i="12"/>
  <c r="F272" i="12"/>
  <c r="G272" i="12"/>
  <c r="H272" i="12"/>
  <c r="F273" i="12"/>
  <c r="G273" i="12"/>
  <c r="H273" i="12"/>
  <c r="F274" i="12"/>
  <c r="G274" i="12"/>
  <c r="H274" i="12"/>
  <c r="F275" i="12"/>
  <c r="G275" i="12"/>
  <c r="H275" i="12"/>
  <c r="F276" i="12"/>
  <c r="G276" i="12"/>
  <c r="H276" i="12"/>
  <c r="I280" i="12"/>
  <c r="I258" i="12"/>
  <c r="F239" i="12"/>
  <c r="G239" i="12"/>
  <c r="H239" i="12"/>
  <c r="F241" i="12"/>
  <c r="G241" i="12"/>
  <c r="H241" i="12"/>
  <c r="F242" i="12"/>
  <c r="G242" i="12"/>
  <c r="H242" i="12"/>
  <c r="F243" i="12"/>
  <c r="G243" i="12"/>
  <c r="H243" i="12"/>
  <c r="F245" i="12"/>
  <c r="G245" i="12"/>
  <c r="H245" i="12"/>
  <c r="F248" i="12"/>
  <c r="G248" i="12"/>
  <c r="H248" i="12"/>
  <c r="F249" i="12"/>
  <c r="G249" i="12"/>
  <c r="H249" i="12"/>
  <c r="F250" i="12"/>
  <c r="G250" i="12"/>
  <c r="H250" i="12"/>
  <c r="F251" i="12"/>
  <c r="G251" i="12"/>
  <c r="H251" i="12"/>
  <c r="F252" i="12"/>
  <c r="G252" i="12"/>
  <c r="H252" i="12"/>
  <c r="I256" i="12"/>
  <c r="I234" i="12"/>
  <c r="I233" i="12" s="1"/>
  <c r="C8" i="16"/>
  <c r="B8" i="16" s="1"/>
  <c r="N8" i="16"/>
  <c r="M8" i="16" s="1"/>
  <c r="M6" i="16"/>
  <c r="B6" i="16"/>
  <c r="G6" i="16" s="1"/>
  <c r="G238" i="12" s="1"/>
  <c r="D14" i="5"/>
  <c r="D13" i="5"/>
  <c r="R16" i="8"/>
  <c r="U20" i="16"/>
  <c r="T20" i="16"/>
  <c r="S20" i="16"/>
  <c r="R20" i="16"/>
  <c r="Q20" i="16"/>
  <c r="P20" i="16"/>
  <c r="J20" i="16"/>
  <c r="I20" i="16"/>
  <c r="H20" i="16"/>
  <c r="G20" i="16"/>
  <c r="F20" i="16"/>
  <c r="E20" i="16"/>
  <c r="U19" i="16"/>
  <c r="T19" i="16"/>
  <c r="S19" i="16"/>
  <c r="R19" i="16"/>
  <c r="Q19" i="16"/>
  <c r="P19" i="16"/>
  <c r="J19" i="16"/>
  <c r="I19" i="16"/>
  <c r="H19" i="16"/>
  <c r="G19" i="16"/>
  <c r="F19" i="16"/>
  <c r="E19" i="16"/>
  <c r="U18" i="16"/>
  <c r="T18" i="16"/>
  <c r="S18" i="16"/>
  <c r="R18" i="16"/>
  <c r="Q18" i="16"/>
  <c r="P18" i="16"/>
  <c r="J18" i="16"/>
  <c r="I18" i="16"/>
  <c r="H18" i="16"/>
  <c r="G18" i="16"/>
  <c r="F18" i="16"/>
  <c r="E18" i="16"/>
  <c r="U17" i="16"/>
  <c r="T17" i="16"/>
  <c r="S17" i="16"/>
  <c r="R17" i="16"/>
  <c r="Q17" i="16"/>
  <c r="P17" i="16"/>
  <c r="J17" i="16"/>
  <c r="I17" i="16"/>
  <c r="H17" i="16"/>
  <c r="G17" i="16"/>
  <c r="F17" i="16"/>
  <c r="E17" i="16"/>
  <c r="U16" i="16"/>
  <c r="T16" i="16"/>
  <c r="S16" i="16"/>
  <c r="R16" i="16"/>
  <c r="Q16" i="16"/>
  <c r="P16" i="16"/>
  <c r="J16" i="16"/>
  <c r="I16" i="16"/>
  <c r="H16" i="16"/>
  <c r="G16" i="16"/>
  <c r="F16" i="16"/>
  <c r="E16" i="16"/>
  <c r="U11" i="16"/>
  <c r="T11" i="16"/>
  <c r="S11" i="16"/>
  <c r="R11" i="16"/>
  <c r="Q11" i="16"/>
  <c r="P11" i="16"/>
  <c r="J11" i="16"/>
  <c r="I11" i="16"/>
  <c r="H11" i="16"/>
  <c r="G11" i="16"/>
  <c r="F11" i="16"/>
  <c r="E11" i="16"/>
  <c r="U10" i="16"/>
  <c r="T10" i="16"/>
  <c r="S10" i="16"/>
  <c r="R10" i="16"/>
  <c r="Q10" i="16"/>
  <c r="P10" i="16"/>
  <c r="J10" i="16"/>
  <c r="I10" i="16"/>
  <c r="H10" i="16"/>
  <c r="G10" i="16"/>
  <c r="F10" i="16"/>
  <c r="E10" i="16"/>
  <c r="U9" i="16"/>
  <c r="T9" i="16"/>
  <c r="S9" i="16"/>
  <c r="R9" i="16"/>
  <c r="Q9" i="16"/>
  <c r="P9" i="16"/>
  <c r="J9" i="16"/>
  <c r="I9" i="16"/>
  <c r="H9" i="16"/>
  <c r="G9" i="16"/>
  <c r="F9" i="16"/>
  <c r="E9" i="16"/>
  <c r="D2" i="5"/>
  <c r="G3" i="3"/>
  <c r="G5" i="3" s="1"/>
  <c r="B5" i="2"/>
  <c r="J211" i="12"/>
  <c r="K211" i="12"/>
  <c r="L211" i="12"/>
  <c r="J213" i="12"/>
  <c r="K213" i="12"/>
  <c r="L213" i="12"/>
  <c r="J214" i="12"/>
  <c r="K214" i="12"/>
  <c r="L214" i="12"/>
  <c r="J215" i="12"/>
  <c r="K215" i="12"/>
  <c r="L215" i="12"/>
  <c r="J217" i="12"/>
  <c r="K217" i="12"/>
  <c r="L217" i="12"/>
  <c r="J220" i="12"/>
  <c r="K220" i="12"/>
  <c r="L220" i="12"/>
  <c r="J221" i="12"/>
  <c r="K221" i="12"/>
  <c r="L221" i="12"/>
  <c r="J222" i="12"/>
  <c r="K222" i="12"/>
  <c r="L222" i="12"/>
  <c r="J223" i="12"/>
  <c r="K223" i="12"/>
  <c r="L223" i="12"/>
  <c r="J224" i="12"/>
  <c r="K224" i="12"/>
  <c r="L224" i="12"/>
  <c r="F211" i="12"/>
  <c r="G211" i="12"/>
  <c r="H211" i="12"/>
  <c r="F213" i="12"/>
  <c r="G213" i="12"/>
  <c r="H213" i="12"/>
  <c r="F214" i="12"/>
  <c r="G214" i="12"/>
  <c r="H214" i="12"/>
  <c r="F215" i="12"/>
  <c r="G215" i="12"/>
  <c r="H215" i="12"/>
  <c r="F217" i="12"/>
  <c r="G217" i="12"/>
  <c r="H217" i="12"/>
  <c r="F220" i="12"/>
  <c r="G220" i="12"/>
  <c r="H220" i="12"/>
  <c r="F221" i="12"/>
  <c r="G221" i="12"/>
  <c r="H221" i="12"/>
  <c r="F222" i="12"/>
  <c r="G222" i="12"/>
  <c r="H222" i="12"/>
  <c r="F223" i="12"/>
  <c r="G223" i="12"/>
  <c r="H223" i="12"/>
  <c r="F224" i="12"/>
  <c r="G224" i="12"/>
  <c r="H224" i="12"/>
  <c r="I208" i="12"/>
  <c r="E6" i="16" l="1"/>
  <c r="F238" i="12" s="1"/>
  <c r="F6" i="16"/>
  <c r="F262" i="12" s="1"/>
  <c r="K52" i="9"/>
  <c r="L52" i="8"/>
  <c r="J8" i="16"/>
  <c r="H264" i="12" s="1"/>
  <c r="I8" i="16"/>
  <c r="H240" i="12" s="1"/>
  <c r="H8" i="16"/>
  <c r="G264" i="12" s="1"/>
  <c r="G8" i="16"/>
  <c r="G240" i="12" s="1"/>
  <c r="F8" i="16"/>
  <c r="F264" i="12" s="1"/>
  <c r="E8" i="16"/>
  <c r="F240" i="12" s="1"/>
  <c r="S8" i="16"/>
  <c r="T8" i="16"/>
  <c r="R8" i="16"/>
  <c r="Q8" i="16"/>
  <c r="U8" i="16"/>
  <c r="P8" i="16"/>
  <c r="Q6" i="16"/>
  <c r="R6" i="16"/>
  <c r="H6" i="16"/>
  <c r="G262" i="12" s="1"/>
  <c r="J6" i="16"/>
  <c r="H262" i="12" s="1"/>
  <c r="P6" i="16"/>
  <c r="S6" i="16"/>
  <c r="T6" i="16"/>
  <c r="I6" i="16"/>
  <c r="H238" i="12" s="1"/>
  <c r="U6" i="16"/>
  <c r="G4" i="3"/>
  <c r="G8" i="3" s="1"/>
  <c r="H3" i="3"/>
  <c r="K55" i="9" s="1"/>
  <c r="K262" i="12" l="1"/>
  <c r="J262" i="12"/>
  <c r="L262" i="12"/>
  <c r="L240" i="12"/>
  <c r="J240" i="12"/>
  <c r="K240" i="12"/>
  <c r="L264" i="12"/>
  <c r="J264" i="12"/>
  <c r="K264" i="12"/>
  <c r="K238" i="12"/>
  <c r="J238" i="12"/>
  <c r="L238" i="12"/>
  <c r="L55" i="8"/>
  <c r="G6" i="3"/>
  <c r="G7" i="3" s="1"/>
  <c r="I3" i="3"/>
  <c r="K58" i="9" s="1"/>
  <c r="H5" i="3"/>
  <c r="I5" i="3" l="1"/>
  <c r="I4" i="3" s="1"/>
  <c r="L58" i="8"/>
  <c r="G9" i="3"/>
  <c r="F234" i="12" s="1"/>
  <c r="F236" i="12" s="1"/>
  <c r="H4" i="3"/>
  <c r="F258" i="12" l="1"/>
  <c r="F260" i="12" s="1"/>
  <c r="F256" i="12"/>
  <c r="F237" i="12" s="1"/>
  <c r="J234" i="12"/>
  <c r="J236" i="12" s="1"/>
  <c r="F233" i="12"/>
  <c r="F24" i="16"/>
  <c r="F15" i="16" s="1"/>
  <c r="F271" i="12" s="1"/>
  <c r="E25" i="16"/>
  <c r="P25" i="16" s="1"/>
  <c r="K53" i="9"/>
  <c r="E24" i="16"/>
  <c r="E15" i="16" s="1"/>
  <c r="L53" i="8"/>
  <c r="I6" i="3"/>
  <c r="I7" i="3" s="1"/>
  <c r="I8" i="3"/>
  <c r="H6" i="3"/>
  <c r="H7" i="3" s="1"/>
  <c r="H8" i="3"/>
  <c r="J258" i="12" l="1"/>
  <c r="J260" i="12" s="1"/>
  <c r="F280" i="12"/>
  <c r="F261" i="12" s="1"/>
  <c r="J233" i="12"/>
  <c r="J256" i="12"/>
  <c r="J237" i="12" s="1"/>
  <c r="B15" i="16"/>
  <c r="H9" i="3"/>
  <c r="I9" i="3"/>
  <c r="J280" i="12" l="1"/>
  <c r="J261" i="12" s="1"/>
  <c r="I25" i="16"/>
  <c r="T25" i="16" s="1"/>
  <c r="H234" i="12"/>
  <c r="G25" i="16"/>
  <c r="R25" i="16" s="1"/>
  <c r="G234" i="12"/>
  <c r="I24" i="16"/>
  <c r="I15" i="16" s="1"/>
  <c r="J24" i="16"/>
  <c r="J15" i="16" s="1"/>
  <c r="H271" i="12" s="1"/>
  <c r="G24" i="16"/>
  <c r="G15" i="16" s="1"/>
  <c r="H24" i="16"/>
  <c r="H15" i="16" s="1"/>
  <c r="G271" i="12" s="1"/>
  <c r="K56" i="9"/>
  <c r="L59" i="8"/>
  <c r="K59" i="9"/>
  <c r="L56" i="8"/>
  <c r="G236" i="12" l="1"/>
  <c r="G258" i="12"/>
  <c r="H236" i="12"/>
  <c r="H258" i="12"/>
  <c r="L234" i="12"/>
  <c r="H256" i="12"/>
  <c r="H237" i="12" s="1"/>
  <c r="K234" i="12"/>
  <c r="G256" i="12"/>
  <c r="G237" i="12" s="1"/>
  <c r="H233" i="12"/>
  <c r="G233" i="12"/>
  <c r="B11" i="2"/>
  <c r="B24" i="2"/>
  <c r="H280" i="12" l="1"/>
  <c r="H261" i="12" s="1"/>
  <c r="L258" i="12"/>
  <c r="H260" i="12"/>
  <c r="K258" i="12"/>
  <c r="G280" i="12"/>
  <c r="G261" i="12" s="1"/>
  <c r="G260" i="12"/>
  <c r="K256" i="12"/>
  <c r="K237" i="12" s="1"/>
  <c r="K236" i="12"/>
  <c r="L256" i="12"/>
  <c r="L237" i="12" s="1"/>
  <c r="L236" i="12"/>
  <c r="K233" i="12"/>
  <c r="L233" i="12"/>
  <c r="B6" i="10"/>
  <c r="E6" i="10" s="1"/>
  <c r="F155" i="12" s="1"/>
  <c r="K280" i="12" l="1"/>
  <c r="K261" i="12" s="1"/>
  <c r="K260" i="12"/>
  <c r="L280" i="12"/>
  <c r="L261" i="12" s="1"/>
  <c r="L260" i="12"/>
  <c r="B12" i="2"/>
  <c r="Y18" i="4" l="1"/>
  <c r="B3" i="3"/>
  <c r="B11" i="3"/>
  <c r="B20" i="3"/>
  <c r="B8" i="4"/>
  <c r="E8" i="4" s="1"/>
  <c r="E4" i="11" l="1"/>
  <c r="B14" i="11" s="1"/>
  <c r="E4" i="16"/>
  <c r="B14" i="16" s="1"/>
  <c r="J3" i="2"/>
  <c r="C3" i="3"/>
  <c r="Z5" i="4"/>
  <c r="Z6" i="4" s="1"/>
  <c r="Y5" i="4"/>
  <c r="O5" i="4"/>
  <c r="O6" i="4" s="1"/>
  <c r="N5" i="4"/>
  <c r="E6" i="4"/>
  <c r="F6" i="4" s="1"/>
  <c r="B5" i="3"/>
  <c r="B4" i="3" s="1"/>
  <c r="E5" i="4"/>
  <c r="B16" i="4" s="1"/>
  <c r="C5" i="2"/>
  <c r="D5" i="2"/>
  <c r="B12" i="16" l="1"/>
  <c r="P4" i="16"/>
  <c r="F12" i="16"/>
  <c r="F268" i="12" s="1"/>
  <c r="F14" i="16"/>
  <c r="F270" i="12" s="1"/>
  <c r="E14" i="16"/>
  <c r="E12" i="16"/>
  <c r="Y6" i="4"/>
  <c r="V16" i="4"/>
  <c r="N6" i="4"/>
  <c r="K16" i="4"/>
  <c r="B14" i="4"/>
  <c r="H6" i="4"/>
  <c r="G5" i="4"/>
  <c r="G6" i="4"/>
  <c r="B6" i="13"/>
  <c r="M12" i="16" l="1"/>
  <c r="M14" i="16"/>
  <c r="F246" i="12"/>
  <c r="E21" i="16"/>
  <c r="F244" i="12"/>
  <c r="P14" i="16"/>
  <c r="Q12" i="16"/>
  <c r="P12" i="16"/>
  <c r="Q14" i="16"/>
  <c r="C10" i="4"/>
  <c r="B10" i="4" s="1"/>
  <c r="E10" i="4" s="1"/>
  <c r="K268" i="12" l="1"/>
  <c r="J268" i="12"/>
  <c r="L268" i="12"/>
  <c r="K270" i="12"/>
  <c r="J270" i="12"/>
  <c r="L270" i="12"/>
  <c r="K244" i="12"/>
  <c r="J244" i="12"/>
  <c r="L244" i="12"/>
  <c r="K246" i="12"/>
  <c r="L246" i="12"/>
  <c r="J246" i="12"/>
  <c r="C5" i="3"/>
  <c r="C4" i="3" s="1"/>
  <c r="U16" i="2"/>
  <c r="V16" i="2" s="1"/>
  <c r="U15" i="2"/>
  <c r="V15" i="2" s="1"/>
  <c r="V18" i="2" s="1"/>
  <c r="C11" i="2" l="1"/>
  <c r="C12" i="2" s="1"/>
  <c r="D11" i="2"/>
  <c r="D12" i="2" s="1"/>
  <c r="C27" i="2" l="1"/>
  <c r="D27" i="2" s="1"/>
  <c r="D3" i="5" l="1"/>
  <c r="D4" i="5"/>
  <c r="D5" i="5"/>
  <c r="D6" i="5"/>
  <c r="D8" i="5"/>
  <c r="D9" i="5"/>
  <c r="D10" i="5"/>
  <c r="D11" i="5"/>
  <c r="I101" i="12"/>
  <c r="I151" i="12"/>
  <c r="I150" i="12" s="1"/>
  <c r="H195" i="12"/>
  <c r="H194" i="12"/>
  <c r="G194" i="12"/>
  <c r="J193" i="12"/>
  <c r="H193" i="12"/>
  <c r="G193" i="12"/>
  <c r="H192" i="12"/>
  <c r="G192" i="12"/>
  <c r="H191" i="12"/>
  <c r="L188" i="12"/>
  <c r="K188" i="12"/>
  <c r="J188" i="12"/>
  <c r="H188" i="12"/>
  <c r="G188" i="12"/>
  <c r="F188" i="12"/>
  <c r="L182" i="12"/>
  <c r="K182" i="12"/>
  <c r="J182" i="12"/>
  <c r="H182" i="12"/>
  <c r="G182" i="12"/>
  <c r="F182" i="12"/>
  <c r="T25" i="13"/>
  <c r="R25" i="13"/>
  <c r="P25" i="13"/>
  <c r="I25" i="13"/>
  <c r="G25" i="13"/>
  <c r="E25" i="13"/>
  <c r="U20" i="13"/>
  <c r="T20" i="13"/>
  <c r="L195" i="12" s="1"/>
  <c r="S20" i="13"/>
  <c r="R20" i="13"/>
  <c r="K195" i="12" s="1"/>
  <c r="Q20" i="13"/>
  <c r="P20" i="13"/>
  <c r="J195" i="12" s="1"/>
  <c r="J20" i="13"/>
  <c r="I20" i="13"/>
  <c r="H20" i="13"/>
  <c r="G20" i="13"/>
  <c r="G195" i="12" s="1"/>
  <c r="F20" i="13"/>
  <c r="E20" i="13"/>
  <c r="F195" i="12" s="1"/>
  <c r="U19" i="13"/>
  <c r="T19" i="13"/>
  <c r="L194" i="12" s="1"/>
  <c r="S19" i="13"/>
  <c r="R19" i="13"/>
  <c r="K194" i="12" s="1"/>
  <c r="Q19" i="13"/>
  <c r="P19" i="13"/>
  <c r="J194" i="12" s="1"/>
  <c r="J19" i="13"/>
  <c r="I19" i="13"/>
  <c r="H19" i="13"/>
  <c r="G19" i="13"/>
  <c r="F19" i="13"/>
  <c r="E19" i="13"/>
  <c r="F194" i="12" s="1"/>
  <c r="U18" i="13"/>
  <c r="T18" i="13"/>
  <c r="L193" i="12" s="1"/>
  <c r="S18" i="13"/>
  <c r="R18" i="13"/>
  <c r="K193" i="12" s="1"/>
  <c r="Q18" i="13"/>
  <c r="P18" i="13"/>
  <c r="J18" i="13"/>
  <c r="I18" i="13"/>
  <c r="H18" i="13"/>
  <c r="G18" i="13"/>
  <c r="F18" i="13"/>
  <c r="E18" i="13"/>
  <c r="F193" i="12" s="1"/>
  <c r="U17" i="13"/>
  <c r="T17" i="13"/>
  <c r="L192" i="12" s="1"/>
  <c r="S17" i="13"/>
  <c r="R17" i="13"/>
  <c r="K192" i="12" s="1"/>
  <c r="Q17" i="13"/>
  <c r="P17" i="13"/>
  <c r="J192" i="12" s="1"/>
  <c r="J17" i="13"/>
  <c r="I17" i="13"/>
  <c r="H17" i="13"/>
  <c r="G17" i="13"/>
  <c r="F17" i="13"/>
  <c r="E17" i="13"/>
  <c r="F192" i="12" s="1"/>
  <c r="U16" i="13"/>
  <c r="T16" i="13"/>
  <c r="L191" i="12" s="1"/>
  <c r="S16" i="13"/>
  <c r="R16" i="13"/>
  <c r="K191" i="12" s="1"/>
  <c r="Q16" i="13"/>
  <c r="P16" i="13"/>
  <c r="J191" i="12" s="1"/>
  <c r="J16" i="13"/>
  <c r="I16" i="13"/>
  <c r="H16" i="13"/>
  <c r="G16" i="13"/>
  <c r="G191" i="12" s="1"/>
  <c r="F16" i="13"/>
  <c r="E16" i="13"/>
  <c r="F191" i="12" s="1"/>
  <c r="U11" i="13"/>
  <c r="T11" i="13"/>
  <c r="L186" i="12" s="1"/>
  <c r="S11" i="13"/>
  <c r="R11" i="13"/>
  <c r="K186" i="12" s="1"/>
  <c r="Q11" i="13"/>
  <c r="P11" i="13"/>
  <c r="J186" i="12" s="1"/>
  <c r="J11" i="13"/>
  <c r="I11" i="13"/>
  <c r="H186" i="12" s="1"/>
  <c r="H11" i="13"/>
  <c r="G11" i="13"/>
  <c r="G186" i="12" s="1"/>
  <c r="F11" i="13"/>
  <c r="E11" i="13"/>
  <c r="F186" i="12" s="1"/>
  <c r="U10" i="13"/>
  <c r="T10" i="13"/>
  <c r="L185" i="12" s="1"/>
  <c r="S10" i="13"/>
  <c r="R10" i="13"/>
  <c r="K185" i="12" s="1"/>
  <c r="Q10" i="13"/>
  <c r="P10" i="13"/>
  <c r="J185" i="12" s="1"/>
  <c r="J10" i="13"/>
  <c r="I10" i="13"/>
  <c r="H185" i="12" s="1"/>
  <c r="H10" i="13"/>
  <c r="G10" i="13"/>
  <c r="G185" i="12" s="1"/>
  <c r="F10" i="13"/>
  <c r="E10" i="13"/>
  <c r="F185" i="12" s="1"/>
  <c r="U9" i="13"/>
  <c r="T9" i="13"/>
  <c r="L184" i="12" s="1"/>
  <c r="S9" i="13"/>
  <c r="R9" i="13"/>
  <c r="K184" i="12" s="1"/>
  <c r="Q9" i="13"/>
  <c r="P9" i="13"/>
  <c r="J184" i="12" s="1"/>
  <c r="J9" i="13"/>
  <c r="I9" i="13"/>
  <c r="H184" i="12" s="1"/>
  <c r="H9" i="13"/>
  <c r="G9" i="13"/>
  <c r="G184" i="12" s="1"/>
  <c r="F9" i="13"/>
  <c r="E9" i="13"/>
  <c r="F184" i="12" s="1"/>
  <c r="N8" i="13"/>
  <c r="M8" i="13" s="1"/>
  <c r="C8" i="13"/>
  <c r="B8" i="13" s="1"/>
  <c r="E8" i="13" s="1"/>
  <c r="F183" i="12" s="1"/>
  <c r="M6" i="13"/>
  <c r="P6" i="13" s="1"/>
  <c r="J181" i="12" s="1"/>
  <c r="F6" i="13"/>
  <c r="I177" i="12"/>
  <c r="I176" i="12" s="1"/>
  <c r="G6" i="13" l="1"/>
  <c r="G181" i="12" s="1"/>
  <c r="H6" i="13"/>
  <c r="I6" i="13"/>
  <c r="H181" i="12" s="1"/>
  <c r="J6" i="13"/>
  <c r="S8" i="13"/>
  <c r="U8" i="13"/>
  <c r="R8" i="13"/>
  <c r="K183" i="12" s="1"/>
  <c r="Q8" i="13"/>
  <c r="P8" i="13"/>
  <c r="J183" i="12" s="1"/>
  <c r="T8" i="13"/>
  <c r="L183" i="12" s="1"/>
  <c r="Q6" i="13"/>
  <c r="R6" i="13"/>
  <c r="K181" i="12" s="1"/>
  <c r="S6" i="13"/>
  <c r="T6" i="13"/>
  <c r="L181" i="12" s="1"/>
  <c r="U6" i="13"/>
  <c r="F8" i="13"/>
  <c r="G8" i="13"/>
  <c r="G183" i="12" s="1"/>
  <c r="H8" i="13"/>
  <c r="E6" i="13"/>
  <c r="F181" i="12" s="1"/>
  <c r="J8" i="13"/>
  <c r="I8" i="13"/>
  <c r="H183" i="12" s="1"/>
  <c r="L162" i="12"/>
  <c r="K162" i="12"/>
  <c r="L156" i="12"/>
  <c r="K156" i="12"/>
  <c r="J156" i="12"/>
  <c r="J162" i="12"/>
  <c r="H156" i="12"/>
  <c r="H162" i="12"/>
  <c r="G156" i="12"/>
  <c r="G162" i="12"/>
  <c r="F156" i="12"/>
  <c r="F162" i="12"/>
  <c r="L135" i="12"/>
  <c r="K135" i="12"/>
  <c r="J135" i="12"/>
  <c r="L129" i="12"/>
  <c r="K129" i="12"/>
  <c r="J129" i="12"/>
  <c r="L113" i="12"/>
  <c r="K113" i="12"/>
  <c r="J113" i="12"/>
  <c r="L107" i="12"/>
  <c r="K107" i="12"/>
  <c r="J107" i="12"/>
  <c r="L86" i="12"/>
  <c r="K86" i="12"/>
  <c r="J86" i="12"/>
  <c r="L80" i="12"/>
  <c r="K80" i="12"/>
  <c r="J80" i="12"/>
  <c r="L64" i="12"/>
  <c r="K64" i="12"/>
  <c r="J64" i="12"/>
  <c r="L58" i="12"/>
  <c r="K58" i="12"/>
  <c r="J58" i="12"/>
  <c r="L39" i="12"/>
  <c r="K39" i="12"/>
  <c r="J39" i="12"/>
  <c r="L33" i="12"/>
  <c r="K33" i="12"/>
  <c r="J33" i="12"/>
  <c r="L17" i="12"/>
  <c r="K17" i="12"/>
  <c r="J17" i="12"/>
  <c r="L11" i="12"/>
  <c r="K11" i="12"/>
  <c r="J11" i="12"/>
  <c r="H135" i="12"/>
  <c r="G135" i="12"/>
  <c r="F135" i="12"/>
  <c r="H129" i="12"/>
  <c r="G129" i="12"/>
  <c r="F129" i="12"/>
  <c r="I173" i="12"/>
  <c r="I127" i="12"/>
  <c r="H113" i="12"/>
  <c r="G113" i="12"/>
  <c r="F113" i="12"/>
  <c r="H107" i="12"/>
  <c r="G107" i="12"/>
  <c r="F107" i="12"/>
  <c r="I199" i="12" l="1"/>
  <c r="I228" i="12"/>
  <c r="E53" i="12"/>
  <c r="I53" i="12"/>
  <c r="H86" i="12"/>
  <c r="G86" i="12"/>
  <c r="F86" i="12"/>
  <c r="D86" i="12"/>
  <c r="C86" i="12"/>
  <c r="H80" i="12"/>
  <c r="G80" i="12"/>
  <c r="F80" i="12"/>
  <c r="D80" i="12"/>
  <c r="C80" i="12"/>
  <c r="H58" i="12"/>
  <c r="H64" i="12"/>
  <c r="G58" i="12"/>
  <c r="G64" i="12"/>
  <c r="F58" i="12"/>
  <c r="F64" i="12"/>
  <c r="D58" i="12"/>
  <c r="D64" i="12"/>
  <c r="C58" i="12"/>
  <c r="C64" i="12"/>
  <c r="H39" i="12"/>
  <c r="G39" i="12"/>
  <c r="F39" i="12"/>
  <c r="D39" i="12"/>
  <c r="C39" i="12"/>
  <c r="H33" i="12"/>
  <c r="G33" i="12"/>
  <c r="F33" i="12"/>
  <c r="D33" i="12"/>
  <c r="C33" i="12"/>
  <c r="I77" i="12" l="1"/>
  <c r="I55" i="12"/>
  <c r="E55" i="12"/>
  <c r="H11" i="12"/>
  <c r="H17" i="12"/>
  <c r="G11" i="12"/>
  <c r="G17" i="12"/>
  <c r="F11" i="12"/>
  <c r="F17" i="12"/>
  <c r="D11" i="12" l="1"/>
  <c r="D17" i="12"/>
  <c r="C11" i="12"/>
  <c r="C17" i="12"/>
  <c r="D24" i="2"/>
  <c r="A2" i="8"/>
  <c r="E2" i="8" s="1"/>
  <c r="T25" i="11"/>
  <c r="R25" i="11"/>
  <c r="P25" i="11"/>
  <c r="I25" i="11"/>
  <c r="G25" i="11"/>
  <c r="U20" i="11"/>
  <c r="T20" i="11"/>
  <c r="S20" i="11"/>
  <c r="R20" i="11"/>
  <c r="Q20" i="11"/>
  <c r="P20" i="11"/>
  <c r="J20" i="11"/>
  <c r="I20" i="11"/>
  <c r="H20" i="11"/>
  <c r="G20" i="11"/>
  <c r="F20" i="11"/>
  <c r="E20" i="11"/>
  <c r="U19" i="11"/>
  <c r="T19" i="11"/>
  <c r="S19" i="11"/>
  <c r="R19" i="11"/>
  <c r="Q19" i="11"/>
  <c r="P19" i="11"/>
  <c r="J19" i="11"/>
  <c r="I19" i="11"/>
  <c r="H19" i="11"/>
  <c r="G19" i="11"/>
  <c r="F19" i="11"/>
  <c r="E19" i="11"/>
  <c r="U18" i="11"/>
  <c r="T18" i="11"/>
  <c r="S18" i="11"/>
  <c r="R18" i="11"/>
  <c r="Q18" i="11"/>
  <c r="P18" i="11"/>
  <c r="J18" i="11"/>
  <c r="I18" i="11"/>
  <c r="H18" i="11"/>
  <c r="G18" i="11"/>
  <c r="F18" i="11"/>
  <c r="E18" i="11"/>
  <c r="U17" i="11"/>
  <c r="T17" i="11"/>
  <c r="S17" i="11"/>
  <c r="R17" i="11"/>
  <c r="Q17" i="11"/>
  <c r="P17" i="11"/>
  <c r="J17" i="11"/>
  <c r="I17" i="11"/>
  <c r="H17" i="11"/>
  <c r="G17" i="11"/>
  <c r="F17" i="11"/>
  <c r="E17" i="11"/>
  <c r="U16" i="11"/>
  <c r="T16" i="11"/>
  <c r="S16" i="11"/>
  <c r="R16" i="11"/>
  <c r="Q16" i="11"/>
  <c r="P16" i="11"/>
  <c r="J16" i="11"/>
  <c r="I16" i="11"/>
  <c r="H16" i="11"/>
  <c r="G16" i="11"/>
  <c r="F16" i="11"/>
  <c r="E16" i="11"/>
  <c r="U11" i="11"/>
  <c r="T11" i="11"/>
  <c r="S11" i="11"/>
  <c r="R11" i="11"/>
  <c r="Q11" i="11"/>
  <c r="P11" i="11"/>
  <c r="J11" i="11"/>
  <c r="I11" i="11"/>
  <c r="H11" i="11"/>
  <c r="G11" i="11"/>
  <c r="F11" i="11"/>
  <c r="E11" i="11"/>
  <c r="U10" i="11"/>
  <c r="T10" i="11"/>
  <c r="S10" i="11"/>
  <c r="R10" i="11"/>
  <c r="Q10" i="11"/>
  <c r="P10" i="11"/>
  <c r="J10" i="11"/>
  <c r="I10" i="11"/>
  <c r="H10" i="11"/>
  <c r="G10" i="11"/>
  <c r="F10" i="11"/>
  <c r="E10" i="11"/>
  <c r="U9" i="11"/>
  <c r="T9" i="11"/>
  <c r="S9" i="11"/>
  <c r="R9" i="11"/>
  <c r="Q9" i="11"/>
  <c r="P9" i="11"/>
  <c r="J9" i="11"/>
  <c r="I9" i="11"/>
  <c r="H9" i="11"/>
  <c r="G9" i="11"/>
  <c r="F9" i="11"/>
  <c r="E9" i="11"/>
  <c r="N8" i="11"/>
  <c r="M8" i="11" s="1"/>
  <c r="S8" i="11" s="1"/>
  <c r="C8" i="11"/>
  <c r="B8" i="11" s="1"/>
  <c r="E8" i="11" s="1"/>
  <c r="M6" i="11"/>
  <c r="T6" i="11" s="1"/>
  <c r="B6" i="11"/>
  <c r="E6" i="11" s="1"/>
  <c r="T25" i="10"/>
  <c r="R25" i="10"/>
  <c r="P25" i="10"/>
  <c r="I25" i="10"/>
  <c r="G25" i="10"/>
  <c r="E25" i="10"/>
  <c r="U20" i="10"/>
  <c r="T20" i="10"/>
  <c r="L169" i="12" s="1"/>
  <c r="S20" i="10"/>
  <c r="R20" i="10"/>
  <c r="K169" i="12" s="1"/>
  <c r="Q20" i="10"/>
  <c r="P20" i="10"/>
  <c r="J169" i="12" s="1"/>
  <c r="J20" i="10"/>
  <c r="I20" i="10"/>
  <c r="H169" i="12" s="1"/>
  <c r="H20" i="10"/>
  <c r="G20" i="10"/>
  <c r="G169" i="12" s="1"/>
  <c r="F20" i="10"/>
  <c r="E20" i="10"/>
  <c r="F169" i="12" s="1"/>
  <c r="U19" i="10"/>
  <c r="T19" i="10"/>
  <c r="L168" i="12" s="1"/>
  <c r="S19" i="10"/>
  <c r="R19" i="10"/>
  <c r="K168" i="12" s="1"/>
  <c r="Q19" i="10"/>
  <c r="P19" i="10"/>
  <c r="J168" i="12" s="1"/>
  <c r="J19" i="10"/>
  <c r="I19" i="10"/>
  <c r="H168" i="12" s="1"/>
  <c r="H19" i="10"/>
  <c r="G19" i="10"/>
  <c r="G168" i="12" s="1"/>
  <c r="F19" i="10"/>
  <c r="E19" i="10"/>
  <c r="F168" i="12" s="1"/>
  <c r="U18" i="10"/>
  <c r="T18" i="10"/>
  <c r="L167" i="12" s="1"/>
  <c r="S18" i="10"/>
  <c r="R18" i="10"/>
  <c r="K167" i="12" s="1"/>
  <c r="Q18" i="10"/>
  <c r="P18" i="10"/>
  <c r="J167" i="12" s="1"/>
  <c r="J18" i="10"/>
  <c r="I18" i="10"/>
  <c r="H167" i="12" s="1"/>
  <c r="H18" i="10"/>
  <c r="G18" i="10"/>
  <c r="G167" i="12" s="1"/>
  <c r="F18" i="10"/>
  <c r="E18" i="10"/>
  <c r="F167" i="12" s="1"/>
  <c r="U17" i="10"/>
  <c r="T17" i="10"/>
  <c r="L166" i="12" s="1"/>
  <c r="S17" i="10"/>
  <c r="R17" i="10"/>
  <c r="K166" i="12" s="1"/>
  <c r="Q17" i="10"/>
  <c r="P17" i="10"/>
  <c r="J166" i="12" s="1"/>
  <c r="J17" i="10"/>
  <c r="I17" i="10"/>
  <c r="H166" i="12" s="1"/>
  <c r="H17" i="10"/>
  <c r="G17" i="10"/>
  <c r="G166" i="12" s="1"/>
  <c r="F17" i="10"/>
  <c r="E17" i="10"/>
  <c r="F166" i="12" s="1"/>
  <c r="U16" i="10"/>
  <c r="T16" i="10"/>
  <c r="L165" i="12" s="1"/>
  <c r="S16" i="10"/>
  <c r="R16" i="10"/>
  <c r="K165" i="12" s="1"/>
  <c r="Q16" i="10"/>
  <c r="P16" i="10"/>
  <c r="J165" i="12" s="1"/>
  <c r="J16" i="10"/>
  <c r="I16" i="10"/>
  <c r="H165" i="12" s="1"/>
  <c r="H16" i="10"/>
  <c r="G16" i="10"/>
  <c r="G165" i="12" s="1"/>
  <c r="F16" i="10"/>
  <c r="E16" i="10"/>
  <c r="F165" i="12" s="1"/>
  <c r="U11" i="10"/>
  <c r="T11" i="10"/>
  <c r="L160" i="12" s="1"/>
  <c r="S11" i="10"/>
  <c r="R11" i="10"/>
  <c r="K160" i="12" s="1"/>
  <c r="Q11" i="10"/>
  <c r="P11" i="10"/>
  <c r="J160" i="12" s="1"/>
  <c r="J11" i="10"/>
  <c r="I11" i="10"/>
  <c r="H160" i="12" s="1"/>
  <c r="H11" i="10"/>
  <c r="G11" i="10"/>
  <c r="G160" i="12" s="1"/>
  <c r="F11" i="10"/>
  <c r="E11" i="10"/>
  <c r="F160" i="12" s="1"/>
  <c r="U10" i="10"/>
  <c r="T10" i="10"/>
  <c r="L159" i="12" s="1"/>
  <c r="S10" i="10"/>
  <c r="R10" i="10"/>
  <c r="K159" i="12" s="1"/>
  <c r="Q10" i="10"/>
  <c r="P10" i="10"/>
  <c r="J159" i="12" s="1"/>
  <c r="J10" i="10"/>
  <c r="I10" i="10"/>
  <c r="H159" i="12" s="1"/>
  <c r="H10" i="10"/>
  <c r="G10" i="10"/>
  <c r="G159" i="12" s="1"/>
  <c r="F10" i="10"/>
  <c r="E10" i="10"/>
  <c r="F159" i="12" s="1"/>
  <c r="U9" i="10"/>
  <c r="T9" i="10"/>
  <c r="L158" i="12" s="1"/>
  <c r="S9" i="10"/>
  <c r="R9" i="10"/>
  <c r="K158" i="12" s="1"/>
  <c r="Q9" i="10"/>
  <c r="P9" i="10"/>
  <c r="J158" i="12" s="1"/>
  <c r="J9" i="10"/>
  <c r="I9" i="10"/>
  <c r="H158" i="12" s="1"/>
  <c r="H9" i="10"/>
  <c r="G9" i="10"/>
  <c r="G158" i="12" s="1"/>
  <c r="F9" i="10"/>
  <c r="E9" i="10"/>
  <c r="F158" i="12" s="1"/>
  <c r="N8" i="10"/>
  <c r="M8" i="10" s="1"/>
  <c r="C8" i="10"/>
  <c r="B8" i="10" s="1"/>
  <c r="M6" i="10"/>
  <c r="P6" i="10" s="1"/>
  <c r="G6" i="10"/>
  <c r="AD22" i="4"/>
  <c r="AC22" i="4"/>
  <c r="AB22" i="4"/>
  <c r="AA22" i="4"/>
  <c r="Z22" i="4"/>
  <c r="Y22" i="4"/>
  <c r="AD21" i="4"/>
  <c r="AC21" i="4"/>
  <c r="AB21" i="4"/>
  <c r="AA21" i="4"/>
  <c r="Z21" i="4"/>
  <c r="Y21" i="4"/>
  <c r="AD20" i="4"/>
  <c r="AC20" i="4"/>
  <c r="AB20" i="4"/>
  <c r="AA20" i="4"/>
  <c r="Z20" i="4"/>
  <c r="Y20" i="4"/>
  <c r="AD19" i="4"/>
  <c r="AC19" i="4"/>
  <c r="AB19" i="4"/>
  <c r="AA19" i="4"/>
  <c r="Z19" i="4"/>
  <c r="Y19" i="4"/>
  <c r="AD18" i="4"/>
  <c r="AC18" i="4"/>
  <c r="AB18" i="4"/>
  <c r="AA18" i="4"/>
  <c r="Z18" i="4"/>
  <c r="N19" i="4"/>
  <c r="O19" i="4"/>
  <c r="P19" i="4"/>
  <c r="Q19" i="4"/>
  <c r="R19" i="4"/>
  <c r="S19" i="4"/>
  <c r="N20" i="4"/>
  <c r="O20" i="4"/>
  <c r="P20" i="4"/>
  <c r="Q20" i="4"/>
  <c r="R20" i="4"/>
  <c r="S20" i="4"/>
  <c r="N21" i="4"/>
  <c r="O21" i="4"/>
  <c r="P21" i="4"/>
  <c r="Q21" i="4"/>
  <c r="R21" i="4"/>
  <c r="S21" i="4"/>
  <c r="N22" i="4"/>
  <c r="O22" i="4"/>
  <c r="P22" i="4"/>
  <c r="Q22" i="4"/>
  <c r="R22" i="4"/>
  <c r="S22" i="4"/>
  <c r="E20" i="4"/>
  <c r="C44" i="12" s="1"/>
  <c r="F20" i="4"/>
  <c r="G20" i="4"/>
  <c r="D44" i="12" s="1"/>
  <c r="H20" i="4"/>
  <c r="E21" i="4"/>
  <c r="C45" i="12" s="1"/>
  <c r="F21" i="4"/>
  <c r="G21" i="4"/>
  <c r="D45" i="12" s="1"/>
  <c r="H21" i="4"/>
  <c r="E22" i="4"/>
  <c r="C46" i="12" s="1"/>
  <c r="F22" i="4"/>
  <c r="G22" i="4"/>
  <c r="D46" i="12" s="1"/>
  <c r="H22" i="4"/>
  <c r="E19" i="4"/>
  <c r="C43" i="12" s="1"/>
  <c r="F19" i="4"/>
  <c r="G19" i="4"/>
  <c r="D43" i="12" s="1"/>
  <c r="H19" i="4"/>
  <c r="S18" i="4"/>
  <c r="R18" i="4"/>
  <c r="Q18" i="4"/>
  <c r="P18" i="4"/>
  <c r="O18" i="4"/>
  <c r="N18" i="4"/>
  <c r="H18" i="4"/>
  <c r="G18" i="4"/>
  <c r="D42" i="12" s="1"/>
  <c r="F18" i="4"/>
  <c r="E18" i="4"/>
  <c r="C42" i="12" s="1"/>
  <c r="AD13" i="4"/>
  <c r="AC13" i="4"/>
  <c r="AB13" i="4"/>
  <c r="AA13" i="4"/>
  <c r="Z13" i="4"/>
  <c r="Y13" i="4"/>
  <c r="S13" i="4"/>
  <c r="R13" i="4"/>
  <c r="Q13" i="4"/>
  <c r="P13" i="4"/>
  <c r="O13" i="4"/>
  <c r="N13" i="4"/>
  <c r="H13" i="4"/>
  <c r="G13" i="4"/>
  <c r="D37" i="12" s="1"/>
  <c r="F13" i="4"/>
  <c r="E13" i="4"/>
  <c r="C37" i="12" s="1"/>
  <c r="AD12" i="4"/>
  <c r="AC12" i="4"/>
  <c r="AB12" i="4"/>
  <c r="AA12" i="4"/>
  <c r="Z12" i="4"/>
  <c r="Y12" i="4"/>
  <c r="S12" i="4"/>
  <c r="R12" i="4"/>
  <c r="Q12" i="4"/>
  <c r="P12" i="4"/>
  <c r="O12" i="4"/>
  <c r="N12" i="4"/>
  <c r="H12" i="4"/>
  <c r="G12" i="4"/>
  <c r="D36" i="12" s="1"/>
  <c r="F12" i="4"/>
  <c r="E12" i="4"/>
  <c r="C36" i="12" s="1"/>
  <c r="AD11" i="4"/>
  <c r="AC11" i="4"/>
  <c r="AB11" i="4"/>
  <c r="AA11" i="4"/>
  <c r="Z11" i="4"/>
  <c r="Y11" i="4"/>
  <c r="S11" i="4"/>
  <c r="R11" i="4"/>
  <c r="Q11" i="4"/>
  <c r="P11" i="4"/>
  <c r="O11" i="4"/>
  <c r="N11" i="4"/>
  <c r="H11" i="4"/>
  <c r="G11" i="4"/>
  <c r="D35" i="12" s="1"/>
  <c r="F11" i="4"/>
  <c r="E11" i="4"/>
  <c r="C35" i="12" s="1"/>
  <c r="W10" i="4"/>
  <c r="V10" i="4" s="1"/>
  <c r="V8" i="4"/>
  <c r="AC8" i="4" s="1"/>
  <c r="L10" i="4"/>
  <c r="K8" i="4"/>
  <c r="S8" i="4" s="1"/>
  <c r="B38" i="3"/>
  <c r="B29" i="3"/>
  <c r="L32" i="8" s="1"/>
  <c r="K3" i="2"/>
  <c r="C24" i="2"/>
  <c r="B2" i="8" l="1"/>
  <c r="F2" i="8" s="1"/>
  <c r="C2" i="8"/>
  <c r="D23" i="12"/>
  <c r="P8" i="10"/>
  <c r="Q8" i="10"/>
  <c r="J212" i="12" s="1"/>
  <c r="D22" i="12"/>
  <c r="K10" i="4"/>
  <c r="R10" i="4" s="1"/>
  <c r="D15" i="12"/>
  <c r="C15" i="12"/>
  <c r="C14" i="12"/>
  <c r="C20" i="12"/>
  <c r="B22" i="3"/>
  <c r="L22" i="8"/>
  <c r="T6" i="10"/>
  <c r="S6" i="10"/>
  <c r="K210" i="12" s="1"/>
  <c r="U6" i="11"/>
  <c r="R6" i="11"/>
  <c r="K106" i="12" s="1"/>
  <c r="Q6" i="11"/>
  <c r="P6" i="11"/>
  <c r="J106" i="12" s="1"/>
  <c r="J8" i="11"/>
  <c r="R6" i="10"/>
  <c r="F8" i="4"/>
  <c r="AD8" i="4"/>
  <c r="L57" i="12" s="1"/>
  <c r="T8" i="11"/>
  <c r="L108" i="12" s="1"/>
  <c r="H10" i="4"/>
  <c r="D81" i="12" s="1"/>
  <c r="G10" i="4"/>
  <c r="D34" i="12" s="1"/>
  <c r="AA10" i="4"/>
  <c r="K34" i="12" s="1"/>
  <c r="AC10" i="4"/>
  <c r="L12" i="12" s="1"/>
  <c r="Z10" i="4"/>
  <c r="J81" i="12" s="1"/>
  <c r="Y10" i="4"/>
  <c r="J12" i="12" s="1"/>
  <c r="I8" i="11"/>
  <c r="H130" i="12" s="1"/>
  <c r="U6" i="10"/>
  <c r="L210" i="12" s="1"/>
  <c r="H8" i="11"/>
  <c r="R8" i="11"/>
  <c r="K108" i="12" s="1"/>
  <c r="C38" i="3"/>
  <c r="C40" i="3" s="1"/>
  <c r="B40" i="3"/>
  <c r="J155" i="12"/>
  <c r="Q6" i="10"/>
  <c r="J210" i="12" s="1"/>
  <c r="H8" i="10"/>
  <c r="G212" i="12" s="1"/>
  <c r="G8" i="10"/>
  <c r="F8" i="10"/>
  <c r="F212" i="12" s="1"/>
  <c r="I8" i="10"/>
  <c r="E8" i="10"/>
  <c r="J8" i="10"/>
  <c r="H212" i="12" s="1"/>
  <c r="G155" i="12"/>
  <c r="F6" i="10"/>
  <c r="F210" i="12" s="1"/>
  <c r="J6" i="10"/>
  <c r="H210" i="12" s="1"/>
  <c r="I6" i="10"/>
  <c r="H6" i="10"/>
  <c r="G210" i="12" s="1"/>
  <c r="J6" i="2"/>
  <c r="K6" i="2" s="1"/>
  <c r="E4" i="13"/>
  <c r="B14" i="13" s="1"/>
  <c r="U8" i="10"/>
  <c r="L212" i="12" s="1"/>
  <c r="T8" i="10"/>
  <c r="S8" i="10"/>
  <c r="K212" i="12" s="1"/>
  <c r="R8" i="10"/>
  <c r="C32" i="12"/>
  <c r="C10" i="12"/>
  <c r="L32" i="12"/>
  <c r="L10" i="12"/>
  <c r="F108" i="12"/>
  <c r="F130" i="12"/>
  <c r="H79" i="12"/>
  <c r="H57" i="12"/>
  <c r="F128" i="12"/>
  <c r="F106" i="12"/>
  <c r="L106" i="12"/>
  <c r="L128" i="12"/>
  <c r="D83" i="12"/>
  <c r="D61" i="12"/>
  <c r="F46" i="12"/>
  <c r="F24" i="12"/>
  <c r="H92" i="12"/>
  <c r="H70" i="12"/>
  <c r="L23" i="12"/>
  <c r="L45" i="12"/>
  <c r="C82" i="12"/>
  <c r="C60" i="12"/>
  <c r="H62" i="12"/>
  <c r="H84" i="12"/>
  <c r="H45" i="12"/>
  <c r="H23" i="12"/>
  <c r="J37" i="12"/>
  <c r="J15" i="12"/>
  <c r="G70" i="12"/>
  <c r="G92" i="12"/>
  <c r="K142" i="12"/>
  <c r="K120" i="12"/>
  <c r="D60" i="12"/>
  <c r="D82" i="12"/>
  <c r="J62" i="12"/>
  <c r="J84" i="12"/>
  <c r="L67" i="12"/>
  <c r="L89" i="12"/>
  <c r="J71" i="12"/>
  <c r="J93" i="12"/>
  <c r="C13" i="12"/>
  <c r="F35" i="12"/>
  <c r="F13" i="12"/>
  <c r="H36" i="12"/>
  <c r="H14" i="12"/>
  <c r="K15" i="12"/>
  <c r="K37" i="12"/>
  <c r="C71" i="12"/>
  <c r="C93" i="12"/>
  <c r="F70" i="12"/>
  <c r="F92" i="12"/>
  <c r="J21" i="12"/>
  <c r="J43" i="12"/>
  <c r="K24" i="12"/>
  <c r="K46" i="12"/>
  <c r="G132" i="12"/>
  <c r="G110" i="12"/>
  <c r="L111" i="12"/>
  <c r="L133" i="12"/>
  <c r="J117" i="12"/>
  <c r="J139" i="12"/>
  <c r="G141" i="12"/>
  <c r="G119" i="12"/>
  <c r="L142" i="12"/>
  <c r="L120" i="12"/>
  <c r="F60" i="12"/>
  <c r="F82" i="12"/>
  <c r="H61" i="12"/>
  <c r="H83" i="12"/>
  <c r="K62" i="12"/>
  <c r="K84" i="12"/>
  <c r="F45" i="12"/>
  <c r="F23" i="12"/>
  <c r="J68" i="12"/>
  <c r="J90" i="12"/>
  <c r="K93" i="12"/>
  <c r="K71" i="12"/>
  <c r="G8" i="4"/>
  <c r="G35" i="12"/>
  <c r="G13" i="12"/>
  <c r="J36" i="12"/>
  <c r="J14" i="12"/>
  <c r="L37" i="12"/>
  <c r="L15" i="12"/>
  <c r="D70" i="12"/>
  <c r="D92" i="12"/>
  <c r="H69" i="12"/>
  <c r="H91" i="12"/>
  <c r="K21" i="12"/>
  <c r="K43" i="12"/>
  <c r="L24" i="12"/>
  <c r="L46" i="12"/>
  <c r="F6" i="11"/>
  <c r="H132" i="12"/>
  <c r="H110" i="12"/>
  <c r="F116" i="12"/>
  <c r="F138" i="12"/>
  <c r="K117" i="12"/>
  <c r="K139" i="12"/>
  <c r="H119" i="12"/>
  <c r="H141" i="12"/>
  <c r="H8" i="4"/>
  <c r="G60" i="12"/>
  <c r="G82" i="12"/>
  <c r="J61" i="12"/>
  <c r="J83" i="12"/>
  <c r="L62" i="12"/>
  <c r="L84" i="12"/>
  <c r="H44" i="12"/>
  <c r="H22" i="12"/>
  <c r="K68" i="12"/>
  <c r="K90" i="12"/>
  <c r="L71" i="12"/>
  <c r="L93" i="12"/>
  <c r="G6" i="11"/>
  <c r="U8" i="11"/>
  <c r="D24" i="12"/>
  <c r="F36" i="12"/>
  <c r="F14" i="12"/>
  <c r="K20" i="12"/>
  <c r="K42" i="12"/>
  <c r="F61" i="12"/>
  <c r="F83" i="12"/>
  <c r="K89" i="12"/>
  <c r="K67" i="12"/>
  <c r="G36" i="12"/>
  <c r="G14" i="12"/>
  <c r="L20" i="12"/>
  <c r="L42" i="12"/>
  <c r="H117" i="12"/>
  <c r="H139" i="12"/>
  <c r="N8" i="4"/>
  <c r="H35" i="12"/>
  <c r="H13" i="12"/>
  <c r="C92" i="12"/>
  <c r="C70" i="12"/>
  <c r="L21" i="12"/>
  <c r="L43" i="12"/>
  <c r="J110" i="12"/>
  <c r="J132" i="12"/>
  <c r="J119" i="12"/>
  <c r="J141" i="12"/>
  <c r="H60" i="12"/>
  <c r="H82" i="12"/>
  <c r="P8" i="4"/>
  <c r="F69" i="12"/>
  <c r="F91" i="12"/>
  <c r="J22" i="12"/>
  <c r="J44" i="12"/>
  <c r="Q8" i="11"/>
  <c r="K110" i="12"/>
  <c r="K132" i="12"/>
  <c r="Q8" i="4"/>
  <c r="L61" i="12"/>
  <c r="L83" i="12"/>
  <c r="F44" i="12"/>
  <c r="F22" i="12"/>
  <c r="D20" i="12"/>
  <c r="R8" i="4"/>
  <c r="C91" i="12"/>
  <c r="C69" i="12"/>
  <c r="H68" i="12"/>
  <c r="H90" i="12"/>
  <c r="K44" i="12"/>
  <c r="K22" i="12"/>
  <c r="J6" i="11"/>
  <c r="P8" i="11"/>
  <c r="G131" i="12"/>
  <c r="G109" i="12"/>
  <c r="L141" i="12"/>
  <c r="L119" i="12"/>
  <c r="H43" i="12"/>
  <c r="H21" i="12"/>
  <c r="Y8" i="4"/>
  <c r="L35" i="12"/>
  <c r="L13" i="12"/>
  <c r="G42" i="12"/>
  <c r="G20" i="12"/>
  <c r="G90" i="12"/>
  <c r="G68" i="12"/>
  <c r="G8" i="11"/>
  <c r="H109" i="12"/>
  <c r="H131" i="12"/>
  <c r="F133" i="12"/>
  <c r="F111" i="12"/>
  <c r="K138" i="12"/>
  <c r="K116" i="12"/>
  <c r="H118" i="12"/>
  <c r="H140" i="12"/>
  <c r="F142" i="12"/>
  <c r="F120" i="12"/>
  <c r="D14" i="12"/>
  <c r="C90" i="12"/>
  <c r="C68" i="12"/>
  <c r="L109" i="12"/>
  <c r="L131" i="12"/>
  <c r="L140" i="12"/>
  <c r="L118" i="12"/>
  <c r="J24" i="12"/>
  <c r="J46" i="12"/>
  <c r="G45" i="12"/>
  <c r="G23" i="12"/>
  <c r="K36" i="12"/>
  <c r="K14" i="12"/>
  <c r="G138" i="12"/>
  <c r="G116" i="12"/>
  <c r="J13" i="12"/>
  <c r="J35" i="12"/>
  <c r="K141" i="12"/>
  <c r="K119" i="12"/>
  <c r="D89" i="12"/>
  <c r="D67" i="12"/>
  <c r="J69" i="12"/>
  <c r="J91" i="12"/>
  <c r="S6" i="11"/>
  <c r="F42" i="12"/>
  <c r="F20" i="12"/>
  <c r="H93" i="12"/>
  <c r="H71" i="12"/>
  <c r="L44" i="12"/>
  <c r="L22" i="12"/>
  <c r="Z8" i="4"/>
  <c r="L82" i="12"/>
  <c r="L60" i="12"/>
  <c r="D84" i="12"/>
  <c r="D62" i="12"/>
  <c r="G67" i="12"/>
  <c r="G89" i="12"/>
  <c r="H46" i="12"/>
  <c r="H24" i="12"/>
  <c r="G43" i="12"/>
  <c r="G21" i="12"/>
  <c r="L91" i="12"/>
  <c r="L69" i="12"/>
  <c r="H6" i="11"/>
  <c r="C24" i="12"/>
  <c r="D13" i="12"/>
  <c r="G62" i="12"/>
  <c r="G84" i="12"/>
  <c r="K92" i="12"/>
  <c r="K70" i="12"/>
  <c r="J111" i="12"/>
  <c r="J133" i="12"/>
  <c r="K133" i="12"/>
  <c r="K111" i="12"/>
  <c r="G61" i="12"/>
  <c r="G83" i="12"/>
  <c r="G69" i="12"/>
  <c r="G91" i="12"/>
  <c r="O8" i="4"/>
  <c r="F57" i="12" s="1"/>
  <c r="C89" i="12"/>
  <c r="C67" i="12"/>
  <c r="L68" i="12"/>
  <c r="L90" i="12"/>
  <c r="L36" i="12"/>
  <c r="L14" i="12"/>
  <c r="F131" i="12"/>
  <c r="F109" i="12"/>
  <c r="F118" i="12"/>
  <c r="F140" i="12"/>
  <c r="AD10" i="4"/>
  <c r="AA8" i="4"/>
  <c r="F37" i="12"/>
  <c r="F15" i="12"/>
  <c r="H42" i="12"/>
  <c r="H20" i="12"/>
  <c r="G71" i="12"/>
  <c r="G93" i="12"/>
  <c r="F68" i="12"/>
  <c r="F90" i="12"/>
  <c r="J23" i="12"/>
  <c r="J45" i="12"/>
  <c r="F8" i="11"/>
  <c r="J131" i="12"/>
  <c r="J109" i="12"/>
  <c r="G133" i="12"/>
  <c r="G111" i="12"/>
  <c r="L116" i="12"/>
  <c r="L138" i="12"/>
  <c r="J140" i="12"/>
  <c r="J118" i="12"/>
  <c r="G120" i="12"/>
  <c r="G142" i="12"/>
  <c r="C23" i="12"/>
  <c r="H37" i="12"/>
  <c r="H15" i="12"/>
  <c r="G139" i="12"/>
  <c r="G117" i="12"/>
  <c r="D71" i="12"/>
  <c r="D93" i="12"/>
  <c r="F132" i="12"/>
  <c r="F110" i="12"/>
  <c r="F119" i="12"/>
  <c r="F141" i="12"/>
  <c r="K83" i="12"/>
  <c r="K61" i="12"/>
  <c r="G44" i="12"/>
  <c r="G22" i="12"/>
  <c r="D69" i="12"/>
  <c r="D91" i="12"/>
  <c r="H138" i="12"/>
  <c r="H116" i="12"/>
  <c r="K35" i="12"/>
  <c r="K13" i="12"/>
  <c r="L110" i="12"/>
  <c r="L132" i="12"/>
  <c r="J138" i="12"/>
  <c r="J116" i="12"/>
  <c r="G140" i="12"/>
  <c r="G118" i="12"/>
  <c r="K82" i="12"/>
  <c r="K60" i="12"/>
  <c r="F89" i="12"/>
  <c r="F67" i="12"/>
  <c r="K69" i="12"/>
  <c r="K91" i="12"/>
  <c r="I6" i="11"/>
  <c r="AB10" i="4"/>
  <c r="F10" i="4"/>
  <c r="AB8" i="4"/>
  <c r="C83" i="12"/>
  <c r="C61" i="12"/>
  <c r="F84" i="12"/>
  <c r="F62" i="12"/>
  <c r="H67" i="12"/>
  <c r="H89" i="12"/>
  <c r="G46" i="12"/>
  <c r="G24" i="12"/>
  <c r="F43" i="12"/>
  <c r="F21" i="12"/>
  <c r="J92" i="12"/>
  <c r="J70" i="12"/>
  <c r="C22" i="12"/>
  <c r="J89" i="12"/>
  <c r="J67" i="12"/>
  <c r="J142" i="12"/>
  <c r="J120" i="12"/>
  <c r="L92" i="12"/>
  <c r="L70" i="12"/>
  <c r="L139" i="12"/>
  <c r="L117" i="12"/>
  <c r="D21" i="12"/>
  <c r="J60" i="12"/>
  <c r="J82" i="12"/>
  <c r="C62" i="12"/>
  <c r="C84" i="12"/>
  <c r="G37" i="12"/>
  <c r="G15" i="12"/>
  <c r="D90" i="12"/>
  <c r="D68" i="12"/>
  <c r="F93" i="12"/>
  <c r="F71" i="12"/>
  <c r="J20" i="12"/>
  <c r="J42" i="12"/>
  <c r="K45" i="12"/>
  <c r="K23" i="12"/>
  <c r="K131" i="12"/>
  <c r="K109" i="12"/>
  <c r="H133" i="12"/>
  <c r="H111" i="12"/>
  <c r="F139" i="12"/>
  <c r="F117" i="12"/>
  <c r="K140" i="12"/>
  <c r="K118" i="12"/>
  <c r="H142" i="12"/>
  <c r="H120" i="12"/>
  <c r="C21" i="12"/>
  <c r="K32" i="9"/>
  <c r="L2" i="8"/>
  <c r="C28" i="12"/>
  <c r="K22" i="9"/>
  <c r="L42" i="8"/>
  <c r="L12" i="8"/>
  <c r="C20" i="3"/>
  <c r="L25" i="8" s="1"/>
  <c r="B31" i="3"/>
  <c r="B30" i="3" s="1"/>
  <c r="B32" i="3" s="1"/>
  <c r="B33" i="3" s="1"/>
  <c r="K42" i="9"/>
  <c r="A2" i="9"/>
  <c r="K12" i="9"/>
  <c r="F124" i="12"/>
  <c r="J124" i="12" s="1"/>
  <c r="E4" i="10"/>
  <c r="B13" i="3"/>
  <c r="C11" i="3"/>
  <c r="G4" i="16" s="1"/>
  <c r="K2" i="9"/>
  <c r="C29" i="3"/>
  <c r="D2" i="8" l="1"/>
  <c r="E2" i="9"/>
  <c r="C2" i="9"/>
  <c r="B21" i="3"/>
  <c r="B23" i="3" s="1"/>
  <c r="B24" i="3" s="1"/>
  <c r="G14" i="16"/>
  <c r="H12" i="16"/>
  <c r="G268" i="12" s="1"/>
  <c r="R4" i="16"/>
  <c r="G12" i="16"/>
  <c r="H14" i="16"/>
  <c r="G270" i="12" s="1"/>
  <c r="K155" i="12"/>
  <c r="L155" i="12"/>
  <c r="C9" i="12"/>
  <c r="C50" i="12"/>
  <c r="C79" i="12"/>
  <c r="C57" i="12"/>
  <c r="B2" i="9"/>
  <c r="B14" i="10"/>
  <c r="B12" i="10"/>
  <c r="P10" i="4"/>
  <c r="G34" i="12" s="1"/>
  <c r="N10" i="4"/>
  <c r="F12" i="12" s="1"/>
  <c r="S10" i="4"/>
  <c r="H59" i="12" s="1"/>
  <c r="Q10" i="4"/>
  <c r="G81" i="12" s="1"/>
  <c r="O10" i="4"/>
  <c r="F81" i="12" s="1"/>
  <c r="AA5" i="4"/>
  <c r="AA6" i="4" s="1"/>
  <c r="AB5" i="4"/>
  <c r="AB6" i="4" s="1"/>
  <c r="P5" i="4"/>
  <c r="P6" i="4" s="1"/>
  <c r="Q5" i="4"/>
  <c r="Q6" i="4" s="1"/>
  <c r="G4" i="13"/>
  <c r="G14" i="13" s="1"/>
  <c r="G189" i="12" s="1"/>
  <c r="H12" i="12"/>
  <c r="H34" i="12"/>
  <c r="K128" i="12"/>
  <c r="J128" i="12"/>
  <c r="L79" i="12"/>
  <c r="K12" i="12"/>
  <c r="D12" i="12"/>
  <c r="K130" i="12"/>
  <c r="L34" i="12"/>
  <c r="D59" i="12"/>
  <c r="J59" i="12"/>
  <c r="L130" i="12"/>
  <c r="D38" i="3"/>
  <c r="D40" i="3" s="1"/>
  <c r="L45" i="8"/>
  <c r="K45" i="9"/>
  <c r="J34" i="12"/>
  <c r="H108" i="12"/>
  <c r="L157" i="12"/>
  <c r="J157" i="12"/>
  <c r="K157" i="12"/>
  <c r="F157" i="12"/>
  <c r="H157" i="12"/>
  <c r="G157" i="12"/>
  <c r="H155" i="12"/>
  <c r="F14" i="13"/>
  <c r="P4" i="13"/>
  <c r="M14" i="13" s="1"/>
  <c r="B12" i="13"/>
  <c r="E14" i="13"/>
  <c r="F189" i="12" s="1"/>
  <c r="F12" i="13"/>
  <c r="E12" i="13"/>
  <c r="F187" i="12" s="1"/>
  <c r="G108" i="12"/>
  <c r="G130" i="12"/>
  <c r="K57" i="12"/>
  <c r="K79" i="12"/>
  <c r="K59" i="12"/>
  <c r="K81" i="12"/>
  <c r="H128" i="12"/>
  <c r="H106" i="12"/>
  <c r="G128" i="12"/>
  <c r="G106" i="12"/>
  <c r="G32" i="12"/>
  <c r="G10" i="12"/>
  <c r="D32" i="12"/>
  <c r="D10" i="12"/>
  <c r="J130" i="12"/>
  <c r="J108" i="12"/>
  <c r="J79" i="12"/>
  <c r="J57" i="12"/>
  <c r="F79" i="12"/>
  <c r="D79" i="12"/>
  <c r="D57" i="12"/>
  <c r="K10" i="12"/>
  <c r="K32" i="12"/>
  <c r="C34" i="12"/>
  <c r="C12" i="12"/>
  <c r="H32" i="12"/>
  <c r="H10" i="12"/>
  <c r="J32" i="12"/>
  <c r="J10" i="12"/>
  <c r="C81" i="12"/>
  <c r="C59" i="12"/>
  <c r="F32" i="12"/>
  <c r="F10" i="12"/>
  <c r="L59" i="12"/>
  <c r="L81" i="12"/>
  <c r="G57" i="12"/>
  <c r="G79" i="12"/>
  <c r="F105" i="12"/>
  <c r="F146" i="12"/>
  <c r="K14" i="4"/>
  <c r="N14" i="4"/>
  <c r="O16" i="4"/>
  <c r="E14" i="4"/>
  <c r="J28" i="12"/>
  <c r="F5" i="4"/>
  <c r="F28" i="12"/>
  <c r="F9" i="12" s="1"/>
  <c r="E16" i="4"/>
  <c r="F16" i="4"/>
  <c r="O14" i="4"/>
  <c r="N16" i="4"/>
  <c r="F14" i="4"/>
  <c r="B34" i="3"/>
  <c r="C22" i="3"/>
  <c r="C21" i="3" s="1"/>
  <c r="C23" i="3" s="1"/>
  <c r="D20" i="3"/>
  <c r="K25" i="9"/>
  <c r="J4" i="2"/>
  <c r="K4" i="2" s="1"/>
  <c r="L5" i="8"/>
  <c r="K5" i="9"/>
  <c r="D3" i="3"/>
  <c r="C31" i="3"/>
  <c r="K35" i="9"/>
  <c r="L35" i="8"/>
  <c r="D29" i="3"/>
  <c r="G4" i="10"/>
  <c r="G4" i="11"/>
  <c r="G124" i="12" s="1"/>
  <c r="K124" i="12" s="1"/>
  <c r="K15" i="9"/>
  <c r="C13" i="3"/>
  <c r="D11" i="3"/>
  <c r="I4" i="16" s="1"/>
  <c r="L15" i="8"/>
  <c r="J7" i="2"/>
  <c r="K7" i="2" s="1"/>
  <c r="B39" i="3"/>
  <c r="B43" i="3" s="1"/>
  <c r="A3" i="8"/>
  <c r="C3" i="8" s="1"/>
  <c r="B12" i="3"/>
  <c r="E14" i="10"/>
  <c r="E12" i="10"/>
  <c r="F14" i="10"/>
  <c r="F218" i="12" s="1"/>
  <c r="F12" i="10"/>
  <c r="F216" i="12" s="1"/>
  <c r="P4" i="10"/>
  <c r="A3" i="9"/>
  <c r="C39" i="3"/>
  <c r="C43" i="3" s="1"/>
  <c r="B12" i="11"/>
  <c r="E12" i="11"/>
  <c r="F134" i="12" s="1"/>
  <c r="P4" i="11"/>
  <c r="M14" i="11" s="1"/>
  <c r="F12" i="11"/>
  <c r="F14" i="11"/>
  <c r="E14" i="11"/>
  <c r="F136" i="12" s="1"/>
  <c r="E3" i="8" l="1"/>
  <c r="B3" i="8"/>
  <c r="B25" i="3"/>
  <c r="B26" i="3" s="1"/>
  <c r="J17" i="2" s="1"/>
  <c r="K17" i="2" s="1"/>
  <c r="G246" i="12"/>
  <c r="G244" i="12"/>
  <c r="C3" i="9"/>
  <c r="E3" i="9"/>
  <c r="H81" i="12"/>
  <c r="B14" i="3"/>
  <c r="B15" i="3" s="1"/>
  <c r="B16" i="3"/>
  <c r="T4" i="16"/>
  <c r="I14" i="16"/>
  <c r="J12" i="16"/>
  <c r="H268" i="12" s="1"/>
  <c r="I12" i="16"/>
  <c r="J14" i="16"/>
  <c r="H270" i="12" s="1"/>
  <c r="R12" i="16"/>
  <c r="R14" i="16"/>
  <c r="S12" i="16"/>
  <c r="S14" i="16"/>
  <c r="D2" i="9"/>
  <c r="B3" i="9"/>
  <c r="M14" i="10"/>
  <c r="M12" i="10"/>
  <c r="G12" i="12"/>
  <c r="H14" i="13"/>
  <c r="F34" i="12"/>
  <c r="G59" i="12"/>
  <c r="F59" i="12"/>
  <c r="G28" i="12"/>
  <c r="G9" i="12" s="1"/>
  <c r="AC5" i="4"/>
  <c r="AC6" i="4" s="1"/>
  <c r="AD5" i="4"/>
  <c r="AD6" i="4" s="1"/>
  <c r="R5" i="4"/>
  <c r="R6" i="4" s="1"/>
  <c r="S5" i="4"/>
  <c r="S6" i="4" s="1"/>
  <c r="R4" i="13"/>
  <c r="S14" i="13" s="1"/>
  <c r="H12" i="13"/>
  <c r="G12" i="13"/>
  <c r="G187" i="12" s="1"/>
  <c r="I4" i="13"/>
  <c r="T4" i="13" s="1"/>
  <c r="B35" i="3"/>
  <c r="E25" i="11" s="1"/>
  <c r="H177" i="12"/>
  <c r="L177" i="12" s="1"/>
  <c r="L176" i="12" s="1"/>
  <c r="L48" i="8"/>
  <c r="K48" i="9"/>
  <c r="Q14" i="13"/>
  <c r="Q12" i="13"/>
  <c r="P12" i="13"/>
  <c r="J187" i="12" s="1"/>
  <c r="M12" i="13"/>
  <c r="P14" i="13"/>
  <c r="J189" i="12" s="1"/>
  <c r="F161" i="12"/>
  <c r="F163" i="12"/>
  <c r="F127" i="12"/>
  <c r="F173" i="12"/>
  <c r="F154" i="12" s="1"/>
  <c r="G105" i="12"/>
  <c r="F114" i="12"/>
  <c r="F112" i="12"/>
  <c r="G146" i="12"/>
  <c r="F63" i="12"/>
  <c r="F85" i="12"/>
  <c r="F65" i="12"/>
  <c r="F87" i="12"/>
  <c r="C63" i="12"/>
  <c r="C85" i="12"/>
  <c r="C65" i="12"/>
  <c r="C87" i="12"/>
  <c r="C75" i="12"/>
  <c r="C97" i="12" s="1"/>
  <c r="F50" i="12"/>
  <c r="J50" i="12"/>
  <c r="C16" i="12"/>
  <c r="C38" i="12"/>
  <c r="F16" i="12"/>
  <c r="F38" i="12"/>
  <c r="F18" i="12"/>
  <c r="F40" i="12"/>
  <c r="C18" i="12"/>
  <c r="C40" i="12"/>
  <c r="Z14" i="4"/>
  <c r="Z16" i="4"/>
  <c r="Y14" i="4"/>
  <c r="Y16" i="4"/>
  <c r="V14" i="4"/>
  <c r="K28" i="9"/>
  <c r="D22" i="3"/>
  <c r="D21" i="3" s="1"/>
  <c r="D23" i="3" s="1"/>
  <c r="D24" i="3" s="1"/>
  <c r="L28" i="8"/>
  <c r="A4" i="9"/>
  <c r="C30" i="3"/>
  <c r="P12" i="11"/>
  <c r="Q14" i="11"/>
  <c r="Q12" i="11"/>
  <c r="P14" i="11"/>
  <c r="M12" i="11"/>
  <c r="B41" i="3"/>
  <c r="B42" i="3" s="1"/>
  <c r="Q12" i="10"/>
  <c r="J216" i="12" s="1"/>
  <c r="P12" i="10"/>
  <c r="Q14" i="10"/>
  <c r="J218" i="12" s="1"/>
  <c r="P14" i="10"/>
  <c r="H12" i="11"/>
  <c r="R4" i="11"/>
  <c r="G14" i="11"/>
  <c r="H14" i="11"/>
  <c r="G12" i="11"/>
  <c r="G12" i="10"/>
  <c r="G14" i="10"/>
  <c r="H14" i="10"/>
  <c r="G218" i="12" s="1"/>
  <c r="H12" i="10"/>
  <c r="G216" i="12" s="1"/>
  <c r="R4" i="10"/>
  <c r="H5" i="4"/>
  <c r="H16" i="4"/>
  <c r="H14" i="4"/>
  <c r="G16" i="4"/>
  <c r="D28" i="12"/>
  <c r="G14" i="4"/>
  <c r="D31" i="3"/>
  <c r="L38" i="8"/>
  <c r="K38" i="9"/>
  <c r="D39" i="3"/>
  <c r="D43" i="3" s="1"/>
  <c r="C25" i="3"/>
  <c r="C24" i="3"/>
  <c r="B6" i="3"/>
  <c r="B7" i="3" s="1"/>
  <c r="Q14" i="4"/>
  <c r="P14" i="4"/>
  <c r="P16" i="4"/>
  <c r="Q16" i="4"/>
  <c r="I4" i="10"/>
  <c r="J8" i="2"/>
  <c r="K8" i="2" s="1"/>
  <c r="L18" i="8"/>
  <c r="D13" i="3"/>
  <c r="I4" i="11"/>
  <c r="H124" i="12" s="1"/>
  <c r="K18" i="9"/>
  <c r="J5" i="2"/>
  <c r="K5" i="2" s="1"/>
  <c r="L8" i="8"/>
  <c r="D5" i="3"/>
  <c r="K8" i="9"/>
  <c r="C41" i="3"/>
  <c r="C42" i="3" s="1"/>
  <c r="F3" i="8"/>
  <c r="A4" i="8"/>
  <c r="C4" i="8" s="1"/>
  <c r="C12" i="3"/>
  <c r="C14" i="3" s="1"/>
  <c r="E4" i="8" l="1"/>
  <c r="B4" i="8"/>
  <c r="H244" i="12"/>
  <c r="H246" i="12"/>
  <c r="F228" i="12"/>
  <c r="F209" i="12" s="1"/>
  <c r="C4" i="9"/>
  <c r="E4" i="9"/>
  <c r="D3" i="8"/>
  <c r="T12" i="16"/>
  <c r="U12" i="16"/>
  <c r="U14" i="16"/>
  <c r="T14" i="16"/>
  <c r="B4" i="9"/>
  <c r="G50" i="12"/>
  <c r="G75" i="12" s="1"/>
  <c r="L124" i="12"/>
  <c r="H105" i="12"/>
  <c r="R14" i="13"/>
  <c r="K189" i="12" s="1"/>
  <c r="R12" i="13"/>
  <c r="K187" i="12" s="1"/>
  <c r="S12" i="13"/>
  <c r="J14" i="13"/>
  <c r="E24" i="11"/>
  <c r="B15" i="11" s="1"/>
  <c r="J20" i="2"/>
  <c r="K20" i="2" s="1"/>
  <c r="J12" i="13"/>
  <c r="I14" i="13"/>
  <c r="H189" i="12" s="1"/>
  <c r="I12" i="13"/>
  <c r="H187" i="12" s="1"/>
  <c r="K33" i="9"/>
  <c r="L33" i="8"/>
  <c r="F102" i="12"/>
  <c r="F101" i="12" s="1"/>
  <c r="G173" i="12"/>
  <c r="G154" i="12" s="1"/>
  <c r="L179" i="12"/>
  <c r="H179" i="12"/>
  <c r="H176" i="12"/>
  <c r="F151" i="12"/>
  <c r="F153" i="12" s="1"/>
  <c r="F199" i="12"/>
  <c r="F180" i="12" s="1"/>
  <c r="T14" i="13"/>
  <c r="L189" i="12" s="1"/>
  <c r="U12" i="13"/>
  <c r="T12" i="13"/>
  <c r="L187" i="12" s="1"/>
  <c r="U14" i="13"/>
  <c r="G163" i="12"/>
  <c r="G161" i="12"/>
  <c r="J163" i="12"/>
  <c r="J161" i="12"/>
  <c r="J173" i="12"/>
  <c r="G134" i="12"/>
  <c r="G136" i="12"/>
  <c r="J38" i="12"/>
  <c r="J16" i="12"/>
  <c r="J85" i="12"/>
  <c r="J63" i="12"/>
  <c r="J114" i="12"/>
  <c r="J136" i="12"/>
  <c r="J112" i="12"/>
  <c r="J134" i="12"/>
  <c r="J40" i="12"/>
  <c r="J18" i="12"/>
  <c r="J65" i="12"/>
  <c r="J87" i="12"/>
  <c r="G127" i="12"/>
  <c r="G114" i="12"/>
  <c r="G112" i="12"/>
  <c r="H146" i="12"/>
  <c r="F75" i="12"/>
  <c r="J75" i="12"/>
  <c r="C56" i="12"/>
  <c r="C78" i="12"/>
  <c r="D65" i="12"/>
  <c r="D87" i="12"/>
  <c r="G65" i="12"/>
  <c r="G87" i="12"/>
  <c r="D63" i="12"/>
  <c r="D85" i="12"/>
  <c r="G63" i="12"/>
  <c r="G85" i="12"/>
  <c r="D40" i="12"/>
  <c r="D50" i="12"/>
  <c r="D38" i="12"/>
  <c r="D9" i="12"/>
  <c r="G18" i="12"/>
  <c r="G40" i="12"/>
  <c r="G16" i="12"/>
  <c r="G38" i="12"/>
  <c r="H28" i="12"/>
  <c r="J9" i="12"/>
  <c r="C26" i="3"/>
  <c r="C44" i="3"/>
  <c r="J24" i="2" s="1"/>
  <c r="K24" i="2" s="1"/>
  <c r="D25" i="3"/>
  <c r="D3" i="9"/>
  <c r="B17" i="3"/>
  <c r="R14" i="10"/>
  <c r="S14" i="10"/>
  <c r="K218" i="12" s="1"/>
  <c r="S12" i="10"/>
  <c r="K216" i="12" s="1"/>
  <c r="R12" i="10"/>
  <c r="A5" i="8"/>
  <c r="C5" i="8" s="1"/>
  <c r="F4" i="8"/>
  <c r="C32" i="3"/>
  <c r="C33" i="3" s="1"/>
  <c r="C34" i="3"/>
  <c r="I12" i="11"/>
  <c r="T4" i="11"/>
  <c r="J12" i="11"/>
  <c r="J14" i="11"/>
  <c r="I14" i="11"/>
  <c r="B44" i="3"/>
  <c r="J23" i="2" s="1"/>
  <c r="K23" i="2" s="1"/>
  <c r="D12" i="3"/>
  <c r="D18" i="12"/>
  <c r="D41" i="3"/>
  <c r="D42" i="3" s="1"/>
  <c r="B8" i="3"/>
  <c r="D4" i="3"/>
  <c r="S16" i="4"/>
  <c r="R14" i="4"/>
  <c r="S14" i="4"/>
  <c r="R16" i="4"/>
  <c r="C6" i="3"/>
  <c r="C7" i="3" s="1"/>
  <c r="I12" i="10"/>
  <c r="I14" i="10"/>
  <c r="T4" i="10"/>
  <c r="J12" i="10"/>
  <c r="H216" i="12" s="1"/>
  <c r="J14" i="10"/>
  <c r="H218" i="12" s="1"/>
  <c r="C15" i="3"/>
  <c r="C16" i="3"/>
  <c r="D30" i="3"/>
  <c r="L23" i="8"/>
  <c r="K23" i="9"/>
  <c r="S12" i="11"/>
  <c r="R12" i="11"/>
  <c r="S14" i="11"/>
  <c r="R14" i="11"/>
  <c r="AA16" i="4"/>
  <c r="AA14" i="4"/>
  <c r="AB14" i="4"/>
  <c r="AB16" i="4"/>
  <c r="D16" i="12"/>
  <c r="A5" i="9"/>
  <c r="E5" i="8" l="1"/>
  <c r="B5" i="8"/>
  <c r="F150" i="12"/>
  <c r="C5" i="9"/>
  <c r="E5" i="9"/>
  <c r="J18" i="2"/>
  <c r="K18" i="2" s="1"/>
  <c r="P24" i="16"/>
  <c r="P15" i="16" s="1"/>
  <c r="B21" i="16"/>
  <c r="Q24" i="16"/>
  <c r="Q15" i="16" s="1"/>
  <c r="F21" i="16"/>
  <c r="F277" i="12" s="1"/>
  <c r="J199" i="12"/>
  <c r="J228" i="12"/>
  <c r="J209" i="12" s="1"/>
  <c r="G228" i="12"/>
  <c r="G209" i="12" s="1"/>
  <c r="F206" i="12"/>
  <c r="J151" i="12"/>
  <c r="B5" i="9"/>
  <c r="Y26" i="4"/>
  <c r="Z26" i="4"/>
  <c r="Z17" i="4" s="1"/>
  <c r="N26" i="4"/>
  <c r="N17" i="4" s="1"/>
  <c r="O26" i="4"/>
  <c r="O17" i="4" s="1"/>
  <c r="B9" i="3"/>
  <c r="K3" i="9" s="1"/>
  <c r="Y27" i="4"/>
  <c r="J14" i="2"/>
  <c r="K14" i="2" s="1"/>
  <c r="N27" i="4"/>
  <c r="G199" i="12"/>
  <c r="D26" i="3"/>
  <c r="H173" i="12"/>
  <c r="H154" i="12" s="1"/>
  <c r="C8" i="3"/>
  <c r="C9" i="3" s="1"/>
  <c r="G26" i="4" s="1"/>
  <c r="G17" i="4" s="1"/>
  <c r="F177" i="12"/>
  <c r="F176" i="12" s="1"/>
  <c r="G151" i="12"/>
  <c r="G153" i="12" s="1"/>
  <c r="K26" i="9"/>
  <c r="K46" i="9"/>
  <c r="G177" i="12"/>
  <c r="J154" i="12"/>
  <c r="E24" i="10"/>
  <c r="B15" i="10" s="1"/>
  <c r="E24" i="13"/>
  <c r="F24" i="13"/>
  <c r="F15" i="13" s="1"/>
  <c r="H163" i="12"/>
  <c r="H161" i="12"/>
  <c r="K163" i="12"/>
  <c r="K161" i="12"/>
  <c r="H136" i="12"/>
  <c r="H134" i="12"/>
  <c r="K112" i="12"/>
  <c r="K134" i="12"/>
  <c r="K38" i="12"/>
  <c r="K16" i="12"/>
  <c r="K87" i="12"/>
  <c r="K65" i="12"/>
  <c r="K18" i="12"/>
  <c r="K40" i="12"/>
  <c r="K136" i="12"/>
  <c r="K114" i="12"/>
  <c r="K63" i="12"/>
  <c r="K85" i="12"/>
  <c r="H127" i="12"/>
  <c r="H114" i="12"/>
  <c r="H112" i="12"/>
  <c r="G56" i="12"/>
  <c r="G97" i="12"/>
  <c r="G78" i="12" s="1"/>
  <c r="H63" i="12"/>
  <c r="H85" i="12"/>
  <c r="J56" i="12"/>
  <c r="J97" i="12"/>
  <c r="J78" i="12" s="1"/>
  <c r="D75" i="12"/>
  <c r="H65" i="12"/>
  <c r="H87" i="12"/>
  <c r="F56" i="12"/>
  <c r="F97" i="12"/>
  <c r="F78" i="12" s="1"/>
  <c r="H50" i="12"/>
  <c r="H9" i="12"/>
  <c r="H16" i="12"/>
  <c r="H38" i="12"/>
  <c r="H18" i="12"/>
  <c r="H40" i="12"/>
  <c r="L46" i="8"/>
  <c r="L26" i="8"/>
  <c r="D4" i="9"/>
  <c r="K13" i="9"/>
  <c r="F24" i="10"/>
  <c r="F15" i="10" s="1"/>
  <c r="F219" i="12" s="1"/>
  <c r="L13" i="8"/>
  <c r="F24" i="11"/>
  <c r="D44" i="3"/>
  <c r="A6" i="8"/>
  <c r="C6" i="8" s="1"/>
  <c r="D16" i="3"/>
  <c r="D14" i="3"/>
  <c r="D15" i="3" s="1"/>
  <c r="L43" i="8"/>
  <c r="K43" i="9"/>
  <c r="A6" i="9"/>
  <c r="D6" i="3"/>
  <c r="D7" i="3" s="1"/>
  <c r="C17" i="3"/>
  <c r="C35" i="3"/>
  <c r="J21" i="2" s="1"/>
  <c r="K21" i="2" s="1"/>
  <c r="T14" i="10"/>
  <c r="T12" i="10"/>
  <c r="U14" i="10"/>
  <c r="L218" i="12" s="1"/>
  <c r="U12" i="10"/>
  <c r="L216" i="12" s="1"/>
  <c r="AC14" i="4"/>
  <c r="AC16" i="4"/>
  <c r="AD14" i="4"/>
  <c r="AD16" i="4"/>
  <c r="D4" i="8"/>
  <c r="U14" i="11"/>
  <c r="T12" i="11"/>
  <c r="T14" i="11"/>
  <c r="U12" i="11"/>
  <c r="D34" i="3"/>
  <c r="D32" i="3"/>
  <c r="D33" i="3" s="1"/>
  <c r="F5" i="8" l="1"/>
  <c r="E6" i="8"/>
  <c r="B6" i="8"/>
  <c r="J150" i="12"/>
  <c r="J153" i="12"/>
  <c r="J271" i="12"/>
  <c r="K271" i="12"/>
  <c r="L271" i="12"/>
  <c r="K247" i="12"/>
  <c r="L247" i="12"/>
  <c r="J247" i="12"/>
  <c r="F208" i="12"/>
  <c r="F205" i="12"/>
  <c r="M15" i="16"/>
  <c r="M21" i="16" s="1"/>
  <c r="Q21" i="16"/>
  <c r="F253" i="12"/>
  <c r="F247" i="12"/>
  <c r="C6" i="9"/>
  <c r="E6" i="9"/>
  <c r="J19" i="2"/>
  <c r="K19" i="2" s="1"/>
  <c r="P21" i="16"/>
  <c r="H228" i="12"/>
  <c r="H209" i="12" s="1"/>
  <c r="J206" i="12"/>
  <c r="J208" i="12" s="1"/>
  <c r="G150" i="12"/>
  <c r="G206" i="12"/>
  <c r="G208" i="12" s="1"/>
  <c r="B21" i="10"/>
  <c r="E15" i="10"/>
  <c r="V17" i="4"/>
  <c r="Y17" i="4"/>
  <c r="K17" i="4"/>
  <c r="K23" i="4" s="1"/>
  <c r="N23" i="4"/>
  <c r="B6" i="9"/>
  <c r="J12" i="2"/>
  <c r="K12" i="2" s="1"/>
  <c r="AA26" i="4"/>
  <c r="AA17" i="4" s="1"/>
  <c r="AB26" i="4"/>
  <c r="AB17" i="4" s="1"/>
  <c r="Q26" i="4"/>
  <c r="Q17" i="4" s="1"/>
  <c r="AA27" i="4"/>
  <c r="P26" i="4"/>
  <c r="P17" i="4" s="1"/>
  <c r="F26" i="4"/>
  <c r="F17" i="4" s="1"/>
  <c r="E27" i="4"/>
  <c r="L3" i="8"/>
  <c r="E26" i="4"/>
  <c r="B17" i="4" s="1"/>
  <c r="J15" i="2"/>
  <c r="K15" i="2" s="1"/>
  <c r="P27" i="4"/>
  <c r="H199" i="12"/>
  <c r="K29" i="9"/>
  <c r="L29" i="8"/>
  <c r="H151" i="12"/>
  <c r="H153" i="12" s="1"/>
  <c r="F15" i="11"/>
  <c r="F21" i="11" s="1"/>
  <c r="E15" i="11"/>
  <c r="F137" i="12" s="1"/>
  <c r="B21" i="11"/>
  <c r="E15" i="13"/>
  <c r="B15" i="13"/>
  <c r="B21" i="13" s="1"/>
  <c r="Q24" i="10"/>
  <c r="Q15" i="10" s="1"/>
  <c r="J219" i="12" s="1"/>
  <c r="F21" i="10"/>
  <c r="F225" i="12" s="1"/>
  <c r="J177" i="12"/>
  <c r="J176" i="12" s="1"/>
  <c r="F179" i="12"/>
  <c r="K151" i="12"/>
  <c r="L49" i="8"/>
  <c r="J25" i="2"/>
  <c r="K25" i="2" s="1"/>
  <c r="K177" i="12"/>
  <c r="K176" i="12" s="1"/>
  <c r="G176" i="12"/>
  <c r="P24" i="10"/>
  <c r="G179" i="12"/>
  <c r="H24" i="13"/>
  <c r="H15" i="13" s="1"/>
  <c r="G24" i="13"/>
  <c r="G15" i="13" s="1"/>
  <c r="F21" i="13"/>
  <c r="Q24" i="13"/>
  <c r="P24" i="13"/>
  <c r="L161" i="12"/>
  <c r="L163" i="12"/>
  <c r="L136" i="12"/>
  <c r="L114" i="12"/>
  <c r="L87" i="12"/>
  <c r="L65" i="12"/>
  <c r="L63" i="12"/>
  <c r="L85" i="12"/>
  <c r="L18" i="12"/>
  <c r="L40" i="12"/>
  <c r="L112" i="12"/>
  <c r="L134" i="12"/>
  <c r="L16" i="12"/>
  <c r="L38" i="12"/>
  <c r="P24" i="11"/>
  <c r="H75" i="12"/>
  <c r="D56" i="12"/>
  <c r="D97" i="12"/>
  <c r="D78" i="12" s="1"/>
  <c r="F6" i="12"/>
  <c r="D17" i="3"/>
  <c r="K49" i="9"/>
  <c r="D35" i="3"/>
  <c r="J22" i="2" s="1"/>
  <c r="K22" i="2" s="1"/>
  <c r="Q24" i="11"/>
  <c r="D5" i="8"/>
  <c r="D5" i="9"/>
  <c r="K36" i="9"/>
  <c r="L36" i="8"/>
  <c r="G24" i="11"/>
  <c r="K16" i="9"/>
  <c r="G24" i="10"/>
  <c r="G15" i="10" s="1"/>
  <c r="L16" i="8"/>
  <c r="H24" i="11"/>
  <c r="H15" i="11" s="1"/>
  <c r="H24" i="10"/>
  <c r="H15" i="10" s="1"/>
  <c r="G219" i="12" s="1"/>
  <c r="F6" i="8"/>
  <c r="A7" i="8"/>
  <c r="C7" i="8" s="1"/>
  <c r="K6" i="9"/>
  <c r="D6" i="12"/>
  <c r="D8" i="12" s="1"/>
  <c r="H26" i="4"/>
  <c r="H17" i="4" s="1"/>
  <c r="G27" i="4"/>
  <c r="J13" i="2"/>
  <c r="K13" i="2" s="1"/>
  <c r="L6" i="8"/>
  <c r="D8" i="3"/>
  <c r="D9" i="3" s="1"/>
  <c r="A7" i="9"/>
  <c r="F5" i="12" l="1"/>
  <c r="F8" i="12"/>
  <c r="E7" i="8"/>
  <c r="B7" i="8"/>
  <c r="K150" i="12"/>
  <c r="K153" i="12"/>
  <c r="K277" i="12"/>
  <c r="J277" i="12"/>
  <c r="L277" i="12"/>
  <c r="L253" i="12"/>
  <c r="J253" i="12"/>
  <c r="K253" i="12"/>
  <c r="C7" i="9"/>
  <c r="E7" i="9"/>
  <c r="AD26" i="4"/>
  <c r="AD17" i="4" s="1"/>
  <c r="H21" i="16"/>
  <c r="G277" i="12" s="1"/>
  <c r="S24" i="16"/>
  <c r="S15" i="16" s="1"/>
  <c r="R24" i="16"/>
  <c r="E21" i="10"/>
  <c r="J205" i="12"/>
  <c r="K206" i="12"/>
  <c r="K208" i="12" s="1"/>
  <c r="G205" i="12"/>
  <c r="H150" i="12"/>
  <c r="H206" i="12"/>
  <c r="H208" i="12" s="1"/>
  <c r="M15" i="10"/>
  <c r="M21" i="10" s="1"/>
  <c r="P15" i="10"/>
  <c r="B23" i="4"/>
  <c r="E17" i="4"/>
  <c r="E23" i="4" s="1"/>
  <c r="B7" i="9"/>
  <c r="C66" i="12"/>
  <c r="S26" i="4"/>
  <c r="S17" i="4" s="1"/>
  <c r="AC26" i="4"/>
  <c r="AC17" i="4" s="1"/>
  <c r="AC27" i="4"/>
  <c r="R26" i="4"/>
  <c r="R17" i="4" s="1"/>
  <c r="C6" i="12"/>
  <c r="C8" i="12" s="1"/>
  <c r="J16" i="2"/>
  <c r="K16" i="2" s="1"/>
  <c r="R27" i="4"/>
  <c r="V23" i="4"/>
  <c r="L151" i="12"/>
  <c r="J88" i="12"/>
  <c r="F164" i="12"/>
  <c r="F41" i="12"/>
  <c r="F19" i="12"/>
  <c r="Z23" i="4"/>
  <c r="Q15" i="13"/>
  <c r="Q21" i="13" s="1"/>
  <c r="Q15" i="11"/>
  <c r="Q21" i="11" s="1"/>
  <c r="M15" i="11"/>
  <c r="M21" i="11" s="1"/>
  <c r="P15" i="11"/>
  <c r="P21" i="11" s="1"/>
  <c r="P15" i="13"/>
  <c r="M15" i="13"/>
  <c r="M21" i="13" s="1"/>
  <c r="G102" i="12"/>
  <c r="G101" i="12" s="1"/>
  <c r="G15" i="11"/>
  <c r="J66" i="12"/>
  <c r="Q21" i="10"/>
  <c r="J225" i="12" s="1"/>
  <c r="J179" i="12"/>
  <c r="L39" i="8"/>
  <c r="K179" i="12"/>
  <c r="F52" i="12"/>
  <c r="E21" i="13"/>
  <c r="F196" i="12" s="1"/>
  <c r="F190" i="12"/>
  <c r="R24" i="13"/>
  <c r="R15" i="13" s="1"/>
  <c r="J24" i="13"/>
  <c r="J15" i="13" s="1"/>
  <c r="I24" i="13"/>
  <c r="I15" i="13" s="1"/>
  <c r="H21" i="13"/>
  <c r="S24" i="13"/>
  <c r="J102" i="12"/>
  <c r="J101" i="12" s="1"/>
  <c r="J146" i="12"/>
  <c r="J105" i="12"/>
  <c r="K105" i="12"/>
  <c r="K146" i="12"/>
  <c r="E21" i="11"/>
  <c r="F143" i="12" s="1"/>
  <c r="F115" i="12"/>
  <c r="F126" i="12"/>
  <c r="F104" i="12"/>
  <c r="D88" i="12"/>
  <c r="F88" i="12"/>
  <c r="F30" i="12"/>
  <c r="F53" i="12"/>
  <c r="F77" i="12" s="1"/>
  <c r="H56" i="12"/>
  <c r="H97" i="12"/>
  <c r="H78" i="12" s="1"/>
  <c r="O23" i="4"/>
  <c r="F66" i="12"/>
  <c r="H23" i="4"/>
  <c r="D66" i="12"/>
  <c r="F31" i="12"/>
  <c r="C31" i="12"/>
  <c r="F25" i="12"/>
  <c r="F47" i="12"/>
  <c r="J6" i="12"/>
  <c r="K39" i="9"/>
  <c r="I24" i="11"/>
  <c r="I15" i="11" s="1"/>
  <c r="D6" i="8"/>
  <c r="I24" i="10"/>
  <c r="I15" i="10" s="1"/>
  <c r="J24" i="10"/>
  <c r="J15" i="10" s="1"/>
  <c r="H219" i="12" s="1"/>
  <c r="L19" i="8"/>
  <c r="J24" i="11"/>
  <c r="K19" i="9"/>
  <c r="K9" i="9"/>
  <c r="L9" i="8"/>
  <c r="H21" i="10"/>
  <c r="G225" i="12" s="1"/>
  <c r="S24" i="10"/>
  <c r="S15" i="10" s="1"/>
  <c r="K219" i="12" s="1"/>
  <c r="R24" i="10"/>
  <c r="R15" i="10" s="1"/>
  <c r="H21" i="11"/>
  <c r="S24" i="11"/>
  <c r="A8" i="8"/>
  <c r="C8" i="8" s="1"/>
  <c r="D6" i="9"/>
  <c r="G6" i="12"/>
  <c r="R24" i="11"/>
  <c r="R15" i="11" s="1"/>
  <c r="A8" i="9"/>
  <c r="F7" i="8" l="1"/>
  <c r="E8" i="8"/>
  <c r="B8" i="8"/>
  <c r="L150" i="12"/>
  <c r="L153" i="12"/>
  <c r="R15" i="16"/>
  <c r="R21" i="16" s="1"/>
  <c r="S21" i="16"/>
  <c r="G21" i="16"/>
  <c r="G247" i="12"/>
  <c r="F170" i="12"/>
  <c r="C8" i="9"/>
  <c r="E8" i="9"/>
  <c r="U24" i="16"/>
  <c r="U15" i="16" s="1"/>
  <c r="J21" i="16"/>
  <c r="H277" i="12" s="1"/>
  <c r="T24" i="16"/>
  <c r="P21" i="10"/>
  <c r="K205" i="12"/>
  <c r="L206" i="12"/>
  <c r="H205" i="12"/>
  <c r="B8" i="9"/>
  <c r="F23" i="4"/>
  <c r="C88" i="12"/>
  <c r="C5" i="12"/>
  <c r="C41" i="12"/>
  <c r="C19" i="12"/>
  <c r="C52" i="12"/>
  <c r="C53" i="12"/>
  <c r="C55" i="12" s="1"/>
  <c r="C30" i="12"/>
  <c r="J94" i="12"/>
  <c r="K173" i="12"/>
  <c r="J72" i="12"/>
  <c r="J115" i="12"/>
  <c r="J137" i="12"/>
  <c r="K102" i="12"/>
  <c r="K101" i="12" s="1"/>
  <c r="G126" i="12"/>
  <c r="G104" i="12"/>
  <c r="S15" i="11"/>
  <c r="S21" i="11" s="1"/>
  <c r="U24" i="11"/>
  <c r="J15" i="11"/>
  <c r="J21" i="11" s="1"/>
  <c r="S15" i="13"/>
  <c r="S21" i="13" s="1"/>
  <c r="T24" i="10"/>
  <c r="T15" i="10" s="1"/>
  <c r="U24" i="10"/>
  <c r="U15" i="10" s="1"/>
  <c r="L219" i="12" s="1"/>
  <c r="S21" i="10"/>
  <c r="K225" i="12" s="1"/>
  <c r="K28" i="12"/>
  <c r="K9" i="12" s="1"/>
  <c r="J164" i="12"/>
  <c r="F55" i="12"/>
  <c r="J52" i="12"/>
  <c r="G52" i="12"/>
  <c r="R21" i="13"/>
  <c r="K196" i="12" s="1"/>
  <c r="K190" i="12"/>
  <c r="G21" i="13"/>
  <c r="G196" i="12" s="1"/>
  <c r="G190" i="12"/>
  <c r="P21" i="13"/>
  <c r="J196" i="12" s="1"/>
  <c r="J190" i="12"/>
  <c r="T24" i="13"/>
  <c r="T15" i="13" s="1"/>
  <c r="J21" i="13"/>
  <c r="U24" i="13"/>
  <c r="G164" i="12"/>
  <c r="R21" i="10"/>
  <c r="K164" i="12"/>
  <c r="G137" i="12"/>
  <c r="G21" i="10"/>
  <c r="K66" i="12"/>
  <c r="K88" i="12"/>
  <c r="J41" i="12"/>
  <c r="J19" i="12"/>
  <c r="J143" i="12"/>
  <c r="J121" i="12"/>
  <c r="K115" i="12"/>
  <c r="K137" i="12"/>
  <c r="J126" i="12"/>
  <c r="K127" i="12"/>
  <c r="J127" i="12"/>
  <c r="J104" i="12"/>
  <c r="D5" i="12"/>
  <c r="D52" i="12"/>
  <c r="G5" i="12"/>
  <c r="J5" i="12"/>
  <c r="R21" i="11"/>
  <c r="G21" i="11"/>
  <c r="G115" i="12"/>
  <c r="F121" i="12"/>
  <c r="T24" i="11"/>
  <c r="T15" i="11" s="1"/>
  <c r="H102" i="12"/>
  <c r="H101" i="12" s="1"/>
  <c r="H88" i="12"/>
  <c r="G88" i="12"/>
  <c r="J30" i="12"/>
  <c r="J53" i="12"/>
  <c r="J77" i="12" s="1"/>
  <c r="D30" i="12"/>
  <c r="D53" i="12"/>
  <c r="D77" i="12" s="1"/>
  <c r="G30" i="12"/>
  <c r="G53" i="12"/>
  <c r="G77" i="12" s="1"/>
  <c r="F72" i="12"/>
  <c r="F94" i="12"/>
  <c r="D72" i="12"/>
  <c r="D94" i="12"/>
  <c r="AB23" i="4"/>
  <c r="S23" i="4"/>
  <c r="H66" i="12"/>
  <c r="Q23" i="4"/>
  <c r="G66" i="12"/>
  <c r="D41" i="12"/>
  <c r="J8" i="12"/>
  <c r="J31" i="12"/>
  <c r="G8" i="12"/>
  <c r="G31" i="12"/>
  <c r="D31" i="12"/>
  <c r="G19" i="12"/>
  <c r="G41" i="12"/>
  <c r="C25" i="12"/>
  <c r="C47" i="12"/>
  <c r="Y23" i="4"/>
  <c r="K6" i="12"/>
  <c r="H6" i="12"/>
  <c r="P23" i="4"/>
  <c r="A9" i="8"/>
  <c r="C9" i="8" s="1"/>
  <c r="F8" i="8"/>
  <c r="A9" i="9"/>
  <c r="D7" i="8"/>
  <c r="D19" i="12"/>
  <c r="G23" i="4"/>
  <c r="D7" i="9"/>
  <c r="E9" i="8" l="1"/>
  <c r="B9" i="8"/>
  <c r="G253" i="12"/>
  <c r="T15" i="16"/>
  <c r="T21" i="16" s="1"/>
  <c r="U21" i="16"/>
  <c r="I21" i="16"/>
  <c r="H247" i="12"/>
  <c r="J170" i="12"/>
  <c r="C9" i="9"/>
  <c r="E9" i="9"/>
  <c r="G170" i="12"/>
  <c r="K199" i="12"/>
  <c r="K228" i="12"/>
  <c r="K209" i="12" s="1"/>
  <c r="L205" i="12"/>
  <c r="L208" i="12"/>
  <c r="C94" i="12"/>
  <c r="B9" i="9"/>
  <c r="C72" i="12"/>
  <c r="T21" i="10"/>
  <c r="C77" i="12"/>
  <c r="K154" i="12"/>
  <c r="K104" i="12"/>
  <c r="K126" i="12"/>
  <c r="L164" i="12"/>
  <c r="K50" i="12"/>
  <c r="K75" i="12" s="1"/>
  <c r="U15" i="11"/>
  <c r="U21" i="11" s="1"/>
  <c r="U15" i="13"/>
  <c r="U21" i="13" s="1"/>
  <c r="U21" i="10"/>
  <c r="L225" i="12" s="1"/>
  <c r="L28" i="12"/>
  <c r="L50" i="12" s="1"/>
  <c r="J55" i="12"/>
  <c r="G55" i="12"/>
  <c r="D55" i="12"/>
  <c r="H52" i="12"/>
  <c r="K52" i="12"/>
  <c r="T21" i="13"/>
  <c r="L196" i="12" s="1"/>
  <c r="L190" i="12"/>
  <c r="I21" i="13"/>
  <c r="H196" i="12" s="1"/>
  <c r="H190" i="12"/>
  <c r="K170" i="12"/>
  <c r="H164" i="12"/>
  <c r="H137" i="12"/>
  <c r="I21" i="10"/>
  <c r="G143" i="12"/>
  <c r="J21" i="10"/>
  <c r="H225" i="12" s="1"/>
  <c r="K143" i="12"/>
  <c r="K121" i="12"/>
  <c r="L137" i="12"/>
  <c r="L115" i="12"/>
  <c r="K94" i="12"/>
  <c r="K72" i="12"/>
  <c r="K19" i="12"/>
  <c r="K41" i="12"/>
  <c r="J47" i="12"/>
  <c r="J25" i="12"/>
  <c r="L102" i="12"/>
  <c r="L101" i="12" s="1"/>
  <c r="K5" i="12"/>
  <c r="H5" i="12"/>
  <c r="L105" i="12"/>
  <c r="L146" i="12"/>
  <c r="T21" i="11"/>
  <c r="I21" i="11"/>
  <c r="H115" i="12"/>
  <c r="G121" i="12"/>
  <c r="H104" i="12"/>
  <c r="H126" i="12"/>
  <c r="H30" i="12"/>
  <c r="H53" i="12"/>
  <c r="H77" i="12" s="1"/>
  <c r="K30" i="12"/>
  <c r="K53" i="12"/>
  <c r="K77" i="12" s="1"/>
  <c r="H72" i="12"/>
  <c r="H94" i="12"/>
  <c r="G72" i="12"/>
  <c r="G94" i="12"/>
  <c r="D47" i="12"/>
  <c r="K8" i="12"/>
  <c r="H8" i="12"/>
  <c r="H31" i="12"/>
  <c r="H19" i="12"/>
  <c r="H41" i="12"/>
  <c r="G25" i="12"/>
  <c r="G47" i="12"/>
  <c r="AA23" i="4"/>
  <c r="L6" i="12"/>
  <c r="R23" i="4"/>
  <c r="D8" i="9"/>
  <c r="D8" i="8"/>
  <c r="A10" i="8"/>
  <c r="C10" i="8" s="1"/>
  <c r="A10" i="9"/>
  <c r="D25" i="12"/>
  <c r="F9" i="8" l="1"/>
  <c r="E10" i="8"/>
  <c r="B10" i="8"/>
  <c r="H253" i="12"/>
  <c r="C10" i="9"/>
  <c r="E10" i="9"/>
  <c r="L170" i="12"/>
  <c r="B10" i="9"/>
  <c r="AD23" i="4"/>
  <c r="L173" i="12"/>
  <c r="L88" i="12"/>
  <c r="K31" i="12"/>
  <c r="L66" i="12"/>
  <c r="L9" i="12"/>
  <c r="H55" i="12"/>
  <c r="K55" i="12"/>
  <c r="L104" i="12"/>
  <c r="L52" i="12"/>
  <c r="H170" i="12"/>
  <c r="H143" i="12"/>
  <c r="L41" i="12"/>
  <c r="L19" i="12"/>
  <c r="L126" i="12"/>
  <c r="L143" i="12"/>
  <c r="L121" i="12"/>
  <c r="K47" i="12"/>
  <c r="K25" i="12"/>
  <c r="L127" i="12"/>
  <c r="L5" i="12"/>
  <c r="H121" i="12"/>
  <c r="L30" i="12"/>
  <c r="L53" i="12"/>
  <c r="L77" i="12" s="1"/>
  <c r="L75" i="12"/>
  <c r="K56" i="12"/>
  <c r="K97" i="12"/>
  <c r="K78" i="12" s="1"/>
  <c r="L8" i="12"/>
  <c r="L31" i="12"/>
  <c r="H25" i="12"/>
  <c r="H47" i="12"/>
  <c r="AC23" i="4"/>
  <c r="D9" i="8"/>
  <c r="D9" i="9"/>
  <c r="A11" i="9"/>
  <c r="A11" i="8"/>
  <c r="C11" i="8" s="1"/>
  <c r="F10" i="8"/>
  <c r="E11" i="8" l="1"/>
  <c r="B11" i="8"/>
  <c r="C11" i="9"/>
  <c r="E11" i="9"/>
  <c r="L199" i="12"/>
  <c r="L228" i="12"/>
  <c r="L209" i="12" s="1"/>
  <c r="B11" i="9"/>
  <c r="L154" i="12"/>
  <c r="L94" i="12"/>
  <c r="L72" i="12"/>
  <c r="L55" i="12"/>
  <c r="L25" i="12"/>
  <c r="L47" i="12"/>
  <c r="L56" i="12"/>
  <c r="L97" i="12"/>
  <c r="L78" i="12" s="1"/>
  <c r="D10" i="9"/>
  <c r="D10" i="8"/>
  <c r="A12" i="8"/>
  <c r="C12" i="8" s="1"/>
  <c r="F11" i="8"/>
  <c r="A12" i="9"/>
  <c r="E12" i="8" l="1"/>
  <c r="B12" i="8"/>
  <c r="C12" i="9"/>
  <c r="E12" i="9"/>
  <c r="B12" i="9"/>
  <c r="A13" i="9"/>
  <c r="D11" i="9"/>
  <c r="D11" i="8"/>
  <c r="A13" i="8"/>
  <c r="C13" i="8" s="1"/>
  <c r="F12" i="8" l="1"/>
  <c r="E13" i="8"/>
  <c r="B13" i="8"/>
  <c r="C13" i="9"/>
  <c r="E13" i="9"/>
  <c r="B13" i="9"/>
  <c r="D12" i="9"/>
  <c r="A14" i="8"/>
  <c r="C14" i="8" s="1"/>
  <c r="D12" i="8"/>
  <c r="A14" i="9"/>
  <c r="F13" i="8" l="1"/>
  <c r="E14" i="8"/>
  <c r="B14" i="8"/>
  <c r="C14" i="9"/>
  <c r="E14" i="9"/>
  <c r="B14" i="9"/>
  <c r="D13" i="9"/>
  <c r="D13" i="8"/>
  <c r="A15" i="9"/>
  <c r="A15" i="8"/>
  <c r="C15" i="8" s="1"/>
  <c r="F14" i="8" l="1"/>
  <c r="E15" i="8"/>
  <c r="B15" i="8"/>
  <c r="C15" i="9"/>
  <c r="E15" i="9"/>
  <c r="B15" i="9"/>
  <c r="D14" i="9"/>
  <c r="D14" i="8"/>
  <c r="A16" i="8"/>
  <c r="C16" i="8" s="1"/>
  <c r="A16" i="9"/>
  <c r="F15" i="8" l="1"/>
  <c r="E16" i="8"/>
  <c r="B16" i="8"/>
  <c r="F16" i="8" s="1"/>
  <c r="C16" i="9"/>
  <c r="E16" i="9"/>
  <c r="B16" i="9"/>
  <c r="D15" i="9"/>
  <c r="A17" i="9"/>
  <c r="A17" i="8"/>
  <c r="C17" i="8" s="1"/>
  <c r="D15" i="8"/>
  <c r="E17" i="8" l="1"/>
  <c r="B17" i="8"/>
  <c r="F17" i="8" s="1"/>
  <c r="C17" i="9"/>
  <c r="E17" i="9"/>
  <c r="B17" i="9"/>
  <c r="D16" i="9"/>
  <c r="D16" i="8"/>
  <c r="A18" i="9"/>
  <c r="A18" i="8"/>
  <c r="C18" i="8" s="1"/>
  <c r="E18" i="8" l="1"/>
  <c r="B18" i="8"/>
  <c r="C18" i="9"/>
  <c r="E18" i="9"/>
  <c r="B18" i="9"/>
  <c r="D17" i="8"/>
  <c r="D17" i="9"/>
  <c r="F18" i="8"/>
  <c r="A19" i="8"/>
  <c r="C19" i="8" s="1"/>
  <c r="A19" i="9"/>
  <c r="E19" i="8" l="1"/>
  <c r="B19" i="8"/>
  <c r="C19" i="9"/>
  <c r="E19" i="9"/>
  <c r="B19" i="9"/>
  <c r="D18" i="9"/>
  <c r="A20" i="9"/>
  <c r="F19" i="8"/>
  <c r="A20" i="8"/>
  <c r="C20" i="8" s="1"/>
  <c r="D18" i="8"/>
  <c r="E20" i="8" l="1"/>
  <c r="B20" i="8"/>
  <c r="C20" i="9"/>
  <c r="E20" i="9"/>
  <c r="B20" i="9"/>
  <c r="D19" i="8"/>
  <c r="D19" i="9"/>
  <c r="A21" i="9"/>
  <c r="A21" i="8"/>
  <c r="C21" i="8" s="1"/>
  <c r="F20" i="8"/>
  <c r="E21" i="8" l="1"/>
  <c r="B21" i="8"/>
  <c r="C21" i="9"/>
  <c r="E21" i="9"/>
  <c r="B21" i="9"/>
  <c r="D20" i="9"/>
  <c r="A22" i="8"/>
  <c r="C22" i="8" s="1"/>
  <c r="D20" i="8"/>
  <c r="A22" i="9"/>
  <c r="F21" i="8" l="1"/>
  <c r="E22" i="8"/>
  <c r="B22" i="8"/>
  <c r="C22" i="9"/>
  <c r="E22" i="9"/>
  <c r="B22" i="9"/>
  <c r="D21" i="9"/>
  <c r="A23" i="9"/>
  <c r="A23" i="8"/>
  <c r="C23" i="8" s="1"/>
  <c r="D21" i="8"/>
  <c r="F22" i="8" l="1"/>
  <c r="E23" i="8"/>
  <c r="B23" i="8"/>
  <c r="C23" i="9"/>
  <c r="E23" i="9"/>
  <c r="B23" i="9"/>
  <c r="D22" i="8"/>
  <c r="D22" i="9"/>
  <c r="A24" i="8"/>
  <c r="C24" i="8" s="1"/>
  <c r="A24" i="9"/>
  <c r="F23" i="8" l="1"/>
  <c r="E24" i="8"/>
  <c r="B24" i="8"/>
  <c r="C24" i="9"/>
  <c r="E24" i="9"/>
  <c r="B24" i="9"/>
  <c r="A25" i="9"/>
  <c r="D23" i="9"/>
  <c r="F24" i="8"/>
  <c r="A25" i="8"/>
  <c r="C25" i="8" s="1"/>
  <c r="D23" i="8"/>
  <c r="E25" i="8" l="1"/>
  <c r="B25" i="8"/>
  <c r="C25" i="9"/>
  <c r="E25" i="9"/>
  <c r="B25" i="9"/>
  <c r="D24" i="9"/>
  <c r="D24" i="8"/>
  <c r="A26" i="8"/>
  <c r="C26" i="8" s="1"/>
  <c r="A26" i="9"/>
  <c r="F25" i="8" l="1"/>
  <c r="E26" i="8"/>
  <c r="B26" i="8"/>
  <c r="C26" i="9"/>
  <c r="E26" i="9"/>
  <c r="B26" i="9"/>
  <c r="D25" i="9"/>
  <c r="A27" i="8"/>
  <c r="C27" i="8" s="1"/>
  <c r="A27" i="9"/>
  <c r="D25" i="8"/>
  <c r="F26" i="8" l="1"/>
  <c r="E27" i="8"/>
  <c r="B27" i="8"/>
  <c r="C27" i="9"/>
  <c r="E27" i="9"/>
  <c r="B27" i="9"/>
  <c r="D26" i="8"/>
  <c r="F27" i="8"/>
  <c r="A28" i="8"/>
  <c r="C28" i="8" s="1"/>
  <c r="D26" i="9"/>
  <c r="A28" i="9"/>
  <c r="E28" i="8" l="1"/>
  <c r="B28" i="8"/>
  <c r="C28" i="9"/>
  <c r="E28" i="9"/>
  <c r="B28" i="9"/>
  <c r="D27" i="9"/>
  <c r="D27" i="8"/>
  <c r="A29" i="8"/>
  <c r="C29" i="8" s="1"/>
  <c r="F28" i="8"/>
  <c r="A29" i="9"/>
  <c r="E29" i="8" l="1"/>
  <c r="B29" i="8"/>
  <c r="C29" i="9"/>
  <c r="E29" i="9"/>
  <c r="B29" i="9"/>
  <c r="D28" i="9"/>
  <c r="D28" i="8"/>
  <c r="A30" i="9"/>
  <c r="A30" i="8"/>
  <c r="C30" i="8" s="1"/>
  <c r="F29" i="8" l="1"/>
  <c r="E30" i="8"/>
  <c r="B30" i="8"/>
  <c r="C30" i="9"/>
  <c r="E30" i="9"/>
  <c r="B30" i="9"/>
  <c r="D29" i="8"/>
  <c r="A31" i="8"/>
  <c r="C31" i="8" s="1"/>
  <c r="A31" i="9"/>
  <c r="D29" i="9"/>
  <c r="F30" i="8" l="1"/>
  <c r="E31" i="8"/>
  <c r="B31" i="8"/>
  <c r="C31" i="9"/>
  <c r="E31" i="9"/>
  <c r="B31" i="9"/>
  <c r="D30" i="8"/>
  <c r="A32" i="9"/>
  <c r="D30" i="9"/>
  <c r="F31" i="8"/>
  <c r="A32" i="8"/>
  <c r="C32" i="8" s="1"/>
  <c r="E32" i="8" l="1"/>
  <c r="B32" i="8"/>
  <c r="C32" i="9"/>
  <c r="E32" i="9"/>
  <c r="B32" i="9"/>
  <c r="A33" i="8"/>
  <c r="C33" i="8" s="1"/>
  <c r="D31" i="8"/>
  <c r="D31" i="9"/>
  <c r="F32" i="8"/>
  <c r="A33" i="9"/>
  <c r="E33" i="8" l="1"/>
  <c r="B33" i="8"/>
  <c r="C33" i="9"/>
  <c r="E33" i="9"/>
  <c r="B33" i="9"/>
  <c r="D32" i="8"/>
  <c r="D32" i="9"/>
  <c r="A34" i="9"/>
  <c r="A34" i="8"/>
  <c r="C34" i="8" s="1"/>
  <c r="E34" i="8" l="1"/>
  <c r="B34" i="8"/>
  <c r="C34" i="9"/>
  <c r="E34" i="9"/>
  <c r="D33" i="8"/>
  <c r="F33" i="8"/>
  <c r="B34" i="9"/>
  <c r="D33" i="9"/>
  <c r="A35" i="9"/>
  <c r="A35" i="8"/>
  <c r="C35" i="8" s="1"/>
  <c r="E35" i="8" l="1"/>
  <c r="B35" i="8"/>
  <c r="D34" i="8"/>
  <c r="C35" i="9"/>
  <c r="E35" i="9"/>
  <c r="F34" i="8"/>
  <c r="B35" i="9"/>
  <c r="D34" i="9"/>
  <c r="A36" i="8"/>
  <c r="C36" i="8" s="1"/>
  <c r="A36" i="9"/>
  <c r="E36" i="8" l="1"/>
  <c r="B36" i="8"/>
  <c r="D35" i="8"/>
  <c r="C36" i="9"/>
  <c r="E36" i="9"/>
  <c r="F35" i="8"/>
  <c r="B36" i="9"/>
  <c r="D35" i="9"/>
  <c r="F36" i="8"/>
  <c r="A37" i="8"/>
  <c r="C37" i="8" s="1"/>
  <c r="A37" i="9"/>
  <c r="E37" i="8" l="1"/>
  <c r="B37" i="8"/>
  <c r="C37" i="9"/>
  <c r="E37" i="9"/>
  <c r="D36" i="8"/>
  <c r="B37" i="9"/>
  <c r="D36" i="9"/>
  <c r="A38" i="9"/>
  <c r="A38" i="8"/>
  <c r="C38" i="8" s="1"/>
  <c r="E38" i="8" l="1"/>
  <c r="B38" i="8"/>
  <c r="C38" i="9"/>
  <c r="E38" i="9"/>
  <c r="D37" i="8"/>
  <c r="F37" i="8"/>
  <c r="B38" i="9"/>
  <c r="A39" i="8"/>
  <c r="C39" i="8" s="1"/>
  <c r="D37" i="9"/>
  <c r="A39" i="9"/>
  <c r="E39" i="8" l="1"/>
  <c r="B39" i="8"/>
  <c r="C39" i="9"/>
  <c r="E39" i="9"/>
  <c r="D38" i="8"/>
  <c r="F38" i="8"/>
  <c r="B39" i="9"/>
  <c r="D38" i="9"/>
  <c r="A40" i="8"/>
  <c r="C40" i="8" s="1"/>
  <c r="A40" i="9"/>
  <c r="E40" i="8" l="1"/>
  <c r="B40" i="8"/>
  <c r="D39" i="8"/>
  <c r="C40" i="9"/>
  <c r="E40" i="9"/>
  <c r="F39" i="8"/>
  <c r="B40" i="9"/>
  <c r="D39" i="9"/>
  <c r="A41" i="9"/>
  <c r="A41" i="8"/>
  <c r="C41" i="8" s="1"/>
  <c r="E41" i="8" l="1"/>
  <c r="B41" i="8"/>
  <c r="D40" i="8"/>
  <c r="C41" i="9"/>
  <c r="E41" i="9"/>
  <c r="F40" i="8"/>
  <c r="B41" i="9"/>
  <c r="D40" i="9"/>
  <c r="A42" i="9"/>
  <c r="A42" i="8"/>
  <c r="C42" i="8" s="1"/>
  <c r="E42" i="8" l="1"/>
  <c r="B42" i="8"/>
  <c r="D41" i="8"/>
  <c r="C42" i="9"/>
  <c r="E42" i="9"/>
  <c r="F41" i="8"/>
  <c r="B42" i="9"/>
  <c r="D41" i="9"/>
  <c r="A43" i="8"/>
  <c r="C43" i="8" s="1"/>
  <c r="A43" i="9"/>
  <c r="E43" i="8" l="1"/>
  <c r="B43" i="8"/>
  <c r="D42" i="8"/>
  <c r="C43" i="9"/>
  <c r="E43" i="9"/>
  <c r="F42" i="8"/>
  <c r="B43" i="9"/>
  <c r="A44" i="9"/>
  <c r="D42" i="9"/>
  <c r="A44" i="8"/>
  <c r="C44" i="8" s="1"/>
  <c r="E44" i="8" l="1"/>
  <c r="B44" i="8"/>
  <c r="D43" i="8"/>
  <c r="C44" i="9"/>
  <c r="E44" i="9"/>
  <c r="F43" i="8"/>
  <c r="B44" i="9"/>
  <c r="A45" i="8"/>
  <c r="C45" i="8" s="1"/>
  <c r="A45" i="9"/>
  <c r="D43" i="9"/>
  <c r="E45" i="8" l="1"/>
  <c r="B45" i="8"/>
  <c r="D44" i="8"/>
  <c r="C45" i="9"/>
  <c r="E45" i="9"/>
  <c r="F44" i="8"/>
  <c r="B45" i="9"/>
  <c r="D44" i="9"/>
  <c r="A46" i="9"/>
  <c r="A46" i="8"/>
  <c r="C46" i="8" s="1"/>
  <c r="E46" i="8" l="1"/>
  <c r="B46" i="8"/>
  <c r="D45" i="8"/>
  <c r="C46" i="9"/>
  <c r="E46" i="9"/>
  <c r="F45" i="8"/>
  <c r="B46" i="9"/>
  <c r="D45" i="9"/>
  <c r="A47" i="8"/>
  <c r="C47" i="8" s="1"/>
  <c r="A47" i="9"/>
  <c r="F46" i="8" l="1"/>
  <c r="E47" i="8"/>
  <c r="B47" i="8"/>
  <c r="C47" i="9"/>
  <c r="E47" i="9"/>
  <c r="D46" i="8"/>
  <c r="B47" i="9"/>
  <c r="D46" i="9"/>
  <c r="A48" i="9"/>
  <c r="A48" i="8"/>
  <c r="C48" i="8" s="1"/>
  <c r="E48" i="8" l="1"/>
  <c r="B48" i="8"/>
  <c r="D47" i="8"/>
  <c r="C48" i="9"/>
  <c r="E48" i="9"/>
  <c r="F47" i="8"/>
  <c r="B48" i="9"/>
  <c r="D47" i="9"/>
  <c r="A49" i="8"/>
  <c r="C49" i="8" s="1"/>
  <c r="A49" i="9"/>
  <c r="F48" i="8" l="1"/>
  <c r="E49" i="8"/>
  <c r="B49" i="8"/>
  <c r="C49" i="9"/>
  <c r="E49" i="9"/>
  <c r="D48" i="8"/>
  <c r="B49" i="9"/>
  <c r="A50" i="9"/>
  <c r="D48" i="9"/>
  <c r="A50" i="8"/>
  <c r="C50" i="8" s="1"/>
  <c r="E50" i="8" l="1"/>
  <c r="B50" i="8"/>
  <c r="D49" i="8"/>
  <c r="C50" i="9"/>
  <c r="E50" i="9"/>
  <c r="F49" i="8"/>
  <c r="B50" i="9"/>
  <c r="D49" i="9"/>
  <c r="A51" i="9"/>
  <c r="A51" i="8"/>
  <c r="C51" i="8" s="1"/>
  <c r="F50" i="8" l="1"/>
  <c r="E51" i="8"/>
  <c r="B51" i="8"/>
  <c r="F51" i="8" s="1"/>
  <c r="C51" i="9"/>
  <c r="E51" i="9"/>
  <c r="B51" i="9"/>
  <c r="D50" i="9"/>
  <c r="D50" i="8"/>
  <c r="A52" i="8"/>
  <c r="C52" i="8" s="1"/>
  <c r="A52" i="9"/>
  <c r="E52" i="8" l="1"/>
  <c r="B52" i="8"/>
  <c r="C52" i="9"/>
  <c r="E52" i="9"/>
  <c r="B52" i="9"/>
  <c r="A53" i="9"/>
  <c r="D51" i="8"/>
  <c r="D51" i="9"/>
  <c r="A53" i="8"/>
  <c r="C53" i="8" s="1"/>
  <c r="F52" i="8"/>
  <c r="E53" i="8" l="1"/>
  <c r="B53" i="8"/>
  <c r="C53" i="9"/>
  <c r="E53" i="9"/>
  <c r="B53" i="9"/>
  <c r="D52" i="9"/>
  <c r="D52" i="8"/>
  <c r="A54" i="8"/>
  <c r="C54" i="8" s="1"/>
  <c r="A54" i="9"/>
  <c r="F53" i="8" l="1"/>
  <c r="E54" i="8"/>
  <c r="B54" i="8"/>
  <c r="C54" i="9"/>
  <c r="E54" i="9"/>
  <c r="B54" i="9"/>
  <c r="D53" i="9"/>
  <c r="A55" i="9"/>
  <c r="A55" i="8"/>
  <c r="C55" i="8" s="1"/>
  <c r="F54" i="8"/>
  <c r="D53" i="8"/>
  <c r="E55" i="8" l="1"/>
  <c r="B55" i="8"/>
  <c r="C55" i="9"/>
  <c r="E55" i="9"/>
  <c r="B55" i="9"/>
  <c r="D54" i="9"/>
  <c r="D54" i="8"/>
  <c r="A56" i="9"/>
  <c r="A56" i="8"/>
  <c r="C56" i="8" s="1"/>
  <c r="F55" i="8"/>
  <c r="E56" i="8" l="1"/>
  <c r="B56" i="8"/>
  <c r="F56" i="8" s="1"/>
  <c r="C56" i="9"/>
  <c r="E56" i="9"/>
  <c r="B56" i="9"/>
  <c r="D55" i="8"/>
  <c r="D55" i="9"/>
  <c r="A57" i="8"/>
  <c r="C57" i="8" s="1"/>
  <c r="A57" i="9"/>
  <c r="E57" i="8" l="1"/>
  <c r="B57" i="8"/>
  <c r="C57" i="9"/>
  <c r="E57" i="9"/>
  <c r="B57" i="9"/>
  <c r="D56" i="8"/>
  <c r="D56" i="9"/>
  <c r="A58" i="9"/>
  <c r="A58" i="8"/>
  <c r="C58" i="8" s="1"/>
  <c r="F57" i="8"/>
  <c r="E58" i="8" l="1"/>
  <c r="B58" i="8"/>
  <c r="F58" i="8" s="1"/>
  <c r="C58" i="9"/>
  <c r="E58" i="9"/>
  <c r="B58" i="9"/>
  <c r="D57" i="9"/>
  <c r="A59" i="8"/>
  <c r="C59" i="8" s="1"/>
  <c r="A59" i="9"/>
  <c r="D57" i="8"/>
  <c r="E59" i="8" l="1"/>
  <c r="B59" i="8"/>
  <c r="C59" i="9"/>
  <c r="E59" i="9"/>
  <c r="B59" i="9"/>
  <c r="D58" i="8"/>
  <c r="D58" i="9"/>
  <c r="A60" i="9"/>
  <c r="A60" i="8"/>
  <c r="C60" i="8" s="1"/>
  <c r="F59" i="8" l="1"/>
  <c r="E60" i="8"/>
  <c r="B60" i="8"/>
  <c r="C60" i="9"/>
  <c r="E60" i="9"/>
  <c r="B60" i="9"/>
  <c r="D59" i="8"/>
  <c r="D59" i="9"/>
  <c r="A61" i="9"/>
  <c r="A61" i="8"/>
  <c r="C61" i="8" s="1"/>
  <c r="F60" i="8" l="1"/>
  <c r="E61" i="8"/>
  <c r="B61" i="8"/>
  <c r="C61" i="9"/>
  <c r="E61" i="9"/>
  <c r="B61" i="9"/>
  <c r="D60" i="8"/>
  <c r="A62" i="9"/>
  <c r="D60" i="9"/>
  <c r="A62" i="8"/>
  <c r="C62" i="8" s="1"/>
  <c r="F61" i="8" l="1"/>
  <c r="E62" i="8"/>
  <c r="B62" i="8"/>
  <c r="C62" i="9"/>
  <c r="E62" i="9"/>
  <c r="B62" i="9"/>
  <c r="D61" i="9"/>
  <c r="D61" i="8"/>
  <c r="A63" i="9"/>
  <c r="A63" i="8"/>
  <c r="C63" i="8" s="1"/>
  <c r="F62" i="8"/>
  <c r="E63" i="8" l="1"/>
  <c r="B63" i="8"/>
  <c r="C63" i="9"/>
  <c r="E63" i="9"/>
  <c r="B63" i="9"/>
  <c r="D62" i="8"/>
  <c r="A64" i="8"/>
  <c r="C64" i="8" s="1"/>
  <c r="D62" i="9"/>
  <c r="A64" i="9"/>
  <c r="F63" i="8" l="1"/>
  <c r="E64" i="8"/>
  <c r="B64" i="8"/>
  <c r="C64" i="9"/>
  <c r="E64" i="9"/>
  <c r="B64" i="9"/>
  <c r="D63" i="8"/>
  <c r="D63" i="9"/>
  <c r="A65" i="9"/>
  <c r="A65" i="8"/>
  <c r="C65" i="8" s="1"/>
  <c r="F64" i="8"/>
  <c r="E65" i="8" l="1"/>
  <c r="B65" i="8"/>
  <c r="C65" i="9"/>
  <c r="E65" i="9"/>
  <c r="B65" i="9"/>
  <c r="D64" i="9"/>
  <c r="A66" i="8"/>
  <c r="D64" i="8"/>
  <c r="A66" i="9"/>
  <c r="F65" i="8" l="1"/>
  <c r="B66" i="8"/>
  <c r="C66" i="8"/>
  <c r="C66" i="9"/>
  <c r="E66" i="9"/>
  <c r="K60" i="9" s="1" a="1"/>
  <c r="K60" i="9" s="1"/>
  <c r="J22" i="16" s="1"/>
  <c r="H278" i="12" s="1"/>
  <c r="E66" i="8"/>
  <c r="B66" i="9"/>
  <c r="D65" i="9"/>
  <c r="D65" i="8"/>
  <c r="K54" i="9" l="1" a="1"/>
  <c r="K54" i="9" s="1"/>
  <c r="F22" i="16" s="1"/>
  <c r="K57" i="9" a="1"/>
  <c r="K57" i="9" s="1"/>
  <c r="H22" i="16" s="1"/>
  <c r="G278" i="12" s="1"/>
  <c r="F66" i="8"/>
  <c r="L60" i="8" s="1" a="1"/>
  <c r="L60" i="8" s="1"/>
  <c r="I22" i="16" s="1"/>
  <c r="L57" i="8" a="1"/>
  <c r="L57" i="8" s="1"/>
  <c r="G22" i="16" s="1"/>
  <c r="D66" i="9"/>
  <c r="D66" i="8"/>
  <c r="L54" i="8" l="1" a="1"/>
  <c r="L54" i="8" s="1"/>
  <c r="E22" i="16" s="1"/>
  <c r="E23" i="16" s="1"/>
  <c r="F255" i="12" s="1"/>
  <c r="F235" i="12" s="1"/>
  <c r="F23" i="16"/>
  <c r="F279" i="12" s="1"/>
  <c r="F259" i="12" s="1"/>
  <c r="F278" i="12"/>
  <c r="G23" i="16"/>
  <c r="G255" i="12" s="1"/>
  <c r="G235" i="12" s="1"/>
  <c r="I23" i="16"/>
  <c r="H255" i="12" s="1"/>
  <c r="H235" i="12" s="1"/>
  <c r="G254" i="12"/>
  <c r="H254" i="12"/>
  <c r="L47" i="8" a="1"/>
  <c r="L47" i="8" s="1"/>
  <c r="K4" i="9"/>
  <c r="F24" i="4" s="1"/>
  <c r="K30" i="9"/>
  <c r="L24" i="8"/>
  <c r="L4" i="8"/>
  <c r="K7" i="9"/>
  <c r="H24" i="4" s="1"/>
  <c r="K37" i="9"/>
  <c r="K50" i="9"/>
  <c r="K40" i="9"/>
  <c r="K24" i="9"/>
  <c r="K14" i="9"/>
  <c r="K44" i="9"/>
  <c r="K34" i="9"/>
  <c r="K20" i="9"/>
  <c r="K27" i="9"/>
  <c r="K10" i="9"/>
  <c r="K17" i="9"/>
  <c r="K47" i="9"/>
  <c r="L10" i="8"/>
  <c r="L44" i="8"/>
  <c r="L7" i="8"/>
  <c r="G24" i="4" s="1"/>
  <c r="L34" i="8"/>
  <c r="L50" i="8"/>
  <c r="L30" i="8"/>
  <c r="L20" i="8"/>
  <c r="L40" i="8"/>
  <c r="L27" i="8"/>
  <c r="L14" i="8"/>
  <c r="L17" i="8"/>
  <c r="L37" i="8"/>
  <c r="F254" i="12" l="1"/>
  <c r="E22" i="11"/>
  <c r="F144" i="12" s="1"/>
  <c r="I22" i="11"/>
  <c r="H122" i="12" s="1"/>
  <c r="F22" i="11"/>
  <c r="Q22" i="11" s="1"/>
  <c r="Q23" i="11" s="1"/>
  <c r="J22" i="11"/>
  <c r="J23" i="11" s="1"/>
  <c r="H22" i="11"/>
  <c r="H23" i="11" s="1"/>
  <c r="G22" i="11"/>
  <c r="G23" i="11" s="1"/>
  <c r="E24" i="4"/>
  <c r="E25" i="4" s="1"/>
  <c r="H22" i="10"/>
  <c r="H22" i="13"/>
  <c r="E22" i="10"/>
  <c r="E22" i="13"/>
  <c r="F197" i="12" s="1"/>
  <c r="F22" i="10"/>
  <c r="F22" i="13"/>
  <c r="I22" i="10"/>
  <c r="I22" i="13"/>
  <c r="H197" i="12" s="1"/>
  <c r="J22" i="10"/>
  <c r="J22" i="13"/>
  <c r="G22" i="10"/>
  <c r="G22" i="13"/>
  <c r="G197" i="12" s="1"/>
  <c r="C95" i="12"/>
  <c r="D95" i="12"/>
  <c r="H25" i="4"/>
  <c r="D205" i="12" s="1"/>
  <c r="D73" i="12"/>
  <c r="F25" i="4"/>
  <c r="C73" i="12"/>
  <c r="D48" i="12"/>
  <c r="AB24" i="4"/>
  <c r="Q24" i="4"/>
  <c r="AD24" i="4"/>
  <c r="S24" i="4"/>
  <c r="Z24" i="4"/>
  <c r="O24" i="4"/>
  <c r="AC24" i="4"/>
  <c r="R24" i="4"/>
  <c r="AA24" i="4"/>
  <c r="P24" i="4"/>
  <c r="G25" i="4"/>
  <c r="D26" i="12"/>
  <c r="Y24" i="4"/>
  <c r="N24" i="4"/>
  <c r="T22" i="11" l="1"/>
  <c r="F122" i="12"/>
  <c r="H144" i="12"/>
  <c r="P22" i="11"/>
  <c r="E23" i="11"/>
  <c r="G144" i="12"/>
  <c r="G122" i="12"/>
  <c r="S22" i="11"/>
  <c r="S23" i="11" s="1"/>
  <c r="R22" i="11"/>
  <c r="K122" i="12" s="1"/>
  <c r="U22" i="11"/>
  <c r="U23" i="11" s="1"/>
  <c r="I23" i="11"/>
  <c r="H145" i="12" s="1"/>
  <c r="F23" i="11"/>
  <c r="U22" i="16"/>
  <c r="J23" i="16"/>
  <c r="H279" i="12" s="1"/>
  <c r="H259" i="12" s="1"/>
  <c r="T22" i="16"/>
  <c r="T23" i="16" s="1"/>
  <c r="R22" i="16"/>
  <c r="R23" i="16" s="1"/>
  <c r="S22" i="16"/>
  <c r="H23" i="16"/>
  <c r="G279" i="12" s="1"/>
  <c r="G259" i="12" s="1"/>
  <c r="Q22" i="16"/>
  <c r="P22" i="16"/>
  <c r="J23" i="10"/>
  <c r="H227" i="12" s="1"/>
  <c r="H207" i="12" s="1"/>
  <c r="H226" i="12"/>
  <c r="F23" i="10"/>
  <c r="F227" i="12" s="1"/>
  <c r="F207" i="12" s="1"/>
  <c r="F226" i="12"/>
  <c r="H23" i="10"/>
  <c r="G227" i="12" s="1"/>
  <c r="G207" i="12" s="1"/>
  <c r="G226" i="12"/>
  <c r="R22" i="10"/>
  <c r="I23" i="10"/>
  <c r="E23" i="10"/>
  <c r="P22" i="10"/>
  <c r="C48" i="12"/>
  <c r="C26" i="12"/>
  <c r="F171" i="12"/>
  <c r="S22" i="10"/>
  <c r="Q22" i="10"/>
  <c r="G23" i="10"/>
  <c r="G171" i="12"/>
  <c r="H171" i="12"/>
  <c r="T22" i="10"/>
  <c r="U22" i="10"/>
  <c r="U22" i="13"/>
  <c r="U23" i="13" s="1"/>
  <c r="J23" i="13"/>
  <c r="I23" i="13"/>
  <c r="H198" i="12" s="1"/>
  <c r="T22" i="13"/>
  <c r="P22" i="13"/>
  <c r="E23" i="13"/>
  <c r="F198" i="12" s="1"/>
  <c r="S22" i="13"/>
  <c r="S23" i="13" s="1"/>
  <c r="H23" i="13"/>
  <c r="R22" i="13"/>
  <c r="G23" i="13"/>
  <c r="G198" i="12" s="1"/>
  <c r="F23" i="13"/>
  <c r="Q22" i="13"/>
  <c r="Q23" i="13" s="1"/>
  <c r="J180" i="12"/>
  <c r="G145" i="12"/>
  <c r="F145" i="12"/>
  <c r="K26" i="12"/>
  <c r="K48" i="12"/>
  <c r="L26" i="12"/>
  <c r="L48" i="12"/>
  <c r="L144" i="12"/>
  <c r="L122" i="12"/>
  <c r="K73" i="12"/>
  <c r="K95" i="12"/>
  <c r="J73" i="12"/>
  <c r="J95" i="12"/>
  <c r="J144" i="12"/>
  <c r="J122" i="12"/>
  <c r="J48" i="12"/>
  <c r="J26" i="12"/>
  <c r="L95" i="12"/>
  <c r="L73" i="12"/>
  <c r="T23" i="11"/>
  <c r="P23" i="11"/>
  <c r="G123" i="12"/>
  <c r="F123" i="12"/>
  <c r="G95" i="12"/>
  <c r="F95" i="12"/>
  <c r="H95" i="12"/>
  <c r="C74" i="12"/>
  <c r="C54" i="12" s="1"/>
  <c r="C96" i="12"/>
  <c r="C76" i="12" s="1"/>
  <c r="D74" i="12"/>
  <c r="D54" i="12" s="1"/>
  <c r="D96" i="12"/>
  <c r="D76" i="12" s="1"/>
  <c r="AD25" i="4"/>
  <c r="AB25" i="4"/>
  <c r="Z25" i="4"/>
  <c r="S25" i="4"/>
  <c r="H73" i="12"/>
  <c r="Q25" i="4"/>
  <c r="G73" i="12"/>
  <c r="O25" i="4"/>
  <c r="F73" i="12"/>
  <c r="D49" i="12"/>
  <c r="D29" i="12" s="1"/>
  <c r="H26" i="12"/>
  <c r="H48" i="12"/>
  <c r="C27" i="12"/>
  <c r="C7" i="12" s="1"/>
  <c r="C49" i="12"/>
  <c r="C29" i="12" s="1"/>
  <c r="F26" i="12"/>
  <c r="F48" i="12"/>
  <c r="G26" i="12"/>
  <c r="G48" i="12"/>
  <c r="AC25" i="4"/>
  <c r="AA25" i="4"/>
  <c r="Y25" i="4"/>
  <c r="R25" i="4"/>
  <c r="P25" i="4"/>
  <c r="N25" i="4"/>
  <c r="D27" i="12"/>
  <c r="D7" i="12" s="1"/>
  <c r="L278" i="12" l="1"/>
  <c r="K278" i="12"/>
  <c r="J278" i="12"/>
  <c r="P23" i="16"/>
  <c r="K254" i="12"/>
  <c r="J254" i="12"/>
  <c r="L254" i="12"/>
  <c r="H123" i="12"/>
  <c r="H103" i="12" s="1"/>
  <c r="S23" i="16"/>
  <c r="Q23" i="16"/>
  <c r="U23" i="16"/>
  <c r="F172" i="12"/>
  <c r="F152" i="12" s="1"/>
  <c r="K144" i="12"/>
  <c r="R23" i="11"/>
  <c r="K123" i="12" s="1"/>
  <c r="K103" i="12" s="1"/>
  <c r="Q23" i="10"/>
  <c r="J227" i="12" s="1"/>
  <c r="J207" i="12" s="1"/>
  <c r="J226" i="12"/>
  <c r="U23" i="10"/>
  <c r="L227" i="12" s="1"/>
  <c r="L207" i="12" s="1"/>
  <c r="L226" i="12"/>
  <c r="S23" i="10"/>
  <c r="K227" i="12" s="1"/>
  <c r="K207" i="12" s="1"/>
  <c r="K226" i="12"/>
  <c r="R23" i="10"/>
  <c r="K171" i="12"/>
  <c r="H172" i="12"/>
  <c r="H152" i="12" s="1"/>
  <c r="T23" i="10"/>
  <c r="G172" i="12"/>
  <c r="G152" i="12" s="1"/>
  <c r="J171" i="12"/>
  <c r="F74" i="12"/>
  <c r="F54" i="12" s="1"/>
  <c r="P23" i="10"/>
  <c r="H180" i="12"/>
  <c r="H178" i="12" s="1"/>
  <c r="G180" i="12"/>
  <c r="G178" i="12" s="1"/>
  <c r="K180" i="12"/>
  <c r="L171" i="12"/>
  <c r="R23" i="13"/>
  <c r="K198" i="12" s="1"/>
  <c r="K197" i="12"/>
  <c r="P23" i="13"/>
  <c r="J198" i="12" s="1"/>
  <c r="J178" i="12" s="1"/>
  <c r="J197" i="12"/>
  <c r="T23" i="13"/>
  <c r="L198" i="12" s="1"/>
  <c r="L197" i="12"/>
  <c r="F178" i="12"/>
  <c r="J74" i="12"/>
  <c r="J54" i="12" s="1"/>
  <c r="J96" i="12"/>
  <c r="J76" i="12" s="1"/>
  <c r="K96" i="12"/>
  <c r="K76" i="12" s="1"/>
  <c r="K74" i="12"/>
  <c r="K54" i="12" s="1"/>
  <c r="L74" i="12"/>
  <c r="L54" i="12" s="1"/>
  <c r="L96" i="12"/>
  <c r="L76" i="12" s="1"/>
  <c r="J145" i="12"/>
  <c r="J125" i="12" s="1"/>
  <c r="J123" i="12"/>
  <c r="J103" i="12" s="1"/>
  <c r="L145" i="12"/>
  <c r="L125" i="12" s="1"/>
  <c r="L123" i="12"/>
  <c r="L103" i="12" s="1"/>
  <c r="J49" i="12"/>
  <c r="J29" i="12" s="1"/>
  <c r="J27" i="12"/>
  <c r="J7" i="12" s="1"/>
  <c r="K49" i="12"/>
  <c r="K29" i="12" s="1"/>
  <c r="K27" i="12"/>
  <c r="K7" i="12" s="1"/>
  <c r="L27" i="12"/>
  <c r="L7" i="12" s="1"/>
  <c r="L49" i="12"/>
  <c r="L29" i="12" s="1"/>
  <c r="G125" i="12"/>
  <c r="G103" i="12"/>
  <c r="F103" i="12"/>
  <c r="F125" i="12"/>
  <c r="H125" i="12"/>
  <c r="F96" i="12"/>
  <c r="F76" i="12" s="1"/>
  <c r="G74" i="12"/>
  <c r="G54" i="12" s="1"/>
  <c r="G96" i="12"/>
  <c r="H74" i="12"/>
  <c r="H54" i="12" s="1"/>
  <c r="H96" i="12"/>
  <c r="H76" i="12" s="1"/>
  <c r="F49" i="12"/>
  <c r="F29" i="12" s="1"/>
  <c r="G49" i="12"/>
  <c r="G29" i="12" s="1"/>
  <c r="H27" i="12"/>
  <c r="H49" i="12"/>
  <c r="H29" i="12" s="1"/>
  <c r="G27" i="12"/>
  <c r="G7" i="12" s="1"/>
  <c r="F27" i="12"/>
  <c r="F7" i="12" s="1"/>
  <c r="J279" i="12" l="1"/>
  <c r="J259" i="12" s="1"/>
  <c r="L279" i="12"/>
  <c r="L259" i="12" s="1"/>
  <c r="K279" i="12"/>
  <c r="K259" i="12" s="1"/>
  <c r="J255" i="12"/>
  <c r="J235" i="12" s="1"/>
  <c r="L255" i="12"/>
  <c r="L235" i="12" s="1"/>
  <c r="K255" i="12"/>
  <c r="K235" i="12" s="1"/>
  <c r="K145" i="12"/>
  <c r="K125" i="12" s="1"/>
  <c r="K172" i="12"/>
  <c r="K152" i="12" s="1"/>
  <c r="L172" i="12"/>
  <c r="L152" i="12" s="1"/>
  <c r="J172" i="12"/>
  <c r="J152" i="12" s="1"/>
  <c r="G76" i="12"/>
  <c r="K178" i="12"/>
  <c r="L180" i="12"/>
  <c r="L178" i="12" s="1"/>
  <c r="H7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<sst xmlns="http://schemas.openxmlformats.org/spreadsheetml/2006/main" count="1688" uniqueCount="247">
  <si>
    <t>NWE/SGP FUEL SWAPS - CLOSING NUMBERS</t>
  </si>
  <si>
    <t>3.5% Barges</t>
  </si>
  <si>
    <t>1% Cargo</t>
  </si>
  <si>
    <t>0.5% Rott/1% Cargo</t>
  </si>
  <si>
    <t>0.5% Rott Marine Fuel</t>
  </si>
  <si>
    <t>FOGO</t>
  </si>
  <si>
    <t>Flat Price</t>
  </si>
  <si>
    <t>Spreads</t>
  </si>
  <si>
    <t>Crack</t>
  </si>
  <si>
    <t>Hi-Lo</t>
  </si>
  <si>
    <t>Lo5</t>
  </si>
  <si>
    <t>Rolls</t>
  </si>
  <si>
    <t>High5</t>
  </si>
  <si>
    <t>Euro FOGO</t>
  </si>
  <si>
    <t>3.5% FOB MED/FOB BRG</t>
  </si>
  <si>
    <t>3.5% CIF MED/FOB MED</t>
  </si>
  <si>
    <t>1% CIF MED/FOB MED</t>
  </si>
  <si>
    <t>1% FOB MED/FOB NWE</t>
  </si>
  <si>
    <t>1% CIF NWE/FOB NWE</t>
  </si>
  <si>
    <t>0.5% FOB MED/FOB BRG</t>
  </si>
  <si>
    <t>Diff</t>
  </si>
  <si>
    <t>3.5% Fob Med</t>
  </si>
  <si>
    <t>3.5% Cif Med</t>
  </si>
  <si>
    <t>1% Cif Med</t>
  </si>
  <si>
    <t>1% Fob Med</t>
  </si>
  <si>
    <t>1% Cif NWE</t>
  </si>
  <si>
    <t>0.5% Fob Med</t>
  </si>
  <si>
    <t>SING 180</t>
  </si>
  <si>
    <t>SING 380</t>
  </si>
  <si>
    <t>0.5% East/West</t>
  </si>
  <si>
    <t>0.5% SING Marine Fuel</t>
  </si>
  <si>
    <t>East/West</t>
  </si>
  <si>
    <t>Visco</t>
  </si>
  <si>
    <t>380 EW</t>
  </si>
  <si>
    <t>Sing FOGO</t>
  </si>
  <si>
    <t xml:space="preserve">intended recipient, be advised that you have received this email in </t>
  </si>
  <si>
    <t>error and that any use, dissemination, forwarding, printing, or copying</t>
  </si>
  <si>
    <t xml:space="preserve">of this email and any attached files is strictly prohibited. If you have </t>
  </si>
  <si>
    <t>received this email in error, please contact the sender.</t>
  </si>
  <si>
    <t>Singapore DES VALUES VS 380</t>
  </si>
  <si>
    <t>RMG</t>
  </si>
  <si>
    <t>RMK</t>
  </si>
  <si>
    <t>M100</t>
  </si>
  <si>
    <t>1% RMG</t>
  </si>
  <si>
    <t>Singapore DES VALUES VS 0.5</t>
  </si>
  <si>
    <t>AG DES VALUES VS MOPS 380</t>
  </si>
  <si>
    <t>VLCC</t>
  </si>
  <si>
    <t>FIX+BL</t>
  </si>
  <si>
    <t>FIX+BL +14</t>
  </si>
  <si>
    <t>FIX+BL +28</t>
  </si>
  <si>
    <t>AFRA/SUEZMAX</t>
  </si>
  <si>
    <t>Med to Sing</t>
  </si>
  <si>
    <t>Rott to Sing</t>
  </si>
  <si>
    <t>Med to AG</t>
  </si>
  <si>
    <t>Rott to AG</t>
  </si>
  <si>
    <t>Freight</t>
  </si>
  <si>
    <t>Volume</t>
  </si>
  <si>
    <t>Demurrage</t>
  </si>
  <si>
    <t>Insurance</t>
  </si>
  <si>
    <t>Heat</t>
  </si>
  <si>
    <t>LC charges</t>
  </si>
  <si>
    <t>Outturn loss</t>
  </si>
  <si>
    <t>Inspection</t>
  </si>
  <si>
    <t>Overage Insurance</t>
  </si>
  <si>
    <t>CLL</t>
  </si>
  <si>
    <t>Bank Charges</t>
  </si>
  <si>
    <t>Brokerages</t>
  </si>
  <si>
    <t>Location</t>
  </si>
  <si>
    <t>Freight $/mt</t>
  </si>
  <si>
    <t>USD/MT</t>
  </si>
  <si>
    <t>Demurrage / Day</t>
  </si>
  <si>
    <t>NA</t>
  </si>
  <si>
    <t>MED-AG AFRA</t>
  </si>
  <si>
    <t>MED-AG SUEZ</t>
  </si>
  <si>
    <t>MED-SING AFRA</t>
  </si>
  <si>
    <t>MED-SING SUEZ</t>
  </si>
  <si>
    <t>ROTT-AG AFRA</t>
  </si>
  <si>
    <t>ROTT-AG SUEZ</t>
  </si>
  <si>
    <t>ROTT-SING AFRA</t>
  </si>
  <si>
    <t>ROTT-SING SUEZ</t>
  </si>
  <si>
    <t>ROTT-SING VLCC</t>
  </si>
  <si>
    <t>Rate</t>
  </si>
  <si>
    <t>Days</t>
  </si>
  <si>
    <t>Finance</t>
  </si>
  <si>
    <t>Quote</t>
  </si>
  <si>
    <t>Sing 380</t>
  </si>
  <si>
    <t>Arrival Date</t>
  </si>
  <si>
    <t>HS</t>
  </si>
  <si>
    <t>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</si>
  <si>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</si>
  <si>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</si>
  <si>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</si>
  <si>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</si>
  <si>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</si>
  <si>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</si>
  <si>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</si>
  <si>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</si>
  <si>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</si>
  <si>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</si>
  <si>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</si>
  <si>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</si>
  <si>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Arrival </t>
  </si>
  <si>
    <t>TOTAL COST</t>
  </si>
  <si>
    <t>ROLL</t>
  </si>
  <si>
    <t>Barges</t>
  </si>
  <si>
    <t>First Load</t>
  </si>
  <si>
    <t>Arrival date</t>
  </si>
  <si>
    <t>Average</t>
  </si>
  <si>
    <t>Second Load</t>
  </si>
  <si>
    <t>Third Load</t>
  </si>
  <si>
    <t>AFRA/SUEZ</t>
  </si>
  <si>
    <t>Arb + spread LS</t>
  </si>
  <si>
    <t>MED TO SING</t>
  </si>
  <si>
    <t>ROTT TO AG</t>
  </si>
  <si>
    <t>MED TO AG</t>
  </si>
  <si>
    <t>ROLL - COST</t>
  </si>
  <si>
    <t>SALES</t>
  </si>
  <si>
    <t>Purchase</t>
  </si>
  <si>
    <t>Rotterdam FOB VALUE VS 3.5 Barges</t>
  </si>
  <si>
    <t>Rotterdam FOB VALUE VS 0.5 Rott</t>
  </si>
  <si>
    <t>Exact Date</t>
  </si>
  <si>
    <t>Month</t>
  </si>
  <si>
    <t>Row Labels</t>
  </si>
  <si>
    <t>Grand Total</t>
  </si>
  <si>
    <t>Departure</t>
  </si>
  <si>
    <t>Arrivals</t>
  </si>
  <si>
    <t>Rotterdam Singapore</t>
  </si>
  <si>
    <t>Loading PC</t>
  </si>
  <si>
    <t>Discharge PC</t>
  </si>
  <si>
    <t>Loading Month</t>
  </si>
  <si>
    <t>Purchase Prem VS Barges</t>
  </si>
  <si>
    <t xml:space="preserve">Sale premium </t>
  </si>
  <si>
    <t>SUEZMAX</t>
  </si>
  <si>
    <t>AFRAMAX</t>
  </si>
  <si>
    <t>VS Barges</t>
  </si>
  <si>
    <t>Purchase Premium</t>
  </si>
  <si>
    <t xml:space="preserve">Sale Premium </t>
  </si>
  <si>
    <t>VS 0.5%</t>
  </si>
  <si>
    <t>Rotterdam to AG</t>
  </si>
  <si>
    <t>RMG AG</t>
  </si>
  <si>
    <t>RMK AG</t>
  </si>
  <si>
    <t>MED to Singapore</t>
  </si>
  <si>
    <t>MED to AG</t>
  </si>
  <si>
    <t>This email and any attached files are confidential and intended solely</t>
  </si>
  <si>
    <t>for the use of the individual to whom it is addressed. Any views or</t>
  </si>
  <si>
    <t>opinions presented are solely those of the author and do not</t>
  </si>
  <si>
    <t xml:space="preserve">necessarily represent those of Tullett Prebon. If you are not the </t>
  </si>
  <si>
    <t>FINAL P</t>
  </si>
  <si>
    <t>QTY</t>
  </si>
  <si>
    <t>Premim</t>
  </si>
  <si>
    <t>DESC</t>
  </si>
  <si>
    <t>Weighted AVG P</t>
  </si>
  <si>
    <t>Lovina Sold</t>
  </si>
  <si>
    <t>Nov Sing</t>
  </si>
  <si>
    <t>E/W</t>
  </si>
  <si>
    <t>.</t>
  </si>
  <si>
    <t>Q425</t>
  </si>
  <si>
    <t>01.11.2024</t>
  </si>
  <si>
    <t>01.12.2024</t>
  </si>
  <si>
    <t>01.01.2025</t>
  </si>
  <si>
    <t>Month of departure</t>
  </si>
  <si>
    <t>Date of departure</t>
  </si>
  <si>
    <t>Q126</t>
  </si>
  <si>
    <t>Q226</t>
  </si>
  <si>
    <t>Q326</t>
  </si>
  <si>
    <t>Q426</t>
  </si>
  <si>
    <t>2026</t>
  </si>
  <si>
    <t>0.5 Sing</t>
  </si>
  <si>
    <t>0.5 Barges</t>
  </si>
  <si>
    <t>U.S. Close</t>
  </si>
  <si>
    <t>Barge Crack</t>
  </si>
  <si>
    <t>Brent Swap Settle</t>
  </si>
  <si>
    <t>TI / Brent Swap</t>
  </si>
  <si>
    <t>Euro 0.5 Crack</t>
  </si>
  <si>
    <t>Euro .5 Spreads</t>
  </si>
  <si>
    <t>Sing 0.5 Crack</t>
  </si>
  <si>
    <t>Sing .5 Spreads</t>
  </si>
  <si>
    <t>380 Sing Spreads</t>
  </si>
  <si>
    <t>0.5 East / West</t>
  </si>
  <si>
    <t>380 East / West</t>
  </si>
  <si>
    <t>3.5% Barge Spreads</t>
  </si>
  <si>
    <t>Price Change</t>
  </si>
  <si>
    <t>Q4-25</t>
  </si>
  <si>
    <t>Front Month Total Volume (KT)</t>
  </si>
  <si>
    <t>Frnt Month Tot Volume</t>
  </si>
  <si>
    <t>Frnt Month Tot Vol (KB)</t>
  </si>
  <si>
    <t>1 Day Vol Change</t>
  </si>
  <si>
    <t>HS GC HS</t>
  </si>
  <si>
    <t>HS GC Spreads</t>
  </si>
  <si>
    <t>HS 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</si>
  <si>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</si>
  <si>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</si>
  <si>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</si>
  <si>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</si>
  <si>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</si>
  <si>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</si>
  <si>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</si>
  <si>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3.5% Barge Flat Price</t>
  </si>
  <si>
    <t>Apr/May</t>
  </si>
  <si>
    <t>Aug/Sep</t>
  </si>
  <si>
    <t>Sep/Oct</t>
  </si>
  <si>
    <t>Oct/Nov</t>
  </si>
  <si>
    <t>Nov/Dec</t>
  </si>
  <si>
    <t>Dec/Jan</t>
  </si>
  <si>
    <t>Q2/Q3</t>
  </si>
  <si>
    <t>Q4/Q126</t>
  </si>
  <si>
    <t>Front Month Total Volume</t>
  </si>
  <si>
    <t>Euro Close</t>
  </si>
  <si>
    <t>Trading Day Prior</t>
  </si>
  <si>
    <t>GC HS</t>
  </si>
  <si>
    <t>GC Spreads</t>
  </si>
  <si>
    <t>GC Arb</t>
  </si>
  <si>
    <t>Total Volume</t>
  </si>
  <si>
    <t>Trading Day prior</t>
  </si>
  <si>
    <t>Rotterdam to US</t>
  </si>
  <si>
    <t>Rott to USGC</t>
  </si>
  <si>
    <t>ROTT-USGC AFRA</t>
  </si>
  <si>
    <t>ROTT USGC SUEZ</t>
  </si>
  <si>
    <t>HS GC</t>
  </si>
  <si>
    <t>*6.35</t>
  </si>
  <si>
    <t>Arb + spread HS USGC vs Rott</t>
  </si>
  <si>
    <t>Arb + spread HS Sing vs Rott</t>
  </si>
  <si>
    <t>ROTT TO USGC</t>
  </si>
  <si>
    <t>Formula for USGC sheet HS flat price:</t>
  </si>
  <si>
    <t xml:space="preserve">Formula </t>
  </si>
  <si>
    <t>LS GC Arb</t>
  </si>
  <si>
    <t>USGC DES VALUES VS 3.5 ROTT</t>
  </si>
  <si>
    <t>* For the premium of the US just take the spreads at the settlement</t>
  </si>
  <si>
    <t>Singap window</t>
  </si>
  <si>
    <t>*sale premium = diff dans la window ou ton produit land</t>
  </si>
  <si>
    <t>*si pas de trade dans la window, mettre la difference entre le bid et le ask</t>
  </si>
  <si>
    <t>RMG US</t>
  </si>
  <si>
    <t>0.5 US</t>
  </si>
  <si>
    <t>*for the premium of the MED use the Tullet settlement report</t>
  </si>
  <si>
    <t>MED PREMIUMS</t>
  </si>
  <si>
    <t>RMG MED</t>
  </si>
  <si>
    <t>0.5 MED</t>
  </si>
  <si>
    <t>Oct</t>
  </si>
  <si>
    <t>Q127</t>
  </si>
  <si>
    <t>380 Sing / Brent Crack</t>
  </si>
  <si>
    <t>Sep</t>
  </si>
  <si>
    <t>Q1-26</t>
  </si>
  <si>
    <t>Q2-26</t>
  </si>
  <si>
    <t>Jan/Feb</t>
  </si>
  <si>
    <t>Feb/Mar</t>
  </si>
  <si>
    <t>Mar/Apr</t>
  </si>
  <si>
    <t>Q1/Q2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</si>
</sst>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[$$-409]#,##0.00"/>
    <numFmt numFmtId="165" formatCode="0.00_ ;\-0.00\ "/>
    <numFmt numFmtId="166" formatCode="#,##0.00_ ;\-#,##0.00\ "/>
    <numFmt numFmtId="167" formatCode="0.0%"/>
    <numFmt numFmtId="168" formatCode="_(* #,##0.00_);_(* \(#,##0.00\);_(* &quot;-&quot;??_);_(@_)"/>
    <numFmt numFmtId="169" formatCode="_-* #,##0_-;\-* #,##0_-;_-* &quot;-&quot;??_-;_-@_-"/>
    <numFmt numFmtId="170" formatCode="[$-F800]dddd\,\ mmmm\ dd\,\ 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mbria"/>
      <family val="1"/>
    </font>
    <font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  <font>
      <sz val="8"/>
      <color rgb="FFFFFFFF"/>
      <name val="Arial"/>
      <family val="2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Times New Roman"/>
      <family val="1"/>
    </font>
    <font>
      <sz val="11"/>
      <color rgb="FF0C48F2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20"/>
      <color theme="1"/>
      <name val="Segoe UI"/>
      <family val="2"/>
    </font>
    <font>
      <b/>
      <i/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  <fill>
      <patternFill patternType="solid">
        <fgColor rgb="FF3366FF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963634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80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indexed="64"/>
      </right>
      <top/>
      <bottom style="thin">
        <color rgb="FF808080"/>
      </bottom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969696"/>
      </top>
      <bottom style="thin">
        <color rgb="FF808080"/>
      </bottom>
      <diagonal/>
    </border>
    <border>
      <left style="thin">
        <color indexed="64"/>
      </left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/>
      <bottom style="thin">
        <color rgb="FF80808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 style="dashDotDot">
        <color indexed="64"/>
      </left>
      <right style="medium">
        <color indexed="64"/>
      </right>
      <top/>
      <bottom/>
      <diagonal/>
    </border>
    <border>
      <left style="dashDotDot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DotDot">
        <color indexed="64"/>
      </right>
      <top style="thin">
        <color indexed="64"/>
      </top>
      <bottom style="thin">
        <color indexed="64"/>
      </bottom>
      <diagonal/>
    </border>
    <border>
      <left style="dashDotDot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DotDot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ashDotDot">
        <color indexed="64"/>
      </right>
      <top style="thin">
        <color indexed="64"/>
      </top>
      <bottom/>
      <diagonal/>
    </border>
    <border>
      <left/>
      <right style="dashDotDot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 style="thin">
        <color indexed="64"/>
      </top>
      <bottom/>
      <diagonal/>
    </border>
    <border>
      <left style="medium">
        <color indexed="64"/>
      </left>
      <right style="dashDotDot">
        <color indexed="64"/>
      </right>
      <top/>
      <bottom style="thin">
        <color indexed="64"/>
      </bottom>
      <diagonal/>
    </border>
    <border>
      <left style="dashDotDot">
        <color indexed="64"/>
      </left>
      <right style="medium">
        <color indexed="64"/>
      </right>
      <top/>
      <bottom style="thin">
        <color indexed="64"/>
      </bottom>
      <diagonal/>
    </border>
    <border>
      <left style="dashDotDot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808080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43" fontId="1" fillId="0" borderId="0" applyFont="0" applyFill="0" applyBorder="0" applyAlignment="0" applyProtection="0"/>
  </cellStyleXfs>
  <cellXfs count="536">
    <xf numFmtId="0" fontId="0" fillId="0" borderId="0" xfId="0"/>
    <xf numFmtId="167" fontId="0" fillId="0" borderId="0" xfId="0" applyNumberFormat="1" applyAlignment="1">
      <alignment horizontal="left"/>
    </xf>
    <xf numFmtId="14" fontId="0" fillId="0" borderId="0" xfId="0" applyNumberFormat="1"/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0" fillId="0" borderId="0" xfId="0" applyBorder="1"/>
    <xf numFmtId="0" fontId="0" fillId="0" borderId="26" xfId="0" applyBorder="1"/>
    <xf numFmtId="0" fontId="0" fillId="0" borderId="29" xfId="0" applyBorder="1"/>
    <xf numFmtId="0" fontId="0" fillId="0" borderId="30" xfId="0" applyBorder="1"/>
    <xf numFmtId="0" fontId="0" fillId="0" borderId="36" xfId="0" applyBorder="1"/>
    <xf numFmtId="2" fontId="0" fillId="12" borderId="40" xfId="0" applyNumberFormat="1" applyFill="1" applyBorder="1"/>
    <xf numFmtId="2" fontId="0" fillId="12" borderId="41" xfId="0" applyNumberFormat="1" applyFill="1" applyBorder="1"/>
    <xf numFmtId="2" fontId="0" fillId="12" borderId="42" xfId="0" applyNumberFormat="1" applyFill="1" applyBorder="1"/>
    <xf numFmtId="16" fontId="0" fillId="12" borderId="40" xfId="0" applyNumberFormat="1" applyFill="1" applyBorder="1"/>
    <xf numFmtId="16" fontId="0" fillId="12" borderId="41" xfId="0" applyNumberFormat="1" applyFill="1" applyBorder="1"/>
    <xf numFmtId="16" fontId="0" fillId="12" borderId="42" xfId="0" applyNumberFormat="1" applyFill="1" applyBorder="1"/>
    <xf numFmtId="14" fontId="0" fillId="12" borderId="40" xfId="0" applyNumberFormat="1" applyFill="1" applyBorder="1"/>
    <xf numFmtId="14" fontId="0" fillId="12" borderId="41" xfId="0" applyNumberFormat="1" applyFill="1" applyBorder="1"/>
    <xf numFmtId="14" fontId="0" fillId="12" borderId="42" xfId="0" applyNumberFormat="1" applyFill="1" applyBorder="1"/>
    <xf numFmtId="16" fontId="0" fillId="12" borderId="46" xfId="0" applyNumberFormat="1" applyFill="1" applyBorder="1"/>
    <xf numFmtId="16" fontId="0" fillId="12" borderId="47" xfId="0" applyNumberFormat="1" applyFill="1" applyBorder="1"/>
    <xf numFmtId="16" fontId="0" fillId="12" borderId="48" xfId="0" applyNumberFormat="1" applyFill="1" applyBorder="1"/>
    <xf numFmtId="14" fontId="0" fillId="13" borderId="37" xfId="0" applyNumberFormat="1" applyFill="1" applyBorder="1" applyAlignment="1">
      <alignment horizontal="center"/>
    </xf>
    <xf numFmtId="14" fontId="0" fillId="13" borderId="38" xfId="0" applyNumberFormat="1" applyFill="1" applyBorder="1" applyAlignment="1">
      <alignment horizontal="center"/>
    </xf>
    <xf numFmtId="14" fontId="0" fillId="13" borderId="39" xfId="0" applyNumberFormat="1" applyFill="1" applyBorder="1" applyAlignment="1">
      <alignment horizontal="center"/>
    </xf>
    <xf numFmtId="2" fontId="0" fillId="13" borderId="40" xfId="0" applyNumberFormat="1" applyFill="1" applyBorder="1" applyAlignment="1">
      <alignment horizontal="center"/>
    </xf>
    <xf numFmtId="2" fontId="0" fillId="13" borderId="41" xfId="0" applyNumberFormat="1" applyFill="1" applyBorder="1" applyAlignment="1">
      <alignment horizontal="center"/>
    </xf>
    <xf numFmtId="2" fontId="0" fillId="13" borderId="42" xfId="0" applyNumberFormat="1" applyFill="1" applyBorder="1" applyAlignment="1">
      <alignment horizontal="center"/>
    </xf>
    <xf numFmtId="16" fontId="0" fillId="13" borderId="40" xfId="0" applyNumberFormat="1" applyFill="1" applyBorder="1" applyAlignment="1">
      <alignment horizontal="center"/>
    </xf>
    <xf numFmtId="16" fontId="0" fillId="13" borderId="41" xfId="0" applyNumberFormat="1" applyFill="1" applyBorder="1" applyAlignment="1">
      <alignment horizontal="center"/>
    </xf>
    <xf numFmtId="16" fontId="0" fillId="13" borderId="42" xfId="0" applyNumberFormat="1" applyFill="1" applyBorder="1" applyAlignment="1">
      <alignment horizontal="center"/>
    </xf>
    <xf numFmtId="0" fontId="0" fillId="15" borderId="17" xfId="0" applyFill="1" applyBorder="1"/>
    <xf numFmtId="0" fontId="0" fillId="15" borderId="18" xfId="0" applyFill="1" applyBorder="1"/>
    <xf numFmtId="0" fontId="0" fillId="15" borderId="19" xfId="0" applyFill="1" applyBorder="1"/>
    <xf numFmtId="0" fontId="0" fillId="15" borderId="35" xfId="0" applyFill="1" applyBorder="1"/>
    <xf numFmtId="0" fontId="0" fillId="15" borderId="43" xfId="0" applyFill="1" applyBorder="1"/>
    <xf numFmtId="0" fontId="0" fillId="15" borderId="44" xfId="0" applyFill="1" applyBorder="1"/>
    <xf numFmtId="0" fontId="0" fillId="15" borderId="45" xfId="0" applyFill="1" applyBorder="1"/>
    <xf numFmtId="2" fontId="0" fillId="16" borderId="41" xfId="0" applyNumberFormat="1" applyFill="1" applyBorder="1"/>
    <xf numFmtId="2" fontId="0" fillId="16" borderId="42" xfId="0" applyNumberFormat="1" applyFill="1" applyBorder="1"/>
    <xf numFmtId="16" fontId="0" fillId="16" borderId="41" xfId="0" applyNumberFormat="1" applyFill="1" applyBorder="1"/>
    <xf numFmtId="16" fontId="0" fillId="16" borderId="42" xfId="0" applyNumberFormat="1" applyFill="1" applyBorder="1"/>
    <xf numFmtId="16" fontId="0" fillId="16" borderId="47" xfId="0" applyNumberFormat="1" applyFill="1" applyBorder="1"/>
    <xf numFmtId="16" fontId="0" fillId="16" borderId="48" xfId="0" applyNumberFormat="1" applyFill="1" applyBorder="1"/>
    <xf numFmtId="2" fontId="0" fillId="14" borderId="41" xfId="0" applyNumberFormat="1" applyFill="1" applyBorder="1"/>
    <xf numFmtId="2" fontId="0" fillId="14" borderId="42" xfId="0" applyNumberFormat="1" applyFill="1" applyBorder="1"/>
    <xf numFmtId="16" fontId="0" fillId="14" borderId="41" xfId="0" applyNumberFormat="1" applyFill="1" applyBorder="1"/>
    <xf numFmtId="16" fontId="0" fillId="14" borderId="42" xfId="0" applyNumberFormat="1" applyFill="1" applyBorder="1"/>
    <xf numFmtId="16" fontId="0" fillId="14" borderId="47" xfId="0" applyNumberFormat="1" applyFill="1" applyBorder="1"/>
    <xf numFmtId="16" fontId="0" fillId="14" borderId="48" xfId="0" applyNumberFormat="1" applyFill="1" applyBorder="1"/>
    <xf numFmtId="14" fontId="0" fillId="13" borderId="49" xfId="0" applyNumberFormat="1" applyFill="1" applyBorder="1"/>
    <xf numFmtId="14" fontId="0" fillId="13" borderId="38" xfId="0" applyNumberFormat="1" applyFill="1" applyBorder="1"/>
    <xf numFmtId="14" fontId="0" fillId="13" borderId="39" xfId="0" applyNumberFormat="1" applyFill="1" applyBorder="1"/>
    <xf numFmtId="2" fontId="0" fillId="13" borderId="50" xfId="0" applyNumberFormat="1" applyFill="1" applyBorder="1"/>
    <xf numFmtId="2" fontId="0" fillId="13" borderId="41" xfId="0" applyNumberFormat="1" applyFill="1" applyBorder="1"/>
    <xf numFmtId="2" fontId="0" fillId="13" borderId="42" xfId="0" applyNumberFormat="1" applyFill="1" applyBorder="1"/>
    <xf numFmtId="16" fontId="0" fillId="13" borderId="50" xfId="0" applyNumberFormat="1" applyFill="1" applyBorder="1"/>
    <xf numFmtId="16" fontId="0" fillId="13" borderId="41" xfId="0" applyNumberFormat="1" applyFill="1" applyBorder="1"/>
    <xf numFmtId="16" fontId="0" fillId="13" borderId="42" xfId="0" applyNumberFormat="1" applyFill="1" applyBorder="1"/>
    <xf numFmtId="16" fontId="0" fillId="13" borderId="51" xfId="0" applyNumberFormat="1" applyFill="1" applyBorder="1"/>
    <xf numFmtId="16" fontId="0" fillId="13" borderId="47" xfId="0" applyNumberFormat="1" applyFill="1" applyBorder="1"/>
    <xf numFmtId="16" fontId="0" fillId="13" borderId="48" xfId="0" applyNumberFormat="1" applyFill="1" applyBorder="1"/>
    <xf numFmtId="0" fontId="0" fillId="18" borderId="55" xfId="0" applyFill="1" applyBorder="1"/>
    <xf numFmtId="0" fontId="0" fillId="18" borderId="52" xfId="0" applyFill="1" applyBorder="1"/>
    <xf numFmtId="0" fontId="0" fillId="18" borderId="53" xfId="0" applyFill="1" applyBorder="1"/>
    <xf numFmtId="0" fontId="0" fillId="18" borderId="56" xfId="0" applyFill="1" applyBorder="1"/>
    <xf numFmtId="14" fontId="0" fillId="16" borderId="40" xfId="0" applyNumberFormat="1" applyFill="1" applyBorder="1"/>
    <xf numFmtId="14" fontId="0" fillId="16" borderId="41" xfId="0" applyNumberFormat="1" applyFill="1" applyBorder="1"/>
    <xf numFmtId="14" fontId="0" fillId="16" borderId="42" xfId="0" applyNumberFormat="1" applyFill="1" applyBorder="1"/>
    <xf numFmtId="2" fontId="0" fillId="16" borderId="40" xfId="0" applyNumberFormat="1" applyFill="1" applyBorder="1"/>
    <xf numFmtId="16" fontId="0" fillId="16" borderId="40" xfId="0" applyNumberFormat="1" applyFill="1" applyBorder="1"/>
    <xf numFmtId="16" fontId="0" fillId="16" borderId="46" xfId="0" applyNumberFormat="1" applyFill="1" applyBorder="1"/>
    <xf numFmtId="0" fontId="0" fillId="19" borderId="17" xfId="0" applyFill="1" applyBorder="1"/>
    <xf numFmtId="0" fontId="0" fillId="19" borderId="52" xfId="0" applyFill="1" applyBorder="1"/>
    <xf numFmtId="0" fontId="0" fillId="19" borderId="53" xfId="0" applyFill="1" applyBorder="1"/>
    <xf numFmtId="0" fontId="0" fillId="19" borderId="54" xfId="0" applyFill="1" applyBorder="1"/>
    <xf numFmtId="14" fontId="0" fillId="14" borderId="40" xfId="0" applyNumberFormat="1" applyFill="1" applyBorder="1"/>
    <xf numFmtId="14" fontId="0" fillId="14" borderId="41" xfId="0" applyNumberFormat="1" applyFill="1" applyBorder="1"/>
    <xf numFmtId="14" fontId="0" fillId="14" borderId="42" xfId="0" applyNumberFormat="1" applyFill="1" applyBorder="1"/>
    <xf numFmtId="2" fontId="0" fillId="14" borderId="40" xfId="0" applyNumberFormat="1" applyFill="1" applyBorder="1"/>
    <xf numFmtId="16" fontId="0" fillId="14" borderId="40" xfId="0" applyNumberFormat="1" applyFill="1" applyBorder="1"/>
    <xf numFmtId="16" fontId="0" fillId="14" borderId="46" xfId="0" applyNumberFormat="1" applyFill="1" applyBorder="1"/>
    <xf numFmtId="0" fontId="0" fillId="17" borderId="17" xfId="0" applyFill="1" applyBorder="1"/>
    <xf numFmtId="0" fontId="0" fillId="17" borderId="52" xfId="0" applyFill="1" applyBorder="1"/>
    <xf numFmtId="0" fontId="0" fillId="17" borderId="53" xfId="0" applyFill="1" applyBorder="1"/>
    <xf numFmtId="0" fontId="0" fillId="17" borderId="54" xfId="0" applyFill="1" applyBorder="1"/>
    <xf numFmtId="168" fontId="2" fillId="20" borderId="29" xfId="1" applyNumberFormat="1" applyFont="1" applyFill="1" applyBorder="1" applyAlignment="1"/>
    <xf numFmtId="168" fontId="2" fillId="20" borderId="21" xfId="1" applyNumberFormat="1" applyFont="1" applyFill="1" applyBorder="1" applyAlignment="1"/>
    <xf numFmtId="168" fontId="2" fillId="20" borderId="22" xfId="1" applyNumberFormat="1" applyFont="1" applyFill="1" applyBorder="1" applyAlignment="1"/>
    <xf numFmtId="0" fontId="2" fillId="20" borderId="31" xfId="0" applyFont="1" applyFill="1" applyBorder="1"/>
    <xf numFmtId="169" fontId="0" fillId="21" borderId="25" xfId="0" applyNumberFormat="1" applyFill="1" applyBorder="1"/>
    <xf numFmtId="168" fontId="0" fillId="21" borderId="25" xfId="0" applyNumberFormat="1" applyFill="1" applyBorder="1" applyAlignment="1">
      <alignment horizontal="right"/>
    </xf>
    <xf numFmtId="0" fontId="0" fillId="21" borderId="25" xfId="0" applyFill="1" applyBorder="1" applyAlignment="1">
      <alignment horizontal="right"/>
    </xf>
    <xf numFmtId="169" fontId="0" fillId="21" borderId="25" xfId="0" applyNumberFormat="1" applyFill="1" applyBorder="1" applyAlignment="1">
      <alignment horizontal="right"/>
    </xf>
    <xf numFmtId="169" fontId="0" fillId="21" borderId="28" xfId="0" applyNumberFormat="1" applyFill="1" applyBorder="1"/>
    <xf numFmtId="169" fontId="0" fillId="21" borderId="28" xfId="0" applyNumberFormat="1" applyFill="1" applyBorder="1" applyAlignment="1">
      <alignment horizontal="right"/>
    </xf>
    <xf numFmtId="0" fontId="2" fillId="20" borderId="20" xfId="0" applyFont="1" applyFill="1" applyBorder="1"/>
    <xf numFmtId="168" fontId="0" fillId="21" borderId="60" xfId="0" applyNumberFormat="1" applyFill="1" applyBorder="1"/>
    <xf numFmtId="0" fontId="0" fillId="21" borderId="60" xfId="0" applyFill="1" applyBorder="1"/>
    <xf numFmtId="168" fontId="0" fillId="21" borderId="61" xfId="0" applyNumberFormat="1" applyFill="1" applyBorder="1"/>
    <xf numFmtId="168" fontId="0" fillId="21" borderId="24" xfId="1" applyNumberFormat="1" applyFont="1" applyFill="1" applyBorder="1" applyAlignment="1"/>
    <xf numFmtId="168" fontId="0" fillId="21" borderId="26" xfId="1" applyNumberFormat="1" applyFont="1" applyFill="1" applyBorder="1" applyAlignment="1"/>
    <xf numFmtId="167" fontId="0" fillId="0" borderId="26" xfId="0" applyNumberFormat="1" applyBorder="1"/>
    <xf numFmtId="10" fontId="0" fillId="0" borderId="26" xfId="0" applyNumberFormat="1" applyBorder="1"/>
    <xf numFmtId="0" fontId="0" fillId="0" borderId="27" xfId="0" applyBorder="1"/>
    <xf numFmtId="169" fontId="0" fillId="0" borderId="0" xfId="1" applyNumberFormat="1" applyFont="1" applyBorder="1"/>
    <xf numFmtId="17" fontId="0" fillId="0" borderId="0" xfId="1" applyNumberFormat="1" applyFont="1" applyBorder="1"/>
    <xf numFmtId="169" fontId="0" fillId="0" borderId="27" xfId="1" applyNumberFormat="1" applyFont="1" applyBorder="1"/>
    <xf numFmtId="43" fontId="0" fillId="0" borderId="0" xfId="1" applyNumberFormat="1" applyFont="1" applyBorder="1"/>
    <xf numFmtId="169" fontId="0" fillId="0" borderId="30" xfId="1" applyNumberFormat="1" applyFont="1" applyBorder="1"/>
    <xf numFmtId="43" fontId="0" fillId="0" borderId="28" xfId="1" applyFont="1" applyBorder="1"/>
    <xf numFmtId="14" fontId="0" fillId="0" borderId="23" xfId="0" applyNumberFormat="1" applyBorder="1"/>
    <xf numFmtId="14" fontId="0" fillId="0" borderId="25" xfId="0" applyNumberFormat="1" applyBorder="1"/>
    <xf numFmtId="0" fontId="2" fillId="0" borderId="26" xfId="0" applyFont="1" applyBorder="1"/>
    <xf numFmtId="43" fontId="2" fillId="0" borderId="28" xfId="1" applyFont="1" applyBorder="1"/>
    <xf numFmtId="14" fontId="0" fillId="0" borderId="23" xfId="1" applyNumberFormat="1" applyFont="1" applyBorder="1"/>
    <xf numFmtId="14" fontId="0" fillId="0" borderId="25" xfId="1" applyNumberFormat="1" applyFont="1" applyBorder="1"/>
    <xf numFmtId="0" fontId="2" fillId="0" borderId="24" xfId="0" applyFont="1" applyBorder="1"/>
    <xf numFmtId="43" fontId="2" fillId="0" borderId="25" xfId="1" applyFont="1" applyBorder="1"/>
    <xf numFmtId="43" fontId="0" fillId="0" borderId="63" xfId="1" applyFont="1" applyBorder="1"/>
    <xf numFmtId="43" fontId="0" fillId="0" borderId="64" xfId="1" applyFont="1" applyBorder="1"/>
    <xf numFmtId="0" fontId="0" fillId="0" borderId="63" xfId="0" applyBorder="1"/>
    <xf numFmtId="0" fontId="0" fillId="0" borderId="64" xfId="0" applyBorder="1"/>
    <xf numFmtId="43" fontId="0" fillId="0" borderId="64" xfId="0" applyNumberFormat="1" applyBorder="1"/>
    <xf numFmtId="43" fontId="0" fillId="0" borderId="63" xfId="0" applyNumberFormat="1" applyBorder="1"/>
    <xf numFmtId="43" fontId="2" fillId="0" borderId="66" xfId="0" applyNumberFormat="1" applyFont="1" applyBorder="1"/>
    <xf numFmtId="43" fontId="2" fillId="0" borderId="67" xfId="0" applyNumberFormat="1" applyFont="1" applyBorder="1"/>
    <xf numFmtId="16" fontId="0" fillId="0" borderId="63" xfId="0" applyNumberFormat="1" applyBorder="1"/>
    <xf numFmtId="16" fontId="0" fillId="0" borderId="64" xfId="0" applyNumberFormat="1" applyBorder="1"/>
    <xf numFmtId="169" fontId="0" fillId="0" borderId="36" xfId="1" applyNumberFormat="1" applyFont="1" applyBorder="1"/>
    <xf numFmtId="0" fontId="0" fillId="0" borderId="68" xfId="0" applyBorder="1"/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169" fontId="2" fillId="0" borderId="30" xfId="1" applyNumberFormat="1" applyFont="1" applyBorder="1"/>
    <xf numFmtId="169" fontId="0" fillId="0" borderId="26" xfId="1" applyNumberFormat="1" applyFont="1" applyBorder="1"/>
    <xf numFmtId="0" fontId="0" fillId="0" borderId="0" xfId="0" applyAlignment="1">
      <alignment horizontal="center"/>
    </xf>
    <xf numFmtId="0" fontId="0" fillId="22" borderId="0" xfId="0" applyFill="1"/>
    <xf numFmtId="0" fontId="0" fillId="19" borderId="0" xfId="0" applyFill="1"/>
    <xf numFmtId="0" fontId="0" fillId="23" borderId="0" xfId="0" applyFill="1"/>
    <xf numFmtId="17" fontId="0" fillId="0" borderId="0" xfId="0" applyNumberFormat="1"/>
    <xf numFmtId="43" fontId="0" fillId="0" borderId="0" xfId="1" applyFont="1"/>
    <xf numFmtId="0" fontId="0" fillId="0" borderId="0" xfId="0" pivotButton="1"/>
    <xf numFmtId="14" fontId="0" fillId="0" borderId="0" xfId="0" applyNumberFormat="1" applyAlignment="1">
      <alignment horizontal="left"/>
    </xf>
    <xf numFmtId="168" fontId="0" fillId="0" borderId="22" xfId="1" applyNumberFormat="1" applyFont="1" applyFill="1" applyBorder="1" applyAlignment="1"/>
    <xf numFmtId="168" fontId="0" fillId="0" borderId="23" xfId="1" applyNumberFormat="1" applyFont="1" applyFill="1" applyBorder="1" applyAlignment="1"/>
    <xf numFmtId="17" fontId="0" fillId="0" borderId="0" xfId="1" applyNumberFormat="1" applyFont="1"/>
    <xf numFmtId="16" fontId="0" fillId="0" borderId="63" xfId="1" applyNumberFormat="1" applyFont="1" applyBorder="1"/>
    <xf numFmtId="16" fontId="0" fillId="0" borderId="64" xfId="1" applyNumberFormat="1" applyFont="1" applyBorder="1"/>
    <xf numFmtId="43" fontId="0" fillId="0" borderId="24" xfId="1" applyFont="1" applyBorder="1"/>
    <xf numFmtId="43" fontId="0" fillId="0" borderId="0" xfId="1" applyFont="1" applyBorder="1"/>
    <xf numFmtId="43" fontId="0" fillId="0" borderId="27" xfId="1" applyFont="1" applyBorder="1"/>
    <xf numFmtId="10" fontId="0" fillId="0" borderId="26" xfId="2" applyNumberFormat="1" applyFont="1" applyBorder="1"/>
    <xf numFmtId="0" fontId="0" fillId="0" borderId="35" xfId="0" applyBorder="1"/>
    <xf numFmtId="0" fontId="0" fillId="21" borderId="0" xfId="0" applyFill="1"/>
    <xf numFmtId="17" fontId="0" fillId="21" borderId="0" xfId="1" applyNumberFormat="1" applyFont="1" applyFill="1"/>
    <xf numFmtId="0" fontId="0" fillId="12" borderId="0" xfId="0" applyFill="1"/>
    <xf numFmtId="16" fontId="0" fillId="0" borderId="58" xfId="0" applyNumberFormat="1" applyBorder="1"/>
    <xf numFmtId="43" fontId="0" fillId="0" borderId="74" xfId="0" applyNumberFormat="1" applyBorder="1"/>
    <xf numFmtId="43" fontId="0" fillId="0" borderId="72" xfId="0" applyNumberFormat="1" applyBorder="1"/>
    <xf numFmtId="43" fontId="0" fillId="0" borderId="75" xfId="0" applyNumberFormat="1" applyBorder="1"/>
    <xf numFmtId="43" fontId="0" fillId="0" borderId="32" xfId="1" applyFont="1" applyBorder="1"/>
    <xf numFmtId="43" fontId="0" fillId="0" borderId="76" xfId="1" applyFont="1" applyBorder="1"/>
    <xf numFmtId="0" fontId="0" fillId="0" borderId="16" xfId="0" applyBorder="1"/>
    <xf numFmtId="0" fontId="0" fillId="0" borderId="73" xfId="0" applyBorder="1"/>
    <xf numFmtId="17" fontId="0" fillId="0" borderId="76" xfId="0" applyNumberFormat="1" applyBorder="1"/>
    <xf numFmtId="0" fontId="0" fillId="21" borderId="32" xfId="0" applyFill="1" applyBorder="1"/>
    <xf numFmtId="0" fontId="0" fillId="21" borderId="35" xfId="0" applyFill="1" applyBorder="1"/>
    <xf numFmtId="0" fontId="0" fillId="21" borderId="5" xfId="0" applyFill="1" applyBorder="1"/>
    <xf numFmtId="0" fontId="0" fillId="21" borderId="17" xfId="0" applyFill="1" applyBorder="1"/>
    <xf numFmtId="0" fontId="0" fillId="21" borderId="72" xfId="0" applyFill="1" applyBorder="1"/>
    <xf numFmtId="0" fontId="0" fillId="21" borderId="33" xfId="0" applyFill="1" applyBorder="1"/>
    <xf numFmtId="0" fontId="0" fillId="12" borderId="29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43" fontId="0" fillId="21" borderId="58" xfId="1" applyFont="1" applyFill="1" applyBorder="1"/>
    <xf numFmtId="43" fontId="0" fillId="21" borderId="76" xfId="1" applyFont="1" applyFill="1" applyBorder="1"/>
    <xf numFmtId="0" fontId="0" fillId="21" borderId="0" xfId="0" applyFill="1" applyBorder="1"/>
    <xf numFmtId="43" fontId="0" fillId="21" borderId="32" xfId="1" applyFont="1" applyFill="1" applyBorder="1"/>
    <xf numFmtId="0" fontId="0" fillId="21" borderId="16" xfId="0" applyFill="1" applyBorder="1"/>
    <xf numFmtId="43" fontId="0" fillId="21" borderId="59" xfId="1" applyFont="1" applyFill="1" applyBorder="1"/>
    <xf numFmtId="43" fontId="0" fillId="21" borderId="78" xfId="1" applyFont="1" applyFill="1" applyBorder="1"/>
    <xf numFmtId="43" fontId="0" fillId="21" borderId="77" xfId="1" applyFont="1" applyFill="1" applyBorder="1"/>
    <xf numFmtId="0" fontId="0" fillId="12" borderId="21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0" fillId="12" borderId="79" xfId="0" applyFill="1" applyBorder="1" applyAlignment="1">
      <alignment horizontal="center"/>
    </xf>
    <xf numFmtId="0" fontId="0" fillId="12" borderId="80" xfId="0" applyFill="1" applyBorder="1" applyAlignment="1">
      <alignment horizontal="center"/>
    </xf>
    <xf numFmtId="0" fontId="0" fillId="23" borderId="21" xfId="0" applyFill="1" applyBorder="1" applyAlignment="1">
      <alignment horizontal="center"/>
    </xf>
    <xf numFmtId="0" fontId="0" fillId="23" borderId="23" xfId="0" applyFill="1" applyBorder="1" applyAlignment="1">
      <alignment horizontal="center"/>
    </xf>
    <xf numFmtId="0" fontId="0" fillId="23" borderId="80" xfId="0" applyFill="1" applyBorder="1" applyAlignment="1">
      <alignment horizontal="center"/>
    </xf>
    <xf numFmtId="16" fontId="0" fillId="21" borderId="58" xfId="0" applyNumberFormat="1" applyFill="1" applyBorder="1"/>
    <xf numFmtId="17" fontId="0" fillId="21" borderId="76" xfId="0" applyNumberFormat="1" applyFill="1" applyBorder="1"/>
    <xf numFmtId="16" fontId="0" fillId="21" borderId="32" xfId="0" applyNumberFormat="1" applyFill="1" applyBorder="1"/>
    <xf numFmtId="16" fontId="0" fillId="21" borderId="76" xfId="0" applyNumberFormat="1" applyFill="1" applyBorder="1"/>
    <xf numFmtId="16" fontId="0" fillId="0" borderId="32" xfId="0" applyNumberFormat="1" applyBorder="1"/>
    <xf numFmtId="16" fontId="0" fillId="0" borderId="76" xfId="0" applyNumberFormat="1" applyBorder="1"/>
    <xf numFmtId="0" fontId="0" fillId="23" borderId="29" xfId="0" applyFill="1" applyBorder="1" applyAlignment="1">
      <alignment horizontal="center"/>
    </xf>
    <xf numFmtId="0" fontId="0" fillId="23" borderId="31" xfId="0" applyFill="1" applyBorder="1" applyAlignment="1">
      <alignment horizontal="center"/>
    </xf>
    <xf numFmtId="0" fontId="0" fillId="23" borderId="30" xfId="0" applyFill="1" applyBorder="1"/>
    <xf numFmtId="0" fontId="2" fillId="0" borderId="35" xfId="0" applyFont="1" applyBorder="1"/>
    <xf numFmtId="0" fontId="0" fillId="12" borderId="30" xfId="0" applyFill="1" applyBorder="1"/>
    <xf numFmtId="17" fontId="0" fillId="21" borderId="58" xfId="1" applyNumberFormat="1" applyFont="1" applyFill="1" applyBorder="1"/>
    <xf numFmtId="17" fontId="0" fillId="21" borderId="32" xfId="1" applyNumberFormat="1" applyFont="1" applyFill="1" applyBorder="1"/>
    <xf numFmtId="17" fontId="0" fillId="21" borderId="76" xfId="1" applyNumberFormat="1" applyFont="1" applyFill="1" applyBorder="1"/>
    <xf numFmtId="0" fontId="0" fillId="23" borderId="29" xfId="0" applyFill="1" applyBorder="1" applyAlignment="1">
      <alignment horizontal="center"/>
    </xf>
    <xf numFmtId="0" fontId="0" fillId="23" borderId="31" xfId="0" applyFill="1" applyBorder="1" applyAlignment="1">
      <alignment horizontal="center"/>
    </xf>
    <xf numFmtId="0" fontId="0" fillId="23" borderId="21" xfId="0" applyFill="1" applyBorder="1" applyAlignment="1">
      <alignment horizontal="center"/>
    </xf>
    <xf numFmtId="0" fontId="0" fillId="23" borderId="23" xfId="0" applyFill="1" applyBorder="1" applyAlignment="1">
      <alignment horizontal="center"/>
    </xf>
    <xf numFmtId="168" fontId="1" fillId="21" borderId="24" xfId="1" applyNumberFormat="1" applyFont="1" applyFill="1" applyBorder="1" applyAlignment="1"/>
    <xf numFmtId="168" fontId="1" fillId="21" borderId="26" xfId="1" applyNumberFormat="1" applyFont="1" applyFill="1" applyBorder="1" applyAlignment="1"/>
    <xf numFmtId="168" fontId="1" fillId="21" borderId="21" xfId="1" applyNumberFormat="1" applyFont="1" applyFill="1" applyBorder="1" applyAlignment="1"/>
    <xf numFmtId="0" fontId="0" fillId="12" borderId="29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43" fontId="0" fillId="21" borderId="0" xfId="1" applyFont="1" applyFill="1" applyBorder="1"/>
    <xf numFmtId="0" fontId="0" fillId="23" borderId="22" xfId="0" applyFill="1" applyBorder="1"/>
    <xf numFmtId="0" fontId="0" fillId="23" borderId="0" xfId="0" applyFill="1" applyBorder="1"/>
    <xf numFmtId="43" fontId="0" fillId="21" borderId="25" xfId="1" applyFont="1" applyFill="1" applyBorder="1"/>
    <xf numFmtId="17" fontId="0" fillId="21" borderId="59" xfId="1" applyNumberFormat="1" applyFont="1" applyFill="1" applyBorder="1"/>
    <xf numFmtId="17" fontId="0" fillId="21" borderId="77" xfId="1" applyNumberFormat="1" applyFont="1" applyFill="1" applyBorder="1"/>
    <xf numFmtId="17" fontId="0" fillId="21" borderId="78" xfId="1" applyNumberFormat="1" applyFont="1" applyFill="1" applyBorder="1"/>
    <xf numFmtId="0" fontId="0" fillId="21" borderId="82" xfId="0" applyFill="1" applyBorder="1"/>
    <xf numFmtId="17" fontId="0" fillId="21" borderId="27" xfId="1" applyNumberFormat="1" applyFont="1" applyFill="1" applyBorder="1"/>
    <xf numFmtId="17" fontId="0" fillId="21" borderId="28" xfId="1" applyNumberFormat="1" applyFont="1" applyFill="1" applyBorder="1"/>
    <xf numFmtId="168" fontId="1" fillId="21" borderId="23" xfId="1" applyNumberFormat="1" applyFont="1" applyFill="1" applyBorder="1" applyAlignment="1"/>
    <xf numFmtId="168" fontId="1" fillId="21" borderId="25" xfId="1" applyNumberFormat="1" applyFont="1" applyFill="1" applyBorder="1" applyAlignment="1"/>
    <xf numFmtId="168" fontId="1" fillId="21" borderId="28" xfId="1" applyNumberFormat="1" applyFont="1" applyFill="1" applyBorder="1" applyAlignment="1"/>
    <xf numFmtId="43" fontId="0" fillId="21" borderId="57" xfId="1" applyFont="1" applyFill="1" applyBorder="1"/>
    <xf numFmtId="43" fontId="0" fillId="21" borderId="83" xfId="1" applyFont="1" applyFill="1" applyBorder="1"/>
    <xf numFmtId="0" fontId="0" fillId="21" borderId="2" xfId="0" applyFill="1" applyBorder="1"/>
    <xf numFmtId="43" fontId="0" fillId="21" borderId="84" xfId="1" applyFont="1" applyFill="1" applyBorder="1"/>
    <xf numFmtId="0" fontId="0" fillId="21" borderId="3" xfId="0" applyFill="1" applyBorder="1"/>
    <xf numFmtId="0" fontId="0" fillId="21" borderId="1" xfId="0" applyFill="1" applyBorder="1"/>
    <xf numFmtId="0" fontId="0" fillId="21" borderId="22" xfId="0" applyFill="1" applyBorder="1"/>
    <xf numFmtId="0" fontId="0" fillId="21" borderId="27" xfId="0" applyFill="1" applyBorder="1"/>
    <xf numFmtId="43" fontId="0" fillId="21" borderId="85" xfId="1" applyFont="1" applyFill="1" applyBorder="1"/>
    <xf numFmtId="43" fontId="0" fillId="21" borderId="86" xfId="1" applyFont="1" applyFill="1" applyBorder="1"/>
    <xf numFmtId="43" fontId="0" fillId="21" borderId="87" xfId="1" applyFont="1" applyFill="1" applyBorder="1"/>
    <xf numFmtId="0" fontId="0" fillId="21" borderId="88" xfId="0" applyFill="1" applyBorder="1"/>
    <xf numFmtId="0" fontId="0" fillId="21" borderId="89" xfId="0" applyFill="1" applyBorder="1"/>
    <xf numFmtId="0" fontId="0" fillId="21" borderId="90" xfId="0" applyFill="1" applyBorder="1"/>
    <xf numFmtId="43" fontId="0" fillId="0" borderId="85" xfId="1" applyFont="1" applyBorder="1"/>
    <xf numFmtId="43" fontId="0" fillId="0" borderId="86" xfId="1" applyFont="1" applyBorder="1"/>
    <xf numFmtId="43" fontId="0" fillId="0" borderId="87" xfId="1" applyFont="1" applyBorder="1"/>
    <xf numFmtId="43" fontId="0" fillId="0" borderId="91" xfId="0" applyNumberFormat="1" applyBorder="1"/>
    <xf numFmtId="43" fontId="0" fillId="0" borderId="92" xfId="0" applyNumberFormat="1" applyBorder="1"/>
    <xf numFmtId="0" fontId="0" fillId="0" borderId="55" xfId="0" applyBorder="1"/>
    <xf numFmtId="43" fontId="0" fillId="0" borderId="93" xfId="0" applyNumberFormat="1" applyBorder="1"/>
    <xf numFmtId="0" fontId="0" fillId="0" borderId="94" xfId="0" applyBorder="1"/>
    <xf numFmtId="43" fontId="0" fillId="21" borderId="90" xfId="1" applyFont="1" applyFill="1" applyBorder="1"/>
    <xf numFmtId="43" fontId="0" fillId="21" borderId="16" xfId="1" applyFont="1" applyFill="1" applyBorder="1"/>
    <xf numFmtId="17" fontId="0" fillId="21" borderId="82" xfId="1" applyNumberFormat="1" applyFont="1" applyFill="1" applyBorder="1"/>
    <xf numFmtId="0" fontId="0" fillId="0" borderId="90" xfId="0" applyBorder="1"/>
    <xf numFmtId="16" fontId="0" fillId="0" borderId="85" xfId="0" applyNumberFormat="1" applyBorder="1"/>
    <xf numFmtId="16" fontId="0" fillId="0" borderId="86" xfId="0" applyNumberFormat="1" applyBorder="1"/>
    <xf numFmtId="16" fontId="0" fillId="0" borderId="87" xfId="0" applyNumberFormat="1" applyBorder="1"/>
    <xf numFmtId="0" fontId="0" fillId="21" borderId="83" xfId="0" applyFill="1" applyBorder="1"/>
    <xf numFmtId="0" fontId="0" fillId="21" borderId="76" xfId="0" applyFill="1" applyBorder="1"/>
    <xf numFmtId="0" fontId="0" fillId="21" borderId="81" xfId="0" applyFill="1" applyBorder="1"/>
    <xf numFmtId="16" fontId="0" fillId="25" borderId="21" xfId="0" applyNumberFormat="1" applyFill="1" applyBorder="1" applyAlignment="1"/>
    <xf numFmtId="16" fontId="0" fillId="25" borderId="23" xfId="0" applyNumberFormat="1" applyFill="1" applyBorder="1" applyAlignment="1"/>
    <xf numFmtId="16" fontId="0" fillId="25" borderId="68" xfId="0" applyNumberFormat="1" applyFill="1" applyBorder="1" applyAlignment="1"/>
    <xf numFmtId="16" fontId="0" fillId="25" borderId="95" xfId="0" applyNumberFormat="1" applyFill="1" applyBorder="1" applyAlignment="1"/>
    <xf numFmtId="0" fontId="3" fillId="2" borderId="1" xfId="0" applyFont="1" applyFill="1" applyBorder="1" applyAlignment="1">
      <alignment horizontal="left"/>
    </xf>
    <xf numFmtId="0" fontId="4" fillId="0" borderId="2" xfId="0" applyFont="1" applyBorder="1"/>
    <xf numFmtId="0" fontId="0" fillId="2" borderId="2" xfId="0" applyFill="1" applyBorder="1"/>
    <xf numFmtId="0" fontId="5" fillId="2" borderId="3" xfId="0" applyFont="1" applyFill="1" applyBorder="1"/>
    <xf numFmtId="0" fontId="6" fillId="2" borderId="4" xfId="0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0" xfId="0" applyFill="1"/>
    <xf numFmtId="0" fontId="0" fillId="0" borderId="2" xfId="0" applyBorder="1"/>
    <xf numFmtId="15" fontId="5" fillId="2" borderId="2" xfId="0" applyNumberFormat="1" applyFont="1" applyFill="1" applyBorder="1" applyAlignment="1">
      <alignment horizontal="right"/>
    </xf>
    <xf numFmtId="15" fontId="5" fillId="2" borderId="3" xfId="0" applyNumberFormat="1" applyFont="1" applyFill="1" applyBorder="1" applyAlignment="1">
      <alignment horizontal="right"/>
    </xf>
    <xf numFmtId="0" fontId="7" fillId="3" borderId="5" xfId="0" applyFont="1" applyFill="1" applyBorder="1"/>
    <xf numFmtId="0" fontId="7" fillId="3" borderId="0" xfId="0" applyFont="1" applyFill="1"/>
    <xf numFmtId="0" fontId="7" fillId="4" borderId="5" xfId="0" applyFont="1" applyFill="1" applyBorder="1"/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17" fontId="8" fillId="4" borderId="8" xfId="0" applyNumberFormat="1" applyFont="1" applyFill="1" applyBorder="1" applyAlignment="1">
      <alignment horizontal="left"/>
    </xf>
    <xf numFmtId="165" fontId="5" fillId="5" borderId="9" xfId="0" applyNumberFormat="1" applyFont="1" applyFill="1" applyBorder="1" applyAlignment="1">
      <alignment horizontal="center"/>
    </xf>
    <xf numFmtId="2" fontId="5" fillId="5" borderId="6" xfId="0" applyNumberFormat="1" applyFont="1" applyFill="1" applyBorder="1" applyAlignment="1">
      <alignment horizontal="center"/>
    </xf>
    <xf numFmtId="165" fontId="5" fillId="5" borderId="6" xfId="0" applyNumberFormat="1" applyFont="1" applyFill="1" applyBorder="1" applyAlignment="1">
      <alignment horizontal="center"/>
    </xf>
    <xf numFmtId="2" fontId="5" fillId="5" borderId="10" xfId="0" applyNumberFormat="1" applyFont="1" applyFill="1" applyBorder="1" applyAlignment="1">
      <alignment horizontal="center"/>
    </xf>
    <xf numFmtId="165" fontId="5" fillId="5" borderId="10" xfId="0" applyNumberFormat="1" applyFont="1" applyFill="1" applyBorder="1" applyAlignment="1">
      <alignment horizontal="center"/>
    </xf>
    <xf numFmtId="2" fontId="5" fillId="5" borderId="11" xfId="0" applyNumberFormat="1" applyFont="1" applyFill="1" applyBorder="1" applyAlignment="1">
      <alignment horizontal="center"/>
    </xf>
    <xf numFmtId="17" fontId="8" fillId="4" borderId="13" xfId="0" applyNumberFormat="1" applyFont="1" applyFill="1" applyBorder="1" applyAlignment="1">
      <alignment horizontal="left"/>
    </xf>
    <xf numFmtId="17" fontId="8" fillId="4" borderId="10" xfId="0" applyNumberFormat="1" applyFont="1" applyFill="1" applyBorder="1" applyAlignment="1">
      <alignment horizontal="left"/>
    </xf>
    <xf numFmtId="49" fontId="8" fillId="4" borderId="10" xfId="0" applyNumberFormat="1" applyFont="1" applyFill="1" applyBorder="1" applyAlignment="1">
      <alignment horizontal="left"/>
    </xf>
    <xf numFmtId="0" fontId="7" fillId="6" borderId="14" xfId="0" applyFont="1" applyFill="1" applyBorder="1"/>
    <xf numFmtId="0" fontId="9" fillId="6" borderId="10" xfId="0" applyFont="1" applyFill="1" applyBorder="1"/>
    <xf numFmtId="0" fontId="7" fillId="6" borderId="10" xfId="0" applyFont="1" applyFill="1" applyBorder="1"/>
    <xf numFmtId="0" fontId="9" fillId="6" borderId="11" xfId="0" applyFont="1" applyFill="1" applyBorder="1"/>
    <xf numFmtId="0" fontId="9" fillId="7" borderId="15" xfId="0" applyFont="1" applyFill="1" applyBorder="1"/>
    <xf numFmtId="0" fontId="5" fillId="7" borderId="6" xfId="0" applyFont="1" applyFill="1" applyBorder="1" applyAlignment="1">
      <alignment horizontal="center"/>
    </xf>
    <xf numFmtId="0" fontId="0" fillId="7" borderId="6" xfId="0" applyFill="1" applyBorder="1"/>
    <xf numFmtId="0" fontId="5" fillId="7" borderId="9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17" fontId="0" fillId="7" borderId="6" xfId="0" applyNumberFormat="1" applyFill="1" applyBorder="1" applyAlignment="1">
      <alignment horizontal="left"/>
    </xf>
    <xf numFmtId="2" fontId="5" fillId="8" borderId="6" xfId="0" applyNumberFormat="1" applyFont="1" applyFill="1" applyBorder="1" applyAlignment="1">
      <alignment horizontal="center"/>
    </xf>
    <xf numFmtId="166" fontId="5" fillId="8" borderId="10" xfId="0" applyNumberFormat="1" applyFon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165" fontId="5" fillId="8" borderId="6" xfId="0" applyNumberFormat="1" applyFont="1" applyFill="1" applyBorder="1" applyAlignment="1">
      <alignment horizontal="center"/>
    </xf>
    <xf numFmtId="2" fontId="5" fillId="8" borderId="10" xfId="0" applyNumberFormat="1" applyFont="1" applyFill="1" applyBorder="1" applyAlignment="1">
      <alignment horizontal="center"/>
    </xf>
    <xf numFmtId="2" fontId="5" fillId="8" borderId="7" xfId="0" applyNumberFormat="1" applyFont="1" applyFill="1" applyBorder="1" applyAlignment="1">
      <alignment horizontal="center"/>
    </xf>
    <xf numFmtId="166" fontId="5" fillId="8" borderId="6" xfId="0" applyNumberFormat="1" applyFont="1" applyFill="1" applyBorder="1" applyAlignment="1">
      <alignment horizontal="center"/>
    </xf>
    <xf numFmtId="0" fontId="5" fillId="9" borderId="15" xfId="0" applyFont="1" applyFill="1" applyBorder="1"/>
    <xf numFmtId="0" fontId="8" fillId="9" borderId="6" xfId="0" applyFont="1" applyFill="1" applyBorder="1"/>
    <xf numFmtId="0" fontId="5" fillId="9" borderId="6" xfId="0" applyFont="1" applyFill="1" applyBorder="1"/>
    <xf numFmtId="0" fontId="10" fillId="9" borderId="6" xfId="0" applyFont="1" applyFill="1" applyBorder="1"/>
    <xf numFmtId="0" fontId="5" fillId="9" borderId="7" xfId="0" applyFont="1" applyFill="1" applyBorder="1"/>
    <xf numFmtId="0" fontId="0" fillId="10" borderId="15" xfId="0" applyFill="1" applyBorder="1"/>
    <xf numFmtId="0" fontId="5" fillId="10" borderId="6" xfId="0" applyFont="1" applyFill="1" applyBorder="1"/>
    <xf numFmtId="0" fontId="5" fillId="10" borderId="6" xfId="0" applyFont="1" applyFill="1" applyBorder="1" applyAlignment="1">
      <alignment horizontal="center"/>
    </xf>
    <xf numFmtId="0" fontId="0" fillId="10" borderId="6" xfId="0" applyFill="1" applyBorder="1"/>
    <xf numFmtId="0" fontId="5" fillId="10" borderId="7" xfId="0" applyFont="1" applyFill="1" applyBorder="1" applyAlignment="1">
      <alignment horizontal="center"/>
    </xf>
    <xf numFmtId="17" fontId="0" fillId="10" borderId="12" xfId="0" applyNumberFormat="1" applyFill="1" applyBorder="1" applyAlignment="1">
      <alignment horizontal="left"/>
    </xf>
    <xf numFmtId="2" fontId="5" fillId="11" borderId="6" xfId="0" applyNumberFormat="1" applyFont="1" applyFill="1" applyBorder="1" applyAlignment="1">
      <alignment horizontal="center"/>
    </xf>
    <xf numFmtId="166" fontId="5" fillId="11" borderId="10" xfId="0" applyNumberFormat="1" applyFont="1" applyFill="1" applyBorder="1" applyAlignment="1">
      <alignment horizontal="center"/>
    </xf>
    <xf numFmtId="166" fontId="5" fillId="11" borderId="6" xfId="0" applyNumberFormat="1" applyFont="1" applyFill="1" applyBorder="1" applyAlignment="1">
      <alignment horizontal="center"/>
    </xf>
    <xf numFmtId="165" fontId="5" fillId="11" borderId="6" xfId="0" applyNumberFormat="1" applyFont="1" applyFill="1" applyBorder="1" applyAlignment="1">
      <alignment horizontal="center"/>
    </xf>
    <xf numFmtId="2" fontId="5" fillId="11" borderId="12" xfId="0" applyNumberFormat="1" applyFont="1" applyFill="1" applyBorder="1" applyAlignment="1">
      <alignment horizontal="center"/>
    </xf>
    <xf numFmtId="166" fontId="5" fillId="11" borderId="11" xfId="0" applyNumberFormat="1" applyFont="1" applyFill="1" applyBorder="1" applyAlignment="1">
      <alignment horizontal="center"/>
    </xf>
    <xf numFmtId="0" fontId="0" fillId="10" borderId="10" xfId="0" applyFill="1" applyBorder="1"/>
    <xf numFmtId="0" fontId="0" fillId="10" borderId="0" xfId="0" applyFill="1" applyAlignment="1">
      <alignment horizontal="left"/>
    </xf>
    <xf numFmtId="166" fontId="5" fillId="11" borderId="0" xfId="0" applyNumberFormat="1" applyFont="1" applyFill="1" applyAlignment="1">
      <alignment horizontal="center"/>
    </xf>
    <xf numFmtId="0" fontId="11" fillId="2" borderId="5" xfId="0" applyFont="1" applyFill="1" applyBorder="1"/>
    <xf numFmtId="0" fontId="0" fillId="2" borderId="16" xfId="0" applyFill="1" applyBorder="1"/>
    <xf numFmtId="0" fontId="0" fillId="2" borderId="5" xfId="0" applyFill="1" applyBorder="1"/>
    <xf numFmtId="0" fontId="0" fillId="2" borderId="17" xfId="0" applyFill="1" applyBorder="1"/>
    <xf numFmtId="0" fontId="0" fillId="2" borderId="18" xfId="0" applyFill="1" applyBorder="1"/>
    <xf numFmtId="0" fontId="11" fillId="2" borderId="17" xfId="0" applyFont="1" applyFill="1" applyBorder="1"/>
    <xf numFmtId="0" fontId="0" fillId="2" borderId="19" xfId="0" applyFill="1" applyBorder="1"/>
    <xf numFmtId="0" fontId="0" fillId="2" borderId="1" xfId="0" applyFill="1" applyBorder="1"/>
    <xf numFmtId="0" fontId="0" fillId="10" borderId="10" xfId="0" applyFill="1" applyBorder="1" applyAlignment="1">
      <alignment horizontal="left"/>
    </xf>
    <xf numFmtId="2" fontId="5" fillId="11" borderId="18" xfId="0" applyNumberFormat="1" applyFont="1" applyFill="1" applyBorder="1" applyAlignment="1">
      <alignment horizontal="center"/>
    </xf>
    <xf numFmtId="166" fontId="5" fillId="11" borderId="18" xfId="0" applyNumberFormat="1" applyFont="1" applyFill="1" applyBorder="1" applyAlignment="1">
      <alignment horizontal="center"/>
    </xf>
    <xf numFmtId="10" fontId="0" fillId="0" borderId="26" xfId="1" applyNumberFormat="1" applyFont="1" applyBorder="1"/>
    <xf numFmtId="17" fontId="0" fillId="0" borderId="24" xfId="0" applyNumberFormat="1" applyBorder="1" applyAlignment="1"/>
    <xf numFmtId="17" fontId="0" fillId="0" borderId="25" xfId="0" applyNumberFormat="1" applyBorder="1" applyAlignment="1"/>
    <xf numFmtId="17" fontId="0" fillId="0" borderId="0" xfId="0" applyNumberFormat="1" applyBorder="1" applyAlignment="1"/>
    <xf numFmtId="0" fontId="0" fillId="0" borderId="0" xfId="0" applyFill="1" applyBorder="1" applyAlignment="1">
      <alignment horizontal="center"/>
    </xf>
    <xf numFmtId="168" fontId="0" fillId="0" borderId="20" xfId="1" applyNumberFormat="1" applyFont="1" applyFill="1" applyBorder="1" applyAlignment="1"/>
    <xf numFmtId="16" fontId="0" fillId="0" borderId="25" xfId="0" applyNumberFormat="1" applyBorder="1"/>
    <xf numFmtId="0" fontId="0" fillId="0" borderId="96" xfId="0" applyBorder="1"/>
    <xf numFmtId="0" fontId="0" fillId="0" borderId="98" xfId="0" applyFill="1" applyBorder="1" applyAlignment="1">
      <alignment horizontal="center"/>
    </xf>
    <xf numFmtId="0" fontId="0" fillId="0" borderId="60" xfId="0" applyBorder="1"/>
    <xf numFmtId="0" fontId="0" fillId="0" borderId="34" xfId="0" applyFill="1" applyBorder="1" applyAlignment="1">
      <alignment horizontal="center"/>
    </xf>
    <xf numFmtId="0" fontId="0" fillId="0" borderId="95" xfId="0" applyBorder="1" applyAlignment="1">
      <alignment horizontal="center"/>
    </xf>
    <xf numFmtId="43" fontId="0" fillId="0" borderId="25" xfId="1" applyFont="1" applyBorder="1"/>
    <xf numFmtId="0" fontId="0" fillId="0" borderId="25" xfId="0" applyBorder="1"/>
    <xf numFmtId="0" fontId="0" fillId="0" borderId="99" xfId="0" applyFill="1" applyBorder="1" applyAlignment="1">
      <alignment horizontal="center"/>
    </xf>
    <xf numFmtId="17" fontId="0" fillId="0" borderId="63" xfId="0" applyNumberFormat="1" applyBorder="1" applyAlignment="1"/>
    <xf numFmtId="16" fontId="0" fillId="0" borderId="100" xfId="0" applyNumberFormat="1" applyBorder="1"/>
    <xf numFmtId="16" fontId="0" fillId="0" borderId="18" xfId="0" applyNumberFormat="1" applyBorder="1"/>
    <xf numFmtId="0" fontId="0" fillId="0" borderId="36" xfId="0" applyBorder="1" applyAlignment="1">
      <alignment horizontal="center"/>
    </xf>
    <xf numFmtId="0" fontId="0" fillId="0" borderId="101" xfId="0" applyFill="1" applyBorder="1" applyAlignment="1">
      <alignment horizontal="center"/>
    </xf>
    <xf numFmtId="16" fontId="0" fillId="0" borderId="102" xfId="0" applyNumberFormat="1" applyBorder="1"/>
    <xf numFmtId="17" fontId="0" fillId="0" borderId="64" xfId="0" applyNumberFormat="1" applyBorder="1" applyAlignment="1"/>
    <xf numFmtId="16" fontId="0" fillId="0" borderId="24" xfId="0" applyNumberFormat="1" applyBorder="1"/>
    <xf numFmtId="16" fontId="0" fillId="0" borderId="103" xfId="0" applyNumberFormat="1" applyBorder="1"/>
    <xf numFmtId="0" fontId="0" fillId="0" borderId="104" xfId="0" applyFill="1" applyBorder="1" applyAlignment="1">
      <alignment horizontal="center"/>
    </xf>
    <xf numFmtId="0" fontId="0" fillId="0" borderId="97" xfId="0" applyBorder="1"/>
    <xf numFmtId="0" fontId="0" fillId="10" borderId="18" xfId="0" applyFill="1" applyBorder="1" applyAlignment="1">
      <alignment horizontal="left"/>
    </xf>
    <xf numFmtId="166" fontId="5" fillId="11" borderId="19" xfId="0" applyNumberFormat="1" applyFont="1" applyFill="1" applyBorder="1" applyAlignment="1">
      <alignment horizontal="center"/>
    </xf>
    <xf numFmtId="2" fontId="0" fillId="0" borderId="0" xfId="0" applyNumberFormat="1"/>
    <xf numFmtId="0" fontId="5" fillId="10" borderId="0" xfId="0" applyFont="1" applyFill="1"/>
    <xf numFmtId="2" fontId="5" fillId="11" borderId="105" xfId="0" applyNumberFormat="1" applyFont="1" applyFill="1" applyBorder="1" applyAlignment="1">
      <alignment horizontal="center"/>
    </xf>
    <xf numFmtId="167" fontId="2" fillId="0" borderId="35" xfId="0" applyNumberFormat="1" applyFont="1" applyBorder="1" applyAlignment="1">
      <alignment horizontal="left"/>
    </xf>
    <xf numFmtId="0" fontId="0" fillId="12" borderId="29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13" fillId="0" borderId="0" xfId="0" applyFont="1"/>
    <xf numFmtId="0" fontId="2" fillId="0" borderId="0" xfId="0" applyFont="1"/>
    <xf numFmtId="0" fontId="17" fillId="0" borderId="0" xfId="0" applyFont="1"/>
    <xf numFmtId="17" fontId="18" fillId="0" borderId="61" xfId="0" applyNumberFormat="1" applyFont="1" applyBorder="1" applyAlignment="1">
      <alignment horizontal="left" vertical="center"/>
    </xf>
    <xf numFmtId="2" fontId="19" fillId="0" borderId="28" xfId="0" applyNumberFormat="1" applyFont="1" applyBorder="1" applyAlignment="1">
      <alignment horizontal="right" vertical="center"/>
    </xf>
    <xf numFmtId="0" fontId="20" fillId="0" borderId="61" xfId="0" applyFont="1" applyBorder="1" applyAlignment="1">
      <alignment vertical="center"/>
    </xf>
    <xf numFmtId="17" fontId="19" fillId="0" borderId="61" xfId="0" applyNumberFormat="1" applyFont="1" applyBorder="1" applyAlignment="1">
      <alignment horizontal="left" vertical="center"/>
    </xf>
    <xf numFmtId="0" fontId="19" fillId="0" borderId="61" xfId="0" applyFont="1" applyBorder="1" applyAlignment="1">
      <alignment vertical="center"/>
    </xf>
    <xf numFmtId="17" fontId="19" fillId="0" borderId="61" xfId="0" applyNumberFormat="1" applyFont="1" applyBorder="1" applyAlignment="1">
      <alignment vertical="center"/>
    </xf>
    <xf numFmtId="17" fontId="18" fillId="28" borderId="61" xfId="0" applyNumberFormat="1" applyFont="1" applyFill="1" applyBorder="1" applyAlignment="1">
      <alignment horizontal="left" vertical="center"/>
    </xf>
    <xf numFmtId="2" fontId="19" fillId="28" borderId="28" xfId="0" applyNumberFormat="1" applyFont="1" applyFill="1" applyBorder="1" applyAlignment="1">
      <alignment horizontal="right" vertical="center"/>
    </xf>
    <xf numFmtId="0" fontId="19" fillId="29" borderId="61" xfId="0" applyFont="1" applyFill="1" applyBorder="1" applyAlignment="1">
      <alignment vertical="center"/>
    </xf>
    <xf numFmtId="2" fontId="19" fillId="29" borderId="28" xfId="0" applyNumberFormat="1" applyFont="1" applyFill="1" applyBorder="1" applyAlignment="1">
      <alignment horizontal="right" vertical="center"/>
    </xf>
    <xf numFmtId="17" fontId="19" fillId="29" borderId="61" xfId="0" applyNumberFormat="1" applyFont="1" applyFill="1" applyBorder="1" applyAlignment="1">
      <alignment horizontal="left" vertical="center"/>
    </xf>
    <xf numFmtId="17" fontId="19" fillId="29" borderId="20" xfId="0" applyNumberFormat="1" applyFont="1" applyFill="1" applyBorder="1" applyAlignment="1">
      <alignment horizontal="left" vertical="center"/>
    </xf>
    <xf numFmtId="2" fontId="19" fillId="29" borderId="20" xfId="0" applyNumberFormat="1" applyFont="1" applyFill="1" applyBorder="1" applyAlignment="1">
      <alignment horizontal="left" vertical="center"/>
    </xf>
    <xf numFmtId="17" fontId="19" fillId="28" borderId="61" xfId="0" applyNumberFormat="1" applyFont="1" applyFill="1" applyBorder="1" applyAlignment="1">
      <alignment horizontal="left" vertical="center"/>
    </xf>
    <xf numFmtId="0" fontId="19" fillId="25" borderId="61" xfId="0" applyFont="1" applyFill="1" applyBorder="1" applyAlignment="1">
      <alignment vertical="center"/>
    </xf>
    <xf numFmtId="17" fontId="19" fillId="25" borderId="61" xfId="0" applyNumberFormat="1" applyFont="1" applyFill="1" applyBorder="1" applyAlignment="1">
      <alignment horizontal="left" vertical="center"/>
    </xf>
    <xf numFmtId="17" fontId="19" fillId="25" borderId="61" xfId="0" applyNumberFormat="1" applyFont="1" applyFill="1" applyBorder="1" applyAlignment="1">
      <alignment vertical="center"/>
    </xf>
    <xf numFmtId="2" fontId="21" fillId="0" borderId="61" xfId="0" applyNumberFormat="1" applyFont="1" applyBorder="1" applyAlignment="1">
      <alignment vertical="center"/>
    </xf>
    <xf numFmtId="0" fontId="19" fillId="28" borderId="61" xfId="0" applyFont="1" applyFill="1" applyBorder="1" applyAlignment="1">
      <alignment vertical="center"/>
    </xf>
    <xf numFmtId="17" fontId="19" fillId="28" borderId="61" xfId="0" applyNumberFormat="1" applyFont="1" applyFill="1" applyBorder="1" applyAlignment="1">
      <alignment vertical="center"/>
    </xf>
    <xf numFmtId="2" fontId="21" fillId="29" borderId="28" xfId="0" applyNumberFormat="1" applyFont="1" applyFill="1" applyBorder="1" applyAlignment="1">
      <alignment horizontal="right" vertical="center"/>
    </xf>
    <xf numFmtId="0" fontId="18" fillId="28" borderId="61" xfId="0" applyFont="1" applyFill="1" applyBorder="1" applyAlignment="1">
      <alignment vertical="center"/>
    </xf>
    <xf numFmtId="2" fontId="17" fillId="0" borderId="0" xfId="0" applyNumberFormat="1" applyFont="1"/>
    <xf numFmtId="0" fontId="18" fillId="0" borderId="61" xfId="0" applyFont="1" applyBorder="1" applyAlignment="1">
      <alignment vertical="center"/>
    </xf>
    <xf numFmtId="2" fontId="19" fillId="0" borderId="61" xfId="0" applyNumberFormat="1" applyFont="1" applyBorder="1" applyAlignment="1">
      <alignment vertical="center"/>
    </xf>
    <xf numFmtId="0" fontId="19" fillId="21" borderId="61" xfId="0" applyFont="1" applyFill="1" applyBorder="1" applyAlignment="1">
      <alignment vertical="center"/>
    </xf>
    <xf numFmtId="2" fontId="19" fillId="0" borderId="0" xfId="0" applyNumberFormat="1" applyFont="1" applyAlignment="1">
      <alignment vertical="center"/>
    </xf>
    <xf numFmtId="2" fontId="18" fillId="0" borderId="28" xfId="0" applyNumberFormat="1" applyFont="1" applyBorder="1" applyAlignment="1">
      <alignment horizontal="right" vertical="center"/>
    </xf>
    <xf numFmtId="2" fontId="18" fillId="28" borderId="28" xfId="0" applyNumberFormat="1" applyFont="1" applyFill="1" applyBorder="1" applyAlignment="1">
      <alignment horizontal="right" vertical="center"/>
    </xf>
    <xf numFmtId="0" fontId="18" fillId="29" borderId="61" xfId="0" applyFont="1" applyFill="1" applyBorder="1" applyAlignment="1">
      <alignment vertical="center"/>
    </xf>
    <xf numFmtId="2" fontId="20" fillId="29" borderId="28" xfId="0" applyNumberFormat="1" applyFont="1" applyFill="1" applyBorder="1" applyAlignment="1">
      <alignment horizontal="right" vertical="center"/>
    </xf>
    <xf numFmtId="2" fontId="18" fillId="25" borderId="28" xfId="0" applyNumberFormat="1" applyFont="1" applyFill="1" applyBorder="1" applyAlignment="1">
      <alignment horizontal="right" vertical="center"/>
    </xf>
    <xf numFmtId="17" fontId="19" fillId="21" borderId="61" xfId="0" applyNumberFormat="1" applyFont="1" applyFill="1" applyBorder="1" applyAlignment="1">
      <alignment horizontal="left" vertical="center"/>
    </xf>
    <xf numFmtId="2" fontId="18" fillId="29" borderId="28" xfId="0" applyNumberFormat="1" applyFont="1" applyFill="1" applyBorder="1" applyAlignment="1">
      <alignment horizontal="right" vertical="center"/>
    </xf>
    <xf numFmtId="2" fontId="18" fillId="21" borderId="28" xfId="0" applyNumberFormat="1" applyFont="1" applyFill="1" applyBorder="1" applyAlignment="1">
      <alignment horizontal="right" vertical="center"/>
    </xf>
    <xf numFmtId="17" fontId="19" fillId="29" borderId="61" xfId="0" applyNumberFormat="1" applyFont="1" applyFill="1" applyBorder="1" applyAlignment="1">
      <alignment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61" xfId="0" applyFont="1" applyBorder="1" applyAlignment="1">
      <alignment horizontal="left" vertical="center"/>
    </xf>
    <xf numFmtId="2" fontId="19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/>
    <xf numFmtId="167" fontId="2" fillId="0" borderId="0" xfId="0" applyNumberFormat="1" applyFont="1" applyBorder="1" applyAlignment="1">
      <alignment horizontal="left"/>
    </xf>
    <xf numFmtId="14" fontId="0" fillId="30" borderId="49" xfId="0" applyNumberFormat="1" applyFill="1" applyBorder="1"/>
    <xf numFmtId="14" fontId="0" fillId="30" borderId="38" xfId="0" applyNumberFormat="1" applyFill="1" applyBorder="1"/>
    <xf numFmtId="14" fontId="0" fillId="30" borderId="39" xfId="0" applyNumberFormat="1" applyFill="1" applyBorder="1"/>
    <xf numFmtId="2" fontId="0" fillId="30" borderId="50" xfId="0" applyNumberFormat="1" applyFill="1" applyBorder="1"/>
    <xf numFmtId="2" fontId="0" fillId="30" borderId="41" xfId="0" applyNumberFormat="1" applyFill="1" applyBorder="1"/>
    <xf numFmtId="2" fontId="0" fillId="30" borderId="42" xfId="0" applyNumberFormat="1" applyFill="1" applyBorder="1"/>
    <xf numFmtId="16" fontId="0" fillId="30" borderId="50" xfId="0" applyNumberFormat="1" applyFill="1" applyBorder="1"/>
    <xf numFmtId="16" fontId="0" fillId="30" borderId="41" xfId="0" applyNumberFormat="1" applyFill="1" applyBorder="1"/>
    <xf numFmtId="16" fontId="0" fillId="30" borderId="42" xfId="0" applyNumberFormat="1" applyFill="1" applyBorder="1"/>
    <xf numFmtId="16" fontId="0" fillId="30" borderId="51" xfId="0" applyNumberFormat="1" applyFill="1" applyBorder="1"/>
    <xf numFmtId="16" fontId="0" fillId="30" borderId="47" xfId="0" applyNumberFormat="1" applyFill="1" applyBorder="1"/>
    <xf numFmtId="16" fontId="0" fillId="30" borderId="48" xfId="0" applyNumberFormat="1" applyFill="1" applyBorder="1"/>
    <xf numFmtId="0" fontId="0" fillId="31" borderId="35" xfId="0" applyFill="1" applyBorder="1"/>
    <xf numFmtId="0" fontId="0" fillId="31" borderId="43" xfId="0" applyFill="1" applyBorder="1"/>
    <xf numFmtId="0" fontId="0" fillId="31" borderId="44" xfId="0" applyFill="1" applyBorder="1"/>
    <xf numFmtId="0" fontId="0" fillId="31" borderId="45" xfId="0" applyFill="1" applyBorder="1"/>
    <xf numFmtId="0" fontId="0" fillId="0" borderId="0" xfId="0" applyNumberFormat="1"/>
    <xf numFmtId="0" fontId="0" fillId="32" borderId="0" xfId="0" applyFill="1"/>
    <xf numFmtId="0" fontId="24" fillId="0" borderId="0" xfId="0" applyFont="1" applyAlignment="1">
      <alignment vertical="center"/>
    </xf>
    <xf numFmtId="0" fontId="0" fillId="30" borderId="0" xfId="0" applyFill="1"/>
    <xf numFmtId="0" fontId="19" fillId="0" borderId="29" xfId="0" applyFont="1" applyBorder="1" applyAlignment="1">
      <alignment horizontal="center" vertical="center"/>
    </xf>
    <xf numFmtId="0" fontId="19" fillId="0" borderId="106" xfId="0" applyFont="1" applyBorder="1" applyAlignment="1">
      <alignment horizontal="center" vertical="center"/>
    </xf>
    <xf numFmtId="0" fontId="0" fillId="7" borderId="10" xfId="0" applyFill="1" applyBorder="1" applyAlignment="1">
      <alignment horizontal="left"/>
    </xf>
    <xf numFmtId="165" fontId="5" fillId="8" borderId="10" xfId="0" applyNumberFormat="1" applyFont="1" applyFill="1" applyBorder="1" applyAlignment="1">
      <alignment horizontal="center"/>
    </xf>
    <xf numFmtId="2" fontId="5" fillId="8" borderId="11" xfId="0" applyNumberFormat="1" applyFont="1" applyFill="1" applyBorder="1" applyAlignment="1">
      <alignment horizontal="center"/>
    </xf>
    <xf numFmtId="2" fontId="19" fillId="21" borderId="28" xfId="0" applyNumberFormat="1" applyFont="1" applyFill="1" applyBorder="1" applyAlignment="1">
      <alignment horizontal="right" vertical="center"/>
    </xf>
    <xf numFmtId="0" fontId="17" fillId="21" borderId="0" xfId="0" applyFont="1" applyFill="1"/>
    <xf numFmtId="0" fontId="19" fillId="28" borderId="61" xfId="0" applyFont="1" applyFill="1" applyBorder="1" applyAlignment="1">
      <alignment horizontal="left" vertical="center"/>
    </xf>
    <xf numFmtId="17" fontId="19" fillId="21" borderId="61" xfId="0" applyNumberFormat="1" applyFont="1" applyFill="1" applyBorder="1" applyAlignment="1">
      <alignment vertical="center"/>
    </xf>
    <xf numFmtId="0" fontId="26" fillId="0" borderId="0" xfId="0" applyFont="1"/>
    <xf numFmtId="16" fontId="0" fillId="25" borderId="21" xfId="0" applyNumberFormat="1" applyFill="1" applyBorder="1" applyAlignment="1">
      <alignment horizontal="center"/>
    </xf>
    <xf numFmtId="16" fontId="0" fillId="25" borderId="23" xfId="0" applyNumberFormat="1" applyFill="1" applyBorder="1" applyAlignment="1">
      <alignment horizontal="center"/>
    </xf>
    <xf numFmtId="16" fontId="0" fillId="25" borderId="24" xfId="0" applyNumberFormat="1" applyFill="1" applyBorder="1" applyAlignment="1">
      <alignment horizontal="center"/>
    </xf>
    <xf numFmtId="16" fontId="0" fillId="25" borderId="25" xfId="0" applyNumberFormat="1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" fillId="1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0" fillId="23" borderId="29" xfId="0" applyFill="1" applyBorder="1" applyAlignment="1">
      <alignment horizontal="center"/>
    </xf>
    <xf numFmtId="0" fontId="0" fillId="23" borderId="31" xfId="0" applyFill="1" applyBorder="1" applyAlignment="1">
      <alignment horizontal="center"/>
    </xf>
    <xf numFmtId="0" fontId="0" fillId="23" borderId="21" xfId="0" applyFill="1" applyBorder="1" applyAlignment="1">
      <alignment horizontal="center"/>
    </xf>
    <xf numFmtId="0" fontId="0" fillId="23" borderId="22" xfId="0" applyFill="1" applyBorder="1" applyAlignment="1">
      <alignment horizontal="center"/>
    </xf>
    <xf numFmtId="0" fontId="0" fillId="23" borderId="23" xfId="0" applyFill="1" applyBorder="1" applyAlignment="1">
      <alignment horizontal="center"/>
    </xf>
    <xf numFmtId="16" fontId="0" fillId="25" borderId="26" xfId="0" applyNumberFormat="1" applyFill="1" applyBorder="1" applyAlignment="1">
      <alignment horizontal="center"/>
    </xf>
    <xf numFmtId="16" fontId="0" fillId="25" borderId="28" xfId="0" applyNumberFormat="1" applyFill="1" applyBorder="1" applyAlignment="1">
      <alignment horizontal="center"/>
    </xf>
    <xf numFmtId="16" fontId="0" fillId="25" borderId="0" xfId="0" applyNumberFormat="1" applyFill="1" applyBorder="1" applyAlignment="1">
      <alignment horizontal="center"/>
    </xf>
    <xf numFmtId="16" fontId="0" fillId="25" borderId="27" xfId="0" applyNumberFormat="1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0" borderId="0" xfId="0" applyAlignment="1">
      <alignment horizontal="center"/>
    </xf>
    <xf numFmtId="0" fontId="12" fillId="31" borderId="29" xfId="0" applyFont="1" applyFill="1" applyBorder="1" applyAlignment="1">
      <alignment horizontal="center"/>
    </xf>
    <xf numFmtId="0" fontId="12" fillId="31" borderId="30" xfId="0" applyFont="1" applyFill="1" applyBorder="1" applyAlignment="1">
      <alignment horizontal="center"/>
    </xf>
    <xf numFmtId="0" fontId="12" fillId="31" borderId="31" xfId="0" applyFont="1" applyFill="1" applyBorder="1" applyAlignment="1">
      <alignment horizontal="center"/>
    </xf>
    <xf numFmtId="0" fontId="2" fillId="31" borderId="34" xfId="0" applyFont="1" applyFill="1" applyBorder="1" applyAlignment="1">
      <alignment horizontal="center" vertical="center"/>
    </xf>
    <xf numFmtId="0" fontId="2" fillId="31" borderId="24" xfId="0" applyFont="1" applyFill="1" applyBorder="1" applyAlignment="1">
      <alignment horizontal="center" vertical="center"/>
    </xf>
    <xf numFmtId="0" fontId="2" fillId="31" borderId="26" xfId="0" applyFont="1" applyFill="1" applyBorder="1" applyAlignment="1">
      <alignment horizontal="center" vertical="center"/>
    </xf>
    <xf numFmtId="0" fontId="2" fillId="18" borderId="57" xfId="0" applyFont="1" applyFill="1" applyBorder="1" applyAlignment="1">
      <alignment horizontal="center" vertical="center"/>
    </xf>
    <xf numFmtId="0" fontId="2" fillId="18" borderId="58" xfId="0" applyFont="1" applyFill="1" applyBorder="1" applyAlignment="1">
      <alignment horizontal="center" vertical="center"/>
    </xf>
    <xf numFmtId="0" fontId="2" fillId="18" borderId="59" xfId="0" applyFont="1" applyFill="1" applyBorder="1" applyAlignment="1">
      <alignment horizontal="center" vertical="center"/>
    </xf>
    <xf numFmtId="0" fontId="2" fillId="19" borderId="57" xfId="0" applyFont="1" applyFill="1" applyBorder="1" applyAlignment="1">
      <alignment horizontal="center" vertical="center"/>
    </xf>
    <xf numFmtId="0" fontId="2" fillId="19" borderId="58" xfId="0" applyFont="1" applyFill="1" applyBorder="1" applyAlignment="1">
      <alignment horizontal="center" vertical="center"/>
    </xf>
    <xf numFmtId="0" fontId="2" fillId="19" borderId="59" xfId="0" applyFont="1" applyFill="1" applyBorder="1" applyAlignment="1">
      <alignment horizontal="center" vertical="center"/>
    </xf>
    <xf numFmtId="0" fontId="2" fillId="17" borderId="57" xfId="0" applyFont="1" applyFill="1" applyBorder="1" applyAlignment="1">
      <alignment horizontal="center" vertical="center"/>
    </xf>
    <xf numFmtId="0" fontId="2" fillId="17" borderId="58" xfId="0" applyFont="1" applyFill="1" applyBorder="1" applyAlignment="1">
      <alignment horizontal="center" vertical="center"/>
    </xf>
    <xf numFmtId="0" fontId="2" fillId="17" borderId="59" xfId="0" applyFont="1" applyFill="1" applyBorder="1" applyAlignment="1">
      <alignment horizontal="center" vertical="center"/>
    </xf>
    <xf numFmtId="0" fontId="12" fillId="15" borderId="29" xfId="0" applyFont="1" applyFill="1" applyBorder="1" applyAlignment="1">
      <alignment horizontal="center"/>
    </xf>
    <xf numFmtId="0" fontId="12" fillId="15" borderId="30" xfId="0" applyFont="1" applyFill="1" applyBorder="1" applyAlignment="1">
      <alignment horizontal="center"/>
    </xf>
    <xf numFmtId="0" fontId="12" fillId="15" borderId="31" xfId="0" applyFont="1" applyFill="1" applyBorder="1" applyAlignment="1">
      <alignment horizontal="center"/>
    </xf>
    <xf numFmtId="0" fontId="12" fillId="18" borderId="29" xfId="0" applyFont="1" applyFill="1" applyBorder="1" applyAlignment="1">
      <alignment horizontal="center"/>
    </xf>
    <xf numFmtId="0" fontId="12" fillId="18" borderId="30" xfId="0" applyFont="1" applyFill="1" applyBorder="1" applyAlignment="1">
      <alignment horizontal="center"/>
    </xf>
    <xf numFmtId="0" fontId="12" fillId="18" borderId="31" xfId="0" applyFont="1" applyFill="1" applyBorder="1" applyAlignment="1">
      <alignment horizontal="center"/>
    </xf>
    <xf numFmtId="0" fontId="12" fillId="19" borderId="29" xfId="0" applyFont="1" applyFill="1" applyBorder="1" applyAlignment="1">
      <alignment horizontal="center" vertical="center"/>
    </xf>
    <xf numFmtId="0" fontId="12" fillId="19" borderId="30" xfId="0" applyFont="1" applyFill="1" applyBorder="1" applyAlignment="1">
      <alignment horizontal="center" vertical="center"/>
    </xf>
    <xf numFmtId="0" fontId="12" fillId="19" borderId="31" xfId="0" applyFont="1" applyFill="1" applyBorder="1" applyAlignment="1">
      <alignment horizontal="center" vertical="center"/>
    </xf>
    <xf numFmtId="0" fontId="12" fillId="17" borderId="29" xfId="0" applyFont="1" applyFill="1" applyBorder="1" applyAlignment="1">
      <alignment horizontal="center"/>
    </xf>
    <xf numFmtId="0" fontId="12" fillId="17" borderId="30" xfId="0" applyFont="1" applyFill="1" applyBorder="1" applyAlignment="1">
      <alignment horizontal="center"/>
    </xf>
    <xf numFmtId="0" fontId="12" fillId="17" borderId="31" xfId="0" applyFont="1" applyFill="1" applyBorder="1" applyAlignment="1">
      <alignment horizontal="center"/>
    </xf>
    <xf numFmtId="0" fontId="2" fillId="15" borderId="32" xfId="0" applyFont="1" applyFill="1" applyBorder="1" applyAlignment="1">
      <alignment horizontal="center" vertical="center"/>
    </xf>
    <xf numFmtId="0" fontId="2" fillId="15" borderId="33" xfId="0" applyFont="1" applyFill="1" applyBorder="1" applyAlignment="1">
      <alignment horizontal="center" vertical="center"/>
    </xf>
    <xf numFmtId="0" fontId="2" fillId="15" borderId="34" xfId="0" applyFont="1" applyFill="1" applyBorder="1" applyAlignment="1">
      <alignment horizontal="center" vertical="center"/>
    </xf>
    <xf numFmtId="0" fontId="2" fillId="15" borderId="24" xfId="0" applyFont="1" applyFill="1" applyBorder="1" applyAlignment="1">
      <alignment horizontal="center" vertical="center"/>
    </xf>
    <xf numFmtId="0" fontId="2" fillId="15" borderId="26" xfId="0" applyFont="1" applyFill="1" applyBorder="1" applyAlignment="1">
      <alignment horizontal="center" vertical="center"/>
    </xf>
    <xf numFmtId="17" fontId="0" fillId="0" borderId="22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6" fontId="0" fillId="0" borderId="26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16" fontId="0" fillId="0" borderId="71" xfId="0" applyNumberFormat="1" applyBorder="1" applyAlignment="1">
      <alignment horizontal="center"/>
    </xf>
    <xf numFmtId="0" fontId="0" fillId="0" borderId="65" xfId="0" applyBorder="1" applyAlignment="1">
      <alignment horizontal="center"/>
    </xf>
    <xf numFmtId="16" fontId="0" fillId="0" borderId="27" xfId="0" applyNumberFormat="1" applyBorder="1" applyAlignment="1">
      <alignment horizontal="center"/>
    </xf>
    <xf numFmtId="17" fontId="0" fillId="0" borderId="21" xfId="0" applyNumberFormat="1" applyBorder="1" applyAlignment="1">
      <alignment horizontal="center"/>
    </xf>
    <xf numFmtId="168" fontId="0" fillId="0" borderId="21" xfId="1" applyNumberFormat="1" applyFont="1" applyFill="1" applyBorder="1" applyAlignment="1">
      <alignment horizontal="center"/>
    </xf>
    <xf numFmtId="168" fontId="0" fillId="0" borderId="22" xfId="1" applyNumberFormat="1" applyFont="1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0" fillId="0" borderId="73" xfId="0" applyFill="1" applyBorder="1" applyAlignment="1">
      <alignment horizontal="center"/>
    </xf>
    <xf numFmtId="0" fontId="2" fillId="0" borderId="25" xfId="0" applyFont="1" applyBorder="1" applyAlignment="1">
      <alignment horizontal="center" vertical="center" textRotation="90"/>
    </xf>
    <xf numFmtId="0" fontId="0" fillId="0" borderId="62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textRotation="90"/>
    </xf>
    <xf numFmtId="0" fontId="2" fillId="0" borderId="62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16" fillId="27" borderId="29" xfId="0" applyFont="1" applyFill="1" applyBorder="1" applyAlignment="1">
      <alignment horizontal="center" vertical="center"/>
    </xf>
    <xf numFmtId="0" fontId="16" fillId="27" borderId="31" xfId="0" applyFont="1" applyFill="1" applyBorder="1" applyAlignment="1">
      <alignment horizontal="center" vertical="center"/>
    </xf>
    <xf numFmtId="0" fontId="16" fillId="27" borderId="106" xfId="0" applyFont="1" applyFill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106" xfId="0" applyFont="1" applyBorder="1" applyAlignment="1">
      <alignment horizontal="center" vertical="center"/>
    </xf>
    <xf numFmtId="0" fontId="25" fillId="27" borderId="29" xfId="0" applyFont="1" applyFill="1" applyBorder="1" applyAlignment="1">
      <alignment horizontal="center" vertical="center"/>
    </xf>
    <xf numFmtId="0" fontId="25" fillId="27" borderId="31" xfId="0" applyFont="1" applyFill="1" applyBorder="1" applyAlignment="1">
      <alignment horizontal="center" vertical="center"/>
    </xf>
    <xf numFmtId="3" fontId="19" fillId="0" borderId="29" xfId="0" applyNumberFormat="1" applyFont="1" applyBorder="1" applyAlignment="1">
      <alignment horizontal="center" vertical="center"/>
    </xf>
    <xf numFmtId="3" fontId="19" fillId="0" borderId="106" xfId="0" applyNumberFormat="1" applyFont="1" applyBorder="1" applyAlignment="1">
      <alignment horizontal="center" vertical="center"/>
    </xf>
    <xf numFmtId="0" fontId="15" fillId="26" borderId="27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170" fontId="14" fillId="0" borderId="0" xfId="0" applyNumberFormat="1" applyFont="1" applyAlignment="1">
      <alignment horizontal="left"/>
    </xf>
    <xf numFmtId="0" fontId="15" fillId="26" borderId="0" xfId="0" applyFont="1" applyFill="1" applyAlignment="1">
      <alignment horizontal="center" vertical="center"/>
    </xf>
    <xf numFmtId="0" fontId="0" fillId="0" borderId="0" xfId="0" applyNumberFormat="1" applyAlignment="1">
      <alignment horizontal="left"/>
    </xf>
    <xf numFmtId="0" fontId="2" fillId="0" borderId="35" xfId="0" applyNumberFormat="1" applyFont="1" applyBorder="1" applyAlignment="1">
      <alignment horizontal="left"/>
    </xf>
  </cellXfs>
  <cellStyles count="5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Percent" xfId="2" builtinId="5"/>
  </cellStyles>
  <dxfs count="30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YEZIU Nebih" refreshedDate="45448.482536921299" createdVersion="6" refreshedVersion="6" minRefreshableVersion="3" recordCount="6" xr:uid="{00000000-000A-0000-FFFF-FFFF00000000}">
  <cacheSource type="worksheet">
    <worksheetSource ref="J2:K8" sheet="Premium"/>
  </cacheSource>
  <cacheFields count="3">
    <cacheField name="Exact Date" numFmtId="14">
      <sharedItems containsSemiMixedTypes="0" containsNonDate="0" containsDate="1" containsString="0" minDate="2024-06-12T00:00:00" maxDate="2024-07-18T00:00:00"/>
    </cacheField>
    <cacheField name="Month" numFmtId="14">
      <sharedItems containsSemiMixedTypes="0" containsNonDate="0" containsDate="1" containsString="0" minDate="2024-06-01T00:00:00" maxDate="2024-07-02T00:00:00" count="2">
        <d v="2024-06-01T00:00:00"/>
        <d v="2024-07-01T00:00:00"/>
      </sharedItems>
      <fieldGroup par="2" base="1">
        <rangePr groupBy="days" startDate="2024-06-01T00:00:00" endDate="2024-07-02T00:00:00"/>
        <groupItems count="368">
          <s v="&lt;6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2/2024"/>
        </groupItems>
      </fieldGroup>
    </cacheField>
    <cacheField name="Months" numFmtId="0" databaseField="0">
      <fieldGroup base="1">
        <rangePr groupBy="months" startDate="2024-06-01T00:00:00" endDate="2024-07-02T00:00:00"/>
        <groupItems count="14">
          <s v="&lt;6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YEZIU Nebih" refreshedDate="45448.482566782404" createdVersion="6" refreshedVersion="6" minRefreshableVersion="3" recordCount="14" xr:uid="{00000000-000A-0000-FFFF-FFFF01000000}">
  <cacheSource type="worksheet">
    <worksheetSource ref="J11:K25" sheet="Premium"/>
  </cacheSource>
  <cacheFields count="2">
    <cacheField name="Exact Date" numFmtId="14">
      <sharedItems containsSemiMixedTypes="0" containsNonDate="0" containsDate="1" containsString="0" minDate="2024-06-24T00:00:00" maxDate="2024-08-18T00:00:00"/>
    </cacheField>
    <cacheField name="Month" numFmtId="14">
      <sharedItems containsSemiMixedTypes="0" containsNonDate="0" containsDate="1" containsString="0" minDate="2023-09-01T00:00:00" maxDate="2024-08-02T00:00:00" count="11">
        <d v="2024-08-01T00:00:00"/>
        <d v="2024-07-01T00:00:00"/>
        <d v="2024-06-01T00:00:00"/>
        <d v="2024-01-01T00:00:00" u="1"/>
        <d v="2023-09-01T00:00:00" u="1"/>
        <d v="2024-04-01T00:00:00" u="1"/>
        <d v="2023-12-01T00:00:00" u="1"/>
        <d v="2024-03-01T00:00:00" u="1"/>
        <d v="2023-11-01T00:00:00" u="1"/>
        <d v="2024-02-01T00:00:00" u="1"/>
        <d v="2023-10-0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d v="2024-06-19T00:00:00"/>
    <x v="0"/>
  </r>
  <r>
    <d v="2024-07-03T00:00:00"/>
    <x v="1"/>
  </r>
  <r>
    <d v="2024-07-17T00:00:00"/>
    <x v="1"/>
  </r>
  <r>
    <d v="2024-06-12T00:00:00"/>
    <x v="0"/>
  </r>
  <r>
    <d v="2024-06-26T00:00:00"/>
    <x v="0"/>
  </r>
  <r>
    <d v="2024-07-10T00:00: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">
  <r>
    <d v="2024-08-03T00:00:00"/>
    <x v="0"/>
  </r>
  <r>
    <d v="2024-08-17T00:00:00"/>
    <x v="0"/>
  </r>
  <r>
    <d v="2024-07-09T00:00:00"/>
    <x v="1"/>
  </r>
  <r>
    <d v="2024-07-23T00:00:00"/>
    <x v="1"/>
  </r>
  <r>
    <d v="2024-08-06T00:00:00"/>
    <x v="0"/>
  </r>
  <r>
    <d v="2024-07-01T00:00:00"/>
    <x v="1"/>
  </r>
  <r>
    <d v="2024-07-15T00:00:00"/>
    <x v="1"/>
  </r>
  <r>
    <d v="2024-07-29T00:00:00"/>
    <x v="1"/>
  </r>
  <r>
    <d v="2024-07-02T00:00:00"/>
    <x v="1"/>
  </r>
  <r>
    <d v="2024-07-16T00:00:00"/>
    <x v="1"/>
  </r>
  <r>
    <d v="2024-07-30T00:00:00"/>
    <x v="1"/>
  </r>
  <r>
    <d v="2024-06-24T00:00:00"/>
    <x v="2"/>
  </r>
  <r>
    <d v="2024-07-08T00:00:00"/>
    <x v="1"/>
  </r>
  <r>
    <d v="2024-07-22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1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O2:O5" firstHeaderRow="1" firstDataRow="1" firstDataCol="1"/>
  <pivotFields count="3">
    <pivotField numFmtId="14" showAll="0"/>
    <pivotField axis="axisRow" numFmtId="14" showAll="0" sortType="ascending">
      <items count="369">
        <item x="0"/>
        <item x="367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92"/>
        <item x="214"/>
        <item x="336"/>
        <item x="32"/>
        <item x="1"/>
        <item n="01.11.2024" x="183"/>
        <item n="01.12.2024" x="153"/>
        <item x="61"/>
        <item x="122"/>
        <item x="306"/>
        <item x="275"/>
        <item x="245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3">
    <i>
      <x v="127"/>
    </i>
    <i>
      <x v="12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O11:O15" firstHeaderRow="1" firstDataRow="1" firstDataCol="1"/>
  <pivotFields count="2">
    <pivotField numFmtId="14" showAll="0"/>
    <pivotField axis="axisRow" numFmtId="14" showAll="0">
      <items count="12">
        <item m="1" x="8"/>
        <item m="1" x="10"/>
        <item m="1" x="4"/>
        <item m="1" x="6"/>
        <item m="1" x="3"/>
        <item m="1" x="9"/>
        <item m="1" x="7"/>
        <item m="1" x="5"/>
        <item n="01.11.2024" x="0"/>
        <item n="01.12.2024" x="1"/>
        <item n="01.01.2025" x="2"/>
        <item t="default"/>
      </items>
    </pivotField>
  </pivotFields>
  <rowFields count="1">
    <field x="1"/>
  </rowFields>
  <rowItems count="4"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V281"/>
  <sheetViews>
    <sheetView tabSelected="1" zoomScale="85" zoomScaleNormal="85" workbookViewId="0">
      <selection activeCell="O259" sqref="O259"/>
    </sheetView>
  </sheetViews>
  <sheetFormatPr defaultRowHeight="15" outlineLevelRow="1" x14ac:dyDescent="0.25"/>
  <cols>
    <col min="1" max="1" width="28.42578125" bestFit="1" customWidth="1"/>
    <col min="2" max="2" width="28.7109375" hidden="1" customWidth="1"/>
    <col min="3" max="3" width="9.42578125" hidden="1" customWidth="1"/>
    <col min="4" max="4" width="7.42578125" hidden="1" customWidth="1"/>
    <col min="5" max="5" width="23.5703125" hidden="1" customWidth="1"/>
    <col min="6" max="8" width="9.85546875" bestFit="1" customWidth="1"/>
    <col min="9" max="9" width="23.5703125" hidden="1" customWidth="1"/>
    <col min="10" max="10" width="9.85546875" customWidth="1"/>
    <col min="11" max="12" width="9.85546875" bestFit="1" customWidth="1"/>
  </cols>
  <sheetData>
    <row r="1" spans="1:13" x14ac:dyDescent="0.25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</row>
    <row r="2" spans="1:13" x14ac:dyDescent="0.25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</row>
    <row r="3" spans="1:13" ht="15.75" thickBot="1" x14ac:dyDescent="0.3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</row>
    <row r="4" spans="1:13" ht="15.75" thickBot="1" x14ac:dyDescent="0.3">
      <c r="A4" s="456" t="s">
        <v>126</v>
      </c>
      <c r="B4" s="154"/>
      <c r="C4" s="453" t="s">
        <v>46</v>
      </c>
      <c r="D4" s="455"/>
      <c r="F4" s="453" t="s">
        <v>132</v>
      </c>
      <c r="G4" s="454"/>
      <c r="H4" s="455"/>
      <c r="J4" s="453" t="s">
        <v>133</v>
      </c>
      <c r="K4" s="454"/>
      <c r="L4" s="455"/>
      <c r="M4" s="154"/>
    </row>
    <row r="5" spans="1:13" ht="15.75" thickBot="1" x14ac:dyDescent="0.3">
      <c r="A5" s="456"/>
      <c r="B5" s="198" t="s">
        <v>134</v>
      </c>
      <c r="C5" s="172" t="str">
        <f ca="1">IF(DAY(C$6)&lt;15,"1H-"&amp;VLOOKUP(MONTH(C$6),Mapping!$A$1:$B$12,2,0),"2H-"&amp;VLOOKUP(MONTH(C$6),Mapping!$A$1:$B$12,2,0))</f>
        <v>2H-OCT</v>
      </c>
      <c r="D5" s="184" t="str">
        <f ca="1">IF(DAY(D$6)&lt;15,"1H-"&amp;VLOOKUP(MONTH(D$6),Mapping!$A$1:$B$12,2,0),"2H-"&amp;VLOOKUP(MONTH(D$6),Mapping!$A$1:$B$12,2,0))</f>
        <v>1H-NOV</v>
      </c>
      <c r="E5" s="9"/>
      <c r="F5" s="172" t="str">
        <f ca="1">IF(DAY(F$6)&lt;15,"1H-"&amp;VLOOKUP(MONTH(F$6),Mapping!$A$1:$B$12,2,0),"2H-"&amp;VLOOKUP(MONTH(F$6),Mapping!$A$1:$B$12,2,0))</f>
        <v>2H-SEP</v>
      </c>
      <c r="G5" s="185" t="str">
        <f ca="1">IF(DAY(G$6)&lt;15,"1H-"&amp;VLOOKUP(MONTH(G$6),Mapping!$A$1:$B$12,2,0),"2H-"&amp;VLOOKUP(MONTH(G$6),Mapping!$A$1:$B$12,2,0))</f>
        <v>1H-OCT</v>
      </c>
      <c r="H5" s="173" t="str">
        <f ca="1">IF(DAY(H$6)&lt;15,"1H-"&amp;VLOOKUP(MONTH(H$6),Mapping!$A$1:$B$12,2,0),"2H-"&amp;VLOOKUP(MONTH(H$6),Mapping!$A$1:$B$12,2,0))</f>
        <v>2H-OCT</v>
      </c>
      <c r="I5" s="9"/>
      <c r="J5" s="172" t="str">
        <f ca="1">IF(DAY(J$6)&lt;15,"1H-"&amp;VLOOKUP(MONTH(J$6),Mapping!$A$1:$B$12,2,0),"2H-"&amp;VLOOKUP(MONTH(J$6),Mapping!$A$1:$B$12,2,0))</f>
        <v>2H-SEP</v>
      </c>
      <c r="K5" s="185" t="str">
        <f ca="1">IF(DAY(K$6)&lt;15,"1H-"&amp;VLOOKUP(MONTH(K$6),Mapping!$A$1:$B$12,2,0),"2H-"&amp;VLOOKUP(MONTH(K$6),Mapping!$A$1:$B$12,2,0))</f>
        <v>1H-OCT</v>
      </c>
      <c r="L5" s="173" t="str">
        <f ca="1">IF(DAY(L$6)&lt;15,"1H-"&amp;VLOOKUP(MONTH(L$6),Mapping!$A$1:$B$12,2,0),"2H-"&amp;VLOOKUP(MONTH(L$6),Mapping!$A$1:$B$12,2,0))</f>
        <v>2H-OCT</v>
      </c>
      <c r="M5" s="154"/>
    </row>
    <row r="6" spans="1:13" ht="15.75" thickBot="1" x14ac:dyDescent="0.3">
      <c r="A6" s="154"/>
      <c r="B6" s="153" t="s">
        <v>134</v>
      </c>
      <c r="C6" s="189">
        <f ca="1">'ROTT TO SING'!E26</f>
        <v>45955</v>
      </c>
      <c r="D6" s="189">
        <f ca="1">'ROTT TO SING'!G26</f>
        <v>45969</v>
      </c>
      <c r="E6" s="176"/>
      <c r="F6" s="189">
        <f ca="1">'ROTT TO SING'!N26</f>
        <v>45930</v>
      </c>
      <c r="G6" s="191">
        <f ca="1">'ROTT TO SING'!P26</f>
        <v>45944</v>
      </c>
      <c r="H6" s="192">
        <f ca="1">'ROTT TO SING'!R26</f>
        <v>45958</v>
      </c>
      <c r="I6" s="178"/>
      <c r="J6" s="191">
        <f ca="1">'ROTT TO SING'!Y26</f>
        <v>45930</v>
      </c>
      <c r="K6" s="191">
        <f ca="1">'ROTT TO SING'!AA26</f>
        <v>45944</v>
      </c>
      <c r="L6" s="192">
        <f ca="1">'ROTT TO SING'!AC26</f>
        <v>45958</v>
      </c>
      <c r="M6" s="154"/>
    </row>
    <row r="7" spans="1:13" x14ac:dyDescent="0.25">
      <c r="A7" s="198" t="s">
        <v>40</v>
      </c>
      <c r="B7" s="167"/>
      <c r="C7" s="242">
        <f ca="1">C27+C8-C9</f>
        <v>-22.456934974747472</v>
      </c>
      <c r="D7" s="243">
        <f ca="1">D27+D8-D9</f>
        <v>-22.18128345959596</v>
      </c>
      <c r="E7" s="244"/>
      <c r="F7" s="242">
        <f ca="1">F27+F8-F9</f>
        <v>-36.773687500000001</v>
      </c>
      <c r="G7" s="245">
        <f ca="1">G27+G8-G9</f>
        <v>-36.647187500000001</v>
      </c>
      <c r="H7" s="243">
        <f ca="1">H27+H8-H9</f>
        <v>-36.485470890410951</v>
      </c>
      <c r="I7" s="246"/>
      <c r="J7" s="245">
        <f ca="1">J27+J8-J9</f>
        <v>-49.545932397959177</v>
      </c>
      <c r="K7" s="245">
        <f ca="1">K27+K8-K9</f>
        <v>-49.419432397959177</v>
      </c>
      <c r="L7" s="243">
        <f ca="1">L27+L8-L9</f>
        <v>-49.257715788370128</v>
      </c>
      <c r="M7" s="154"/>
    </row>
    <row r="8" spans="1:13" x14ac:dyDescent="0.25">
      <c r="A8" s="154"/>
      <c r="B8" s="168" t="s">
        <v>136</v>
      </c>
      <c r="C8" s="225">
        <f ca="1">INDEX(Premium!$A$2:$D$12,MATCH(MAIN!$A7,Premium!$A$2:$A$12,0),MATCH(EOMONTH(MAIN!C6,-1)+1,Premium!$A$2:$D$2,0))</f>
        <v>-1.5</v>
      </c>
      <c r="D8" s="226">
        <f ca="1">INDEX(Premium!$A$2:$D$12,MATCH(MAIN!$A7,Premium!$A$2:$A$12,0),MATCH(EOMONTH(MAIN!D6,-1)+1,Premium!$A$2:$D$2,0))</f>
        <v>-1.5</v>
      </c>
      <c r="E8" s="227" t="s">
        <v>131</v>
      </c>
      <c r="F8" s="225">
        <f ca="1">INDEX(Premium!$A$2:$D$12,MATCH(MAIN!$A7,Premium!$A$2:$A$12,0),MATCH(EOMONTH(MAIN!F6,-1)+1,Premium!$A$2:$D$2,0))</f>
        <v>-1.5</v>
      </c>
      <c r="G8" s="228">
        <f ca="1">INDEX(Premium!$A$2:$D$12,MATCH(MAIN!$A7,Premium!$A$2:$A$12,0),MATCH(EOMONTH(MAIN!G6,-1)+1,Premium!$A$2:$D$2,0))</f>
        <v>-1.5</v>
      </c>
      <c r="H8" s="226">
        <f ca="1">INDEX(Premium!$A$2:$D$12,MATCH(MAIN!$A7,Premium!$A$2:$A$12,0),MATCH(EOMONTH(MAIN!H6,-1)+1,Premium!$A$2:$D$2,0))</f>
        <v>-1.5</v>
      </c>
      <c r="I8" s="229" t="s">
        <v>131</v>
      </c>
      <c r="J8" s="228">
        <f ca="1">INDEX(Premium!$A$2:$D$12,MATCH(MAIN!$A7,Premium!$A$2:$A$12,0),MATCH(EOMONTH(MAIN!J6,-1)+1,Premium!$A$2:$D$2,0))</f>
        <v>-1.5</v>
      </c>
      <c r="K8" s="228">
        <f ca="1">INDEX(Premium!$A$2:$D$12,MATCH(MAIN!$A7,Premium!$A$2:$A$12,0),MATCH(EOMONTH(MAIN!K6,-1)+1,Premium!$A$2:$D$2,0))</f>
        <v>-1.5</v>
      </c>
      <c r="L8" s="226">
        <f ca="1">INDEX(Premium!$A$2:$D$12,MATCH(MAIN!$A7,Premium!$A$2:$A$12,0),MATCH(EOMONTH(MAIN!L6,-1)+1,Premium!$A$2:$D$2,0))</f>
        <v>-1.5</v>
      </c>
      <c r="M8" s="154"/>
    </row>
    <row r="9" spans="1:13" ht="15.75" thickBot="1" x14ac:dyDescent="0.3">
      <c r="A9" s="154"/>
      <c r="B9" s="169" t="s">
        <v>135</v>
      </c>
      <c r="C9" s="179">
        <f ca="1">INDEX(Premium!$A$21:$D$29,MATCH(MAIN!$A7,Premium!$A$21:$A$29,0),MATCH(EOMONTH(MAIN!C28,-1)+1,Premium!$A$21:$D$21,0))</f>
        <v>3</v>
      </c>
      <c r="D9" s="180">
        <f ca="1">INDEX(Premium!$A$21:$D$29,MATCH(MAIN!$A7,Premium!$A$21:$A$29,0),MATCH(EOMONTH(MAIN!D28,-1)+1,Premium!$A$21:$D$21,0))</f>
        <v>3</v>
      </c>
      <c r="E9" s="232" t="s">
        <v>130</v>
      </c>
      <c r="F9" s="179">
        <f ca="1">INDEX(Premium!$A$21:$D$29,MATCH(MAIN!$A7,Premium!$A$21:$A$29,0),MATCH(EOMONTH(MAIN!F28,-1)+1,Premium!$A$21:$D$21,0))</f>
        <v>3</v>
      </c>
      <c r="G9" s="181">
        <f ca="1">INDEX(Premium!$A$21:$D$29,MATCH(MAIN!$A7,Premium!$A$21:$A$29,0),MATCH(EOMONTH(MAIN!G28,-1)+1,Premium!$A$21:$D$21,0))</f>
        <v>3</v>
      </c>
      <c r="H9" s="180">
        <f ca="1">INDEX(Premium!$A$21:$D$29,MATCH(MAIN!$A7,Premium!$A$21:$A$29,0),MATCH(EOMONTH(MAIN!H28,-1)+1,Premium!$A$21:$D$21,0))</f>
        <v>3</v>
      </c>
      <c r="I9" s="219" t="s">
        <v>130</v>
      </c>
      <c r="J9" s="181">
        <f ca="1">INDEX(Premium!$A$21:$D$29,MATCH(MAIN!$A7,Premium!$A$21:$A$29,0),MATCH(EOMONTH(MAIN!J28,-1)+1,Premium!$A$21:$D$21,0))</f>
        <v>3</v>
      </c>
      <c r="K9" s="181">
        <f ca="1">INDEX(Premium!$A$21:$D$29,MATCH(MAIN!$A7,Premium!$A$21:$A$29,0),MATCH(EOMONTH(MAIN!K28,-1)+1,Premium!$A$21:$D$21,0))</f>
        <v>3</v>
      </c>
      <c r="L9" s="180">
        <f ca="1">INDEX(Premium!$A$21:$D$29,MATCH(MAIN!$A7,Premium!$A$21:$A$29,0),MATCH(EOMONTH(MAIN!L28,-1)+1,Premium!$A$21:$D$21,0))</f>
        <v>3</v>
      </c>
      <c r="M9" s="154"/>
    </row>
    <row r="10" spans="1:13" hidden="1" outlineLevel="1" x14ac:dyDescent="0.25">
      <c r="A10" s="154"/>
      <c r="B10" s="254" t="s">
        <v>55</v>
      </c>
      <c r="C10" s="174">
        <f>INDEX('ROTT TO SING'!$A$8:$H$25,MATCH(MAIN!B10,'ROTT TO SING'!$A$8:$A$25,0),5)</f>
        <v>20.74074074074074</v>
      </c>
      <c r="D10" s="175">
        <f>INDEX('ROTT TO SING'!$A$8:$H$25,MATCH(MAIN!B10,'ROTT TO SING'!$A$8:$A$25,0),7)</f>
        <v>20.74074074074074</v>
      </c>
      <c r="E10" s="176" t="s">
        <v>55</v>
      </c>
      <c r="F10" s="174">
        <f>INDEX('ROTT TO SING'!$J$8:$S$25,MATCH(MAIN!E10,'ROTT TO SING'!$J$8:$J$25,0),5)</f>
        <v>34</v>
      </c>
      <c r="G10" s="177">
        <f>INDEX('ROTT TO SING'!$J$8:$S$25,MATCH(MAIN!E10,'ROTT TO SING'!$J$8:$J$25,0),7)</f>
        <v>34</v>
      </c>
      <c r="H10" s="175">
        <f>INDEX('ROTT TO SING'!$J$8:$S$25,MATCH(MAIN!E10,'ROTT TO SING'!$J$8:$J$25,0),9)</f>
        <v>34</v>
      </c>
      <c r="I10" s="178" t="s">
        <v>55</v>
      </c>
      <c r="J10" s="177">
        <f>INDEX('ROTT TO SING'!$U$8:$AD$25,MATCH(MAIN!I10,'ROTT TO AG'!$L$6:$L$23,0),5)</f>
        <v>46.938775510204081</v>
      </c>
      <c r="K10" s="177">
        <f>INDEX('ROTT TO SING'!$U$8:$AD$25,MATCH(MAIN!I10,'ROTT TO AG'!$L$6:$L$23,0),7)</f>
        <v>46.938775510204081</v>
      </c>
      <c r="L10" s="175">
        <f>INDEX('ROTT TO SING'!$U$8:$AD$25,MATCH(MAIN!I10,'ROTT TO AG'!$L$6:$L$23,0),9)</f>
        <v>46.938775510204081</v>
      </c>
      <c r="M10" s="154"/>
    </row>
    <row r="11" spans="1:13" hidden="1" outlineLevel="1" x14ac:dyDescent="0.25">
      <c r="A11" s="154"/>
      <c r="B11" s="255" t="s">
        <v>56</v>
      </c>
      <c r="C11" s="174">
        <f>INDEX('ROTT TO SING'!$A$8:$H$25,MATCH(MAIN!B11,'ROTT TO SING'!$A$8:$A$25,0),5)</f>
        <v>0</v>
      </c>
      <c r="D11" s="175">
        <f>INDEX('ROTT TO SING'!$A$8:$H$25,MATCH(MAIN!B11,'ROTT TO SING'!$A$8:$A$25,0),7)</f>
        <v>0</v>
      </c>
      <c r="E11" s="176" t="s">
        <v>56</v>
      </c>
      <c r="F11" s="174">
        <f>INDEX('ROTT TO SING'!$J$8:$S$25,MATCH(MAIN!E11,'ROTT TO SING'!$J$8:$J$25,0),5)</f>
        <v>0</v>
      </c>
      <c r="G11" s="177">
        <f>INDEX('ROTT TO SING'!$J$8:$S$25,MATCH(MAIN!E11,'ROTT TO SING'!$J$8:$J$25,0),7)</f>
        <v>0</v>
      </c>
      <c r="H11" s="175">
        <f>INDEX('ROTT TO SING'!$J$8:$S$25,MATCH(MAIN!E11,'ROTT TO SING'!$J$8:$J$25,0),9)</f>
        <v>0</v>
      </c>
      <c r="I11" s="178" t="s">
        <v>56</v>
      </c>
      <c r="J11" s="177">
        <f>INDEX('ROTT TO SING'!$U$8:$AD$25,MATCH(MAIN!I11,'ROTT TO AG'!$L$6:$L$23,0),5)</f>
        <v>0</v>
      </c>
      <c r="K11" s="177">
        <f>INDEX('ROTT TO SING'!$U$8:$AD$25,MATCH(MAIN!I11,'ROTT TO AG'!$L$6:$L$23,0),7)</f>
        <v>0</v>
      </c>
      <c r="L11" s="175">
        <f>INDEX('ROTT TO SING'!$U$8:$AD$25,MATCH(MAIN!I11,'ROTT TO AG'!$L$6:$L$23,0),9)</f>
        <v>0</v>
      </c>
      <c r="M11" s="154"/>
    </row>
    <row r="12" spans="1:13" hidden="1" outlineLevel="1" x14ac:dyDescent="0.25">
      <c r="A12" s="154"/>
      <c r="B12" s="255" t="s">
        <v>57</v>
      </c>
      <c r="C12" s="174">
        <f>INDEX('ROTT TO SING'!$A$8:$H$25,MATCH(MAIN!B12,'ROTT TO SING'!$A$8:$A$25,0),5)</f>
        <v>2.0370370370370372</v>
      </c>
      <c r="D12" s="175">
        <f>INDEX('ROTT TO SING'!$A$8:$H$25,MATCH(MAIN!B12,'ROTT TO SING'!$A$8:$A$25,0),7)</f>
        <v>2.0370370370370372</v>
      </c>
      <c r="E12" s="176" t="s">
        <v>57</v>
      </c>
      <c r="F12" s="174">
        <f>INDEX('ROTT TO SING'!$J$8:$S$25,MATCH(MAIN!E12,'ROTT TO SING'!$J$8:$J$25,0),5)</f>
        <v>2.6833333333333331</v>
      </c>
      <c r="G12" s="177">
        <f>INDEX('ROTT TO SING'!$J$8:$S$25,MATCH(MAIN!E12,'ROTT TO SING'!$J$8:$J$25,0),7)</f>
        <v>2.6833333333333331</v>
      </c>
      <c r="H12" s="175">
        <f>INDEX('ROTT TO SING'!$J$8:$S$25,MATCH(MAIN!E12,'ROTT TO SING'!$J$8:$J$25,0),9)</f>
        <v>2.6833333333333331</v>
      </c>
      <c r="I12" s="178" t="s">
        <v>57</v>
      </c>
      <c r="J12" s="177">
        <f>INDEX('ROTT TO SING'!$U$8:$AD$25,MATCH(MAIN!I12,'ROTT TO AG'!$L$6:$L$23,0),5)</f>
        <v>2.1683673469387754</v>
      </c>
      <c r="K12" s="177">
        <f>INDEX('ROTT TO SING'!$U$8:$AD$25,MATCH(MAIN!I12,'ROTT TO AG'!$L$6:$L$23,0),7)</f>
        <v>2.1683673469387754</v>
      </c>
      <c r="L12" s="175">
        <f>INDEX('ROTT TO SING'!$U$8:$AD$25,MATCH(MAIN!I12,'ROTT TO AG'!$L$6:$L$23,0),9)</f>
        <v>2.1683673469387754</v>
      </c>
      <c r="M12" s="154"/>
    </row>
    <row r="13" spans="1:13" hidden="1" outlineLevel="1" x14ac:dyDescent="0.25">
      <c r="A13" s="154"/>
      <c r="B13" s="255" t="s">
        <v>58</v>
      </c>
      <c r="C13" s="174">
        <f>INDEX('ROTT TO SING'!$A$8:$H$25,MATCH(MAIN!B13,'ROTT TO SING'!$A$8:$A$25,0),5)</f>
        <v>3.1481481481481478E-2</v>
      </c>
      <c r="D13" s="175">
        <f>INDEX('ROTT TO SING'!$A$8:$H$25,MATCH(MAIN!B13,'ROTT TO SING'!$A$8:$A$25,0),7)</f>
        <v>3.1481481481481478E-2</v>
      </c>
      <c r="E13" s="176" t="s">
        <v>58</v>
      </c>
      <c r="F13" s="174">
        <f>INDEX('ROTT TO SING'!$J$8:$S$25,MATCH(MAIN!E13,'ROTT TO SING'!$J$8:$J$25,0),5)</f>
        <v>5.6666666666666664E-2</v>
      </c>
      <c r="G13" s="177">
        <f>INDEX('ROTT TO SING'!$J$8:$S$25,MATCH(MAIN!E13,'ROTT TO SING'!$J$8:$J$25,0),7)</f>
        <v>5.6666666666666664E-2</v>
      </c>
      <c r="H13" s="175">
        <f>INDEX('ROTT TO SING'!$J$8:$S$25,MATCH(MAIN!E13,'ROTT TO SING'!$J$8:$J$25,0),9)</f>
        <v>5.6666666666666664E-2</v>
      </c>
      <c r="I13" s="178" t="s">
        <v>58</v>
      </c>
      <c r="J13" s="177">
        <f>INDEX('ROTT TO SING'!$U$8:$AD$25,MATCH(MAIN!I13,'ROTT TO AG'!$L$6:$L$23,0),5)</f>
        <v>8.673469387755102E-2</v>
      </c>
      <c r="K13" s="177">
        <f>INDEX('ROTT TO SING'!$U$8:$AD$25,MATCH(MAIN!I13,'ROTT TO AG'!$L$6:$L$23,0),7)</f>
        <v>8.673469387755102E-2</v>
      </c>
      <c r="L13" s="175">
        <f>INDEX('ROTT TO SING'!$U$8:$AD$25,MATCH(MAIN!I13,'ROTT TO AG'!$L$6:$L$23,0),9)</f>
        <v>8.673469387755102E-2</v>
      </c>
      <c r="M13" s="154"/>
    </row>
    <row r="14" spans="1:13" hidden="1" outlineLevel="1" x14ac:dyDescent="0.25">
      <c r="A14" s="154"/>
      <c r="B14" s="255" t="s">
        <v>127</v>
      </c>
      <c r="C14" s="174">
        <f>INDEX('ROTT TO SING'!$A$8:$H$25,MATCH(MAIN!B14,'ROTT TO SING'!$A$8:$A$25,0),5)</f>
        <v>9.2592592592592587E-2</v>
      </c>
      <c r="D14" s="175">
        <f>INDEX('ROTT TO SING'!$A$8:$H$25,MATCH(MAIN!B14,'ROTT TO SING'!$A$8:$A$25,0),7)</f>
        <v>9.2592592592592587E-2</v>
      </c>
      <c r="E14" s="176" t="s">
        <v>127</v>
      </c>
      <c r="F14" s="174">
        <f>INDEX('ROTT TO SING'!$J$8:$S$25,MATCH(MAIN!E14,'ROTT TO SING'!$J$8:$J$25,0),5)</f>
        <v>0.16666666666666666</v>
      </c>
      <c r="G14" s="177">
        <f>INDEX('ROTT TO SING'!$J$8:$S$25,MATCH(MAIN!E14,'ROTT TO SING'!$J$8:$J$25,0),7)</f>
        <v>0.16666666666666666</v>
      </c>
      <c r="H14" s="175">
        <f>INDEX('ROTT TO SING'!$J$8:$S$25,MATCH(MAIN!E14,'ROTT TO SING'!$J$8:$J$25,0),9)</f>
        <v>0.16666666666666666</v>
      </c>
      <c r="I14" s="178" t="s">
        <v>127</v>
      </c>
      <c r="J14" s="177">
        <f>INDEX('ROTT TO SING'!$U$8:$AD$25,MATCH(MAIN!I14,'ROTT TO AG'!$L$6:$L$23,0),5)</f>
        <v>0.25510204081632654</v>
      </c>
      <c r="K14" s="177">
        <f>INDEX('ROTT TO SING'!$U$8:$AD$25,MATCH(MAIN!I14,'ROTT TO AG'!$L$6:$L$23,0),7)</f>
        <v>0.25510204081632654</v>
      </c>
      <c r="L14" s="175">
        <f>INDEX('ROTT TO SING'!$U$8:$AD$25,MATCH(MAIN!I14,'ROTT TO AG'!$L$6:$L$23,0),9)</f>
        <v>0.25510204081632654</v>
      </c>
      <c r="M14" s="154"/>
    </row>
    <row r="15" spans="1:13" hidden="1" outlineLevel="1" x14ac:dyDescent="0.25">
      <c r="A15" s="154"/>
      <c r="B15" s="255" t="s">
        <v>128</v>
      </c>
      <c r="C15" s="174">
        <f>INDEX('ROTT TO SING'!$A$8:$H$25,MATCH(MAIN!B15,'ROTT TO SING'!$A$8:$A$25,0),5)</f>
        <v>9.2592592592592587E-2</v>
      </c>
      <c r="D15" s="175">
        <f>INDEX('ROTT TO SING'!$A$8:$H$25,MATCH(MAIN!B15,'ROTT TO SING'!$A$8:$A$25,0),7)</f>
        <v>9.2592592592592587E-2</v>
      </c>
      <c r="E15" s="176" t="s">
        <v>128</v>
      </c>
      <c r="F15" s="174">
        <f>INDEX('ROTT TO SING'!$J$8:$S$25,MATCH(MAIN!E15,'ROTT TO SING'!$J$8:$J$25,0),5)</f>
        <v>0.16666666666666666</v>
      </c>
      <c r="G15" s="177">
        <f>INDEX('ROTT TO SING'!$J$8:$S$25,MATCH(MAIN!E15,'ROTT TO SING'!$J$8:$J$25,0),7)</f>
        <v>0.16666666666666666</v>
      </c>
      <c r="H15" s="175">
        <f>INDEX('ROTT TO SING'!$J$8:$S$25,MATCH(MAIN!E15,'ROTT TO SING'!$J$8:$J$25,0),9)</f>
        <v>0.16666666666666666</v>
      </c>
      <c r="I15" s="178" t="s">
        <v>128</v>
      </c>
      <c r="J15" s="177">
        <f>INDEX('ROTT TO SING'!$U$8:$AD$25,MATCH(MAIN!I15,'ROTT TO AG'!$L$6:$L$23,0),5)</f>
        <v>0.25510204081632654</v>
      </c>
      <c r="K15" s="177">
        <f>INDEX('ROTT TO SING'!$U$8:$AD$25,MATCH(MAIN!I15,'ROTT TO AG'!$L$6:$L$23,0),7)</f>
        <v>0.25510204081632654</v>
      </c>
      <c r="L15" s="175">
        <f>INDEX('ROTT TO SING'!$U$8:$AD$25,MATCH(MAIN!I15,'ROTT TO AG'!$L$6:$L$23,0),9)</f>
        <v>0.25510204081632654</v>
      </c>
      <c r="M15" s="154"/>
    </row>
    <row r="16" spans="1:13" hidden="1" outlineLevel="1" x14ac:dyDescent="0.25">
      <c r="A16" s="154"/>
      <c r="B16" s="255" t="s">
        <v>83</v>
      </c>
      <c r="C16" s="174">
        <f ca="1">INDEX('ROTT TO SING'!$A$8:$H$25,MATCH(MAIN!B16,'ROTT TO SING'!$A$8:$A$25,0),5)</f>
        <v>3.4650000000000003</v>
      </c>
      <c r="D16" s="175">
        <f ca="1">INDEX('ROTT TO SING'!$A$8:$H$25,MATCH(MAIN!B16,'ROTT TO SING'!$A$8:$A$25,0),7)</f>
        <v>3.4650000000000003</v>
      </c>
      <c r="E16" s="176" t="s">
        <v>83</v>
      </c>
      <c r="F16" s="174">
        <f ca="1">INDEX('ROTT TO SING'!$J$8:$S$25,MATCH(MAIN!E16,'ROTT TO SING'!$J$8:$J$25,0),5)</f>
        <v>3.4650000000000003</v>
      </c>
      <c r="G16" s="177">
        <f ca="1">INDEX('ROTT TO SING'!$J$8:$S$25,MATCH(MAIN!E16,'ROTT TO SING'!$J$8:$J$25,0),7)</f>
        <v>3.4650000000000003</v>
      </c>
      <c r="H16" s="175">
        <f ca="1">INDEX('ROTT TO SING'!$J$8:$S$25,MATCH(MAIN!E16,'ROTT TO SING'!$J$8:$J$25,0),9)</f>
        <v>3.4310958904109592</v>
      </c>
      <c r="I16" s="178" t="s">
        <v>83</v>
      </c>
      <c r="J16" s="177">
        <f ca="1">INDEX('ROTT TO SING'!$U$8:$AD$25,MATCH(MAIN!I16,'ROTT TO AG'!$L$6:$L$23,0),5)</f>
        <v>3.4650000000000003</v>
      </c>
      <c r="K16" s="177">
        <f ca="1">INDEX('ROTT TO SING'!$U$8:$AD$25,MATCH(MAIN!I16,'ROTT TO AG'!$L$6:$L$23,0),7)</f>
        <v>3.4650000000000003</v>
      </c>
      <c r="L16" s="175">
        <f ca="1">INDEX('ROTT TO SING'!$U$8:$AD$25,MATCH(MAIN!I16,'ROTT TO AG'!$L$6:$L$23,0),9)</f>
        <v>3.4310958904109592</v>
      </c>
      <c r="M16" s="154"/>
    </row>
    <row r="17" spans="1:13" hidden="1" outlineLevel="1" x14ac:dyDescent="0.25">
      <c r="A17" s="154"/>
      <c r="B17" s="255" t="s">
        <v>59</v>
      </c>
      <c r="C17" s="174">
        <f>INDEX('ROTT TO SING'!$A$8:$H$25,MATCH(MAIN!B17,'ROTT TO SING'!$A$8:$A$25,0),5)</f>
        <v>0</v>
      </c>
      <c r="D17" s="175">
        <f>INDEX('ROTT TO SING'!$A$8:$H$25,MATCH(MAIN!B17,'ROTT TO SING'!$A$8:$A$25,0),7)</f>
        <v>0</v>
      </c>
      <c r="E17" s="176" t="s">
        <v>59</v>
      </c>
      <c r="F17" s="174">
        <f>INDEX('ROTT TO SING'!$J$8:$S$25,MATCH(MAIN!E17,'ROTT TO SING'!$J$8:$J$25,0),5)</f>
        <v>0</v>
      </c>
      <c r="G17" s="177">
        <f>INDEX('ROTT TO SING'!$J$8:$S$25,MATCH(MAIN!E17,'ROTT TO SING'!$J$8:$J$25,0),7)</f>
        <v>0</v>
      </c>
      <c r="H17" s="175">
        <f>INDEX('ROTT TO SING'!$J$8:$S$25,MATCH(MAIN!E17,'ROTT TO SING'!$J$8:$J$25,0),9)</f>
        <v>0</v>
      </c>
      <c r="I17" s="178" t="s">
        <v>59</v>
      </c>
      <c r="J17" s="177">
        <f>INDEX('ROTT TO SING'!$U$8:$AD$25,MATCH(MAIN!I17,'ROTT TO AG'!$L$6:$L$23,0),5)</f>
        <v>0</v>
      </c>
      <c r="K17" s="177">
        <f>INDEX('ROTT TO SING'!$U$8:$AD$25,MATCH(MAIN!I17,'ROTT TO AG'!$L$6:$L$23,0),7)</f>
        <v>0</v>
      </c>
      <c r="L17" s="175">
        <f>INDEX('ROTT TO SING'!$U$8:$AD$25,MATCH(MAIN!I17,'ROTT TO AG'!$L$6:$L$23,0),9)</f>
        <v>0</v>
      </c>
      <c r="M17" s="154"/>
    </row>
    <row r="18" spans="1:13" hidden="1" outlineLevel="1" x14ac:dyDescent="0.25">
      <c r="A18" s="154"/>
      <c r="B18" s="255" t="s">
        <v>60</v>
      </c>
      <c r="C18" s="174">
        <f ca="1">INDEX('ROTT TO SING'!$A$8:$H$25,MATCH(MAIN!B18,'ROTT TO SING'!$A$8:$A$25,0),5)</f>
        <v>0.28743750000000001</v>
      </c>
      <c r="D18" s="175">
        <f ca="1">INDEX('ROTT TO SING'!$A$8:$H$25,MATCH(MAIN!B18,'ROTT TO SING'!$A$8:$A$25,0),7)</f>
        <v>0.28743750000000001</v>
      </c>
      <c r="E18" s="176" t="s">
        <v>60</v>
      </c>
      <c r="F18" s="174">
        <f ca="1">INDEX('ROTT TO SING'!$J$8:$S$25,MATCH(MAIN!E18,'ROTT TO SING'!$J$8:$J$25,0),5)</f>
        <v>0.28743750000000001</v>
      </c>
      <c r="G18" s="177">
        <f ca="1">INDEX('ROTT TO SING'!$J$8:$S$25,MATCH(MAIN!E18,'ROTT TO SING'!$J$8:$J$25,0),7)</f>
        <v>0.28743750000000001</v>
      </c>
      <c r="H18" s="175">
        <f ca="1">INDEX('ROTT TO SING'!$J$8:$S$25,MATCH(MAIN!E18,'ROTT TO SING'!$J$8:$J$25,0),9)</f>
        <v>0.28462500000000002</v>
      </c>
      <c r="I18" s="178" t="s">
        <v>60</v>
      </c>
      <c r="J18" s="177">
        <f ca="1">INDEX('ROTT TO SING'!$U$8:$AD$25,MATCH(MAIN!I18,'ROTT TO AG'!$L$6:$L$23,0),5)</f>
        <v>0.28743750000000001</v>
      </c>
      <c r="K18" s="177">
        <f ca="1">INDEX('ROTT TO SING'!$U$8:$AD$25,MATCH(MAIN!I18,'ROTT TO AG'!$L$6:$L$23,0),7)</f>
        <v>0.28743750000000001</v>
      </c>
      <c r="L18" s="175">
        <f ca="1">INDEX('ROTT TO SING'!$U$8:$AD$25,MATCH(MAIN!I18,'ROTT TO AG'!$L$6:$L$23,0),9)</f>
        <v>0.28462500000000002</v>
      </c>
      <c r="M18" s="154"/>
    </row>
    <row r="19" spans="1:13" hidden="1" outlineLevel="1" x14ac:dyDescent="0.25">
      <c r="A19" s="154"/>
      <c r="B19" s="255" t="s">
        <v>61</v>
      </c>
      <c r="C19" s="174">
        <f ca="1">INDEX('ROTT TO SING'!$A$8:$H$25,MATCH(MAIN!B19,'ROTT TO SING'!$A$8:$A$25,0),5)</f>
        <v>1.1797500000000001</v>
      </c>
      <c r="D19" s="175">
        <f ca="1">INDEX('ROTT TO SING'!$A$8:$H$25,MATCH(MAIN!B19,'ROTT TO SING'!$A$8:$A$25,0),7)</f>
        <v>1.1692500000000001</v>
      </c>
      <c r="E19" s="176" t="s">
        <v>61</v>
      </c>
      <c r="F19" s="174">
        <f ca="1">INDEX('ROTT TO SING'!$J$8:$S$25,MATCH(MAIN!E19,'ROTT TO SING'!$J$8:$J$25,0),5)</f>
        <v>1.1812500000000001</v>
      </c>
      <c r="G19" s="177">
        <f ca="1">INDEX('ROTT TO SING'!$J$8:$S$25,MATCH(MAIN!E19,'ROTT TO SING'!$J$8:$J$25,0),7)</f>
        <v>1.1797500000000001</v>
      </c>
      <c r="H19" s="175">
        <f ca="1">INDEX('ROTT TO SING'!$J$8:$S$25,MATCH(MAIN!E19,'ROTT TO SING'!$J$8:$J$25,0),9)</f>
        <v>1.1797500000000001</v>
      </c>
      <c r="I19" s="178" t="s">
        <v>61</v>
      </c>
      <c r="J19" s="177">
        <f ca="1">INDEX('ROTT TO SING'!$U$8:$AD$25,MATCH(MAIN!I19,'ROTT TO AG'!$L$6:$L$23,0),5)</f>
        <v>1.1812500000000001</v>
      </c>
      <c r="K19" s="177">
        <f ca="1">INDEX('ROTT TO SING'!$U$8:$AD$25,MATCH(MAIN!I19,'ROTT TO AG'!$L$6:$L$23,0),7)</f>
        <v>1.1797500000000001</v>
      </c>
      <c r="L19" s="175">
        <f ca="1">INDEX('ROTT TO SING'!$U$8:$AD$25,MATCH(MAIN!I19,'ROTT TO AG'!$L$6:$L$23,0),9)</f>
        <v>1.1797500000000001</v>
      </c>
      <c r="M19" s="154"/>
    </row>
    <row r="20" spans="1:13" hidden="1" outlineLevel="1" x14ac:dyDescent="0.25">
      <c r="A20" s="154"/>
      <c r="B20" s="255" t="s">
        <v>62</v>
      </c>
      <c r="C20" s="174">
        <f>INDEX('ROTT TO SING'!$A$8:$H$25,MATCH(MAIN!B20,'ROTT TO SING'!$A$8:$A$25,0),5)</f>
        <v>4.6296296296296294E-2</v>
      </c>
      <c r="D20" s="175">
        <f>INDEX('ROTT TO SING'!$A$8:$H$25,MATCH(MAIN!B20,'ROTT TO SING'!$A$8:$A$25,0),7)</f>
        <v>4.6296296296296294E-2</v>
      </c>
      <c r="E20" s="176" t="s">
        <v>62</v>
      </c>
      <c r="F20" s="174">
        <f>INDEX('ROTT TO SING'!$J$8:$S$25,MATCH(MAIN!E20,'ROTT TO SING'!$J$8:$J$25,0),5)</f>
        <v>8.3333333333333329E-2</v>
      </c>
      <c r="G20" s="177">
        <f>INDEX('ROTT TO SING'!$J$8:$S$25,MATCH(MAIN!E20,'ROTT TO SING'!$J$8:$J$25,0),7)</f>
        <v>8.3333333333333329E-2</v>
      </c>
      <c r="H20" s="175">
        <f>INDEX('ROTT TO SING'!$J$8:$S$25,MATCH(MAIN!E20,'ROTT TO SING'!$J$8:$J$25,0),9)</f>
        <v>8.3333333333333329E-2</v>
      </c>
      <c r="I20" s="178" t="s">
        <v>62</v>
      </c>
      <c r="J20" s="177">
        <f>INDEX('ROTT TO SING'!$U$8:$AD$25,MATCH(MAIN!I20,'ROTT TO AG'!$L$6:$L$23,0),5)</f>
        <v>0.12755102040816327</v>
      </c>
      <c r="K20" s="177">
        <f>INDEX('ROTT TO SING'!$U$8:$AD$25,MATCH(MAIN!I20,'ROTT TO AG'!$L$6:$L$23,0),7)</f>
        <v>0.12755102040816327</v>
      </c>
      <c r="L20" s="175">
        <f>INDEX('ROTT TO SING'!$U$8:$AD$25,MATCH(MAIN!I20,'ROTT TO AG'!$L$6:$L$23,0),9)</f>
        <v>0.12755102040816327</v>
      </c>
      <c r="M20" s="154"/>
    </row>
    <row r="21" spans="1:13" hidden="1" outlineLevel="1" x14ac:dyDescent="0.25">
      <c r="A21" s="154"/>
      <c r="B21" s="255" t="s">
        <v>63</v>
      </c>
      <c r="C21" s="174">
        <f>INDEX('ROTT TO SING'!$A$8:$H$25,MATCH(MAIN!B21,'ROTT TO SING'!$A$8:$A$25,0),5)</f>
        <v>4.6296296296296294E-3</v>
      </c>
      <c r="D21" s="175">
        <f>INDEX('ROTT TO SING'!$A$8:$H$25,MATCH(MAIN!B21,'ROTT TO SING'!$A$8:$A$25,0),7)</f>
        <v>4.6296296296296294E-3</v>
      </c>
      <c r="E21" s="176" t="s">
        <v>63</v>
      </c>
      <c r="F21" s="174">
        <f>INDEX('ROTT TO SING'!$J$8:$S$25,MATCH(MAIN!E21,'ROTT TO SING'!$J$8:$J$25,0),5)</f>
        <v>8.3333333333333332E-3</v>
      </c>
      <c r="G21" s="177">
        <f>INDEX('ROTT TO SING'!$J$8:$S$25,MATCH(MAIN!E21,'ROTT TO SING'!$J$8:$J$25,0),7)</f>
        <v>8.3333333333333332E-3</v>
      </c>
      <c r="H21" s="175">
        <f>INDEX('ROTT TO SING'!$J$8:$S$25,MATCH(MAIN!E21,'ROTT TO SING'!$J$8:$J$25,0),9)</f>
        <v>8.3333333333333332E-3</v>
      </c>
      <c r="I21" s="178" t="s">
        <v>63</v>
      </c>
      <c r="J21" s="177">
        <f>INDEX('ROTT TO SING'!$U$8:$AD$25,MATCH(MAIN!I21,'ROTT TO AG'!$L$6:$L$23,0),5)</f>
        <v>1.2755102040816327E-2</v>
      </c>
      <c r="K21" s="177">
        <f>INDEX('ROTT TO SING'!$U$8:$AD$25,MATCH(MAIN!I21,'ROTT TO AG'!$L$6:$L$23,0),7)</f>
        <v>1.2755102040816327E-2</v>
      </c>
      <c r="L21" s="175">
        <f>INDEX('ROTT TO SING'!$U$8:$AD$25,MATCH(MAIN!I21,'ROTT TO AG'!$L$6:$L$23,0),9)</f>
        <v>1.2755102040816327E-2</v>
      </c>
      <c r="M21" s="154"/>
    </row>
    <row r="22" spans="1:13" hidden="1" outlineLevel="1" x14ac:dyDescent="0.25">
      <c r="A22" s="154"/>
      <c r="B22" s="255" t="s">
        <v>64</v>
      </c>
      <c r="C22" s="174">
        <f>INDEX('ROTT TO SING'!$A$8:$H$25,MATCH(MAIN!B22,'ROTT TO SING'!$A$8:$A$25,0),5)</f>
        <v>4.6296296296296294E-3</v>
      </c>
      <c r="D22" s="175">
        <f>INDEX('ROTT TO SING'!$A$8:$H$25,MATCH(MAIN!B22,'ROTT TO SING'!$A$8:$A$25,0),7)</f>
        <v>4.6296296296296294E-3</v>
      </c>
      <c r="E22" s="176" t="s">
        <v>64</v>
      </c>
      <c r="F22" s="174">
        <f>INDEX('ROTT TO SING'!$J$8:$S$25,MATCH(MAIN!E22,'ROTT TO SING'!$J$8:$J$25,0),5)</f>
        <v>8.3333333333333332E-3</v>
      </c>
      <c r="G22" s="177">
        <f>INDEX('ROTT TO SING'!$J$8:$S$25,MATCH(MAIN!E22,'ROTT TO SING'!$J$8:$J$25,0),7)</f>
        <v>8.3333333333333332E-3</v>
      </c>
      <c r="H22" s="175">
        <f>INDEX('ROTT TO SING'!$J$8:$S$25,MATCH(MAIN!E22,'ROTT TO SING'!$J$8:$J$25,0),9)</f>
        <v>8.3333333333333332E-3</v>
      </c>
      <c r="I22" s="178" t="s">
        <v>64</v>
      </c>
      <c r="J22" s="177">
        <f>INDEX('ROTT TO SING'!$U$8:$AD$25,MATCH(MAIN!I22,'ROTT TO AG'!$L$6:$L$23,0),5)</f>
        <v>1.2755102040816327E-2</v>
      </c>
      <c r="K22" s="177">
        <f>INDEX('ROTT TO SING'!$U$8:$AD$25,MATCH(MAIN!I22,'ROTT TO AG'!$L$6:$L$23,0),7)</f>
        <v>1.2755102040816327E-2</v>
      </c>
      <c r="L22" s="175">
        <f>INDEX('ROTT TO SING'!$U$8:$AD$25,MATCH(MAIN!I22,'ROTT TO AG'!$L$6:$L$23,0),9)</f>
        <v>1.2755102040816327E-2</v>
      </c>
      <c r="M22" s="154"/>
    </row>
    <row r="23" spans="1:13" hidden="1" outlineLevel="1" x14ac:dyDescent="0.25">
      <c r="A23" s="154"/>
      <c r="B23" s="255" t="s">
        <v>65</v>
      </c>
      <c r="C23" s="174">
        <f>INDEX('ROTT TO SING'!$A$8:$H$25,MATCH(MAIN!B23,'ROTT TO SING'!$A$8:$A$25,0),5)</f>
        <v>7.407407407407407E-2</v>
      </c>
      <c r="D23" s="175">
        <f>INDEX('ROTT TO SING'!$A$8:$H$25,MATCH(MAIN!B23,'ROTT TO SING'!$A$8:$A$25,0),7)</f>
        <v>7.407407407407407E-2</v>
      </c>
      <c r="E23" s="176" t="s">
        <v>65</v>
      </c>
      <c r="F23" s="174">
        <f>INDEX('ROTT TO SING'!$J$8:$S$25,MATCH(MAIN!E23,'ROTT TO SING'!$J$8:$J$25,0),5)</f>
        <v>0.1</v>
      </c>
      <c r="G23" s="177">
        <f>INDEX('ROTT TO SING'!$J$8:$S$25,MATCH(MAIN!E23,'ROTT TO SING'!$J$8:$J$25,0),7)</f>
        <v>0.1</v>
      </c>
      <c r="H23" s="175">
        <f>INDEX('ROTT TO SING'!$J$8:$S$25,MATCH(MAIN!E23,'ROTT TO SING'!$J$8:$J$25,0),9)</f>
        <v>0.1</v>
      </c>
      <c r="I23" s="178" t="s">
        <v>65</v>
      </c>
      <c r="J23" s="177">
        <f>INDEX('ROTT TO SING'!$U$8:$AD$25,MATCH(MAIN!I23,'ROTT TO AG'!$L$6:$L$23,0),5)</f>
        <v>0.15306122448979592</v>
      </c>
      <c r="K23" s="177">
        <f>INDEX('ROTT TO SING'!$U$8:$AD$25,MATCH(MAIN!I23,'ROTT TO AG'!$L$6:$L$23,0),7)</f>
        <v>0.15306122448979592</v>
      </c>
      <c r="L23" s="175">
        <f>INDEX('ROTT TO SING'!$U$8:$AD$25,MATCH(MAIN!I23,'ROTT TO AG'!$L$6:$L$23,0),9)</f>
        <v>0.15306122448979592</v>
      </c>
      <c r="M23" s="154"/>
    </row>
    <row r="24" spans="1:13" hidden="1" outlineLevel="1" x14ac:dyDescent="0.25">
      <c r="A24" s="154"/>
      <c r="B24" s="255" t="s">
        <v>66</v>
      </c>
      <c r="C24" s="174">
        <f>INDEX('ROTT TO SING'!$A$8:$H$25,MATCH(MAIN!B24,'ROTT TO SING'!$A$8:$A$25,0),5)</f>
        <v>3.7037037037037035E-2</v>
      </c>
      <c r="D24" s="175">
        <f>INDEX('ROTT TO SING'!$A$8:$H$25,MATCH(MAIN!B24,'ROTT TO SING'!$A$8:$A$25,0),7)</f>
        <v>3.7037037037037035E-2</v>
      </c>
      <c r="E24" s="176" t="s">
        <v>66</v>
      </c>
      <c r="F24" s="174">
        <f>INDEX('ROTT TO SING'!$J$8:$S$25,MATCH(MAIN!E24,'ROTT TO SING'!$J$8:$J$25,0),5)</f>
        <v>6.6666666666666666E-2</v>
      </c>
      <c r="G24" s="177">
        <f>INDEX('ROTT TO SING'!$J$8:$S$25,MATCH(MAIN!E24,'ROTT TO SING'!$J$8:$J$25,0),7)</f>
        <v>6.6666666666666666E-2</v>
      </c>
      <c r="H24" s="175">
        <f>INDEX('ROTT TO SING'!$J$8:$S$25,MATCH(MAIN!E24,'ROTT TO SING'!$J$8:$J$25,0),9)</f>
        <v>6.6666666666666666E-2</v>
      </c>
      <c r="I24" s="178" t="s">
        <v>66</v>
      </c>
      <c r="J24" s="177">
        <f>INDEX('ROTT TO SING'!$U$8:$AD$25,MATCH(MAIN!I24,'ROTT TO AG'!$L$6:$L$23,0),5)</f>
        <v>0.10204081632653061</v>
      </c>
      <c r="K24" s="177">
        <f>INDEX('ROTT TO SING'!$U$8:$AD$25,MATCH(MAIN!I24,'ROTT TO AG'!$L$6:$L$23,0),7)</f>
        <v>0.10204081632653061</v>
      </c>
      <c r="L24" s="175">
        <f>INDEX('ROTT TO SING'!$U$8:$AD$25,MATCH(MAIN!I24,'ROTT TO AG'!$L$6:$L$23,0),9)</f>
        <v>0.10204081632653061</v>
      </c>
      <c r="M24" s="154"/>
    </row>
    <row r="25" spans="1:13" hidden="1" outlineLevel="1" x14ac:dyDescent="0.25">
      <c r="A25" s="154"/>
      <c r="B25" s="255" t="s">
        <v>102</v>
      </c>
      <c r="C25" s="174">
        <f ca="1">INDEX('ROTT TO SING'!$A$8:$H$25,MATCH(MAIN!B25,'ROTT TO SING'!$A$8:$A$25,0),5)</f>
        <v>28.093298611111109</v>
      </c>
      <c r="D25" s="175">
        <f ca="1">INDEX('ROTT TO SING'!$A$8:$H$25,MATCH(MAIN!B25,'ROTT TO SING'!$A$8:$A$25,0),7)</f>
        <v>28.082798611111112</v>
      </c>
      <c r="E25" s="176" t="s">
        <v>102</v>
      </c>
      <c r="F25" s="174">
        <f ca="1">INDEX('ROTT TO SING'!$J$8:$S$25,MATCH(MAIN!E25,'ROTT TO SING'!$J$8:$J$25,0),5)</f>
        <v>42.273687500000001</v>
      </c>
      <c r="G25" s="177">
        <f ca="1">INDEX('ROTT TO SING'!$J$8:$S$25,MATCH(MAIN!E25,'ROTT TO SING'!$J$8:$J$25,0),7)</f>
        <v>42.272187500000001</v>
      </c>
      <c r="H25" s="175">
        <f ca="1">INDEX('ROTT TO SING'!$J$8:$S$25,MATCH(MAIN!E25,'ROTT TO SING'!$J$8:$J$25,0),9)</f>
        <v>42.235470890410951</v>
      </c>
      <c r="I25" s="178" t="s">
        <v>102</v>
      </c>
      <c r="J25" s="177">
        <f ca="1">INDEX('ROTT TO SING'!$U$8:$AD$25,MATCH(MAIN!I25,'ROTT TO AG'!$L$6:$L$23,0),5)</f>
        <v>55.045932397959177</v>
      </c>
      <c r="K25" s="177">
        <f ca="1">INDEX('ROTT TO SING'!$U$8:$AD$25,MATCH(MAIN!I25,'ROTT TO AG'!$L$6:$L$23,0),7)</f>
        <v>55.044432397959177</v>
      </c>
      <c r="L25" s="175">
        <f ca="1">INDEX('ROTT TO SING'!$U$8:$AD$25,MATCH(MAIN!I25,'ROTT TO AG'!$L$6:$L$23,0),9)</f>
        <v>55.007715788370128</v>
      </c>
      <c r="M25" s="154"/>
    </row>
    <row r="26" spans="1:13" hidden="1" outlineLevel="1" x14ac:dyDescent="0.25">
      <c r="A26" s="154"/>
      <c r="B26" s="255" t="s">
        <v>103</v>
      </c>
      <c r="C26" s="174">
        <f ca="1">INDEX('ROTT TO SING'!$A$8:$H$25,MATCH(MAIN!B26,'ROTT TO SING'!$A$8:$A$25,0),5)</f>
        <v>10.136363636363637</v>
      </c>
      <c r="D26" s="175">
        <f ca="1">INDEX('ROTT TO SING'!$A$8:$H$25,MATCH(MAIN!B26,'ROTT TO SING'!$A$8:$A$25,0),7)</f>
        <v>10.401515151515152</v>
      </c>
      <c r="E26" s="176" t="s">
        <v>103</v>
      </c>
      <c r="F26" s="174">
        <f ca="1">INDEX('ROTT TO SING'!$J$8:$S$25,MATCH(MAIN!E26,'ROTT TO SING'!$J$8:$J$25,0),5)</f>
        <v>10</v>
      </c>
      <c r="G26" s="177">
        <f ca="1">INDEX('ROTT TO SING'!$J$8:$S$25,MATCH(MAIN!E26,'ROTT TO SING'!$J$8:$J$25,0),7)</f>
        <v>10.125</v>
      </c>
      <c r="H26" s="175">
        <f ca="1">INDEX('ROTT TO SING'!$J$8:$S$25,MATCH(MAIN!E26,'ROTT TO SING'!$J$8:$J$25,0),9)</f>
        <v>10.25</v>
      </c>
      <c r="I26" s="178" t="s">
        <v>103</v>
      </c>
      <c r="J26" s="177">
        <f ca="1">INDEX('ROTT TO SING'!$U$8:$AD$25,MATCH(MAIN!I26,'ROTT TO AG'!$L$6:$L$23,0),5)</f>
        <v>10</v>
      </c>
      <c r="K26" s="177">
        <f ca="1">INDEX('ROTT TO SING'!$U$8:$AD$25,MATCH(MAIN!I26,'ROTT TO AG'!$L$6:$L$23,0),7)</f>
        <v>10.125</v>
      </c>
      <c r="L26" s="175">
        <f ca="1">INDEX('ROTT TO SING'!$U$8:$AD$25,MATCH(MAIN!I26,'ROTT TO AG'!$L$6:$L$23,0),9)</f>
        <v>10.25</v>
      </c>
      <c r="M26" s="154"/>
    </row>
    <row r="27" spans="1:13" hidden="1" outlineLevel="1" x14ac:dyDescent="0.25">
      <c r="A27" s="154"/>
      <c r="B27" s="255" t="s">
        <v>115</v>
      </c>
      <c r="C27" s="174">
        <f ca="1">INDEX('ROTT TO SING'!$A$8:$H$25,MATCH(MAIN!B27,'ROTT TO SING'!$A$8:$A$25,0),5)</f>
        <v>-17.956934974747472</v>
      </c>
      <c r="D27" s="175">
        <f ca="1">INDEX('ROTT TO SING'!$A$8:$H$25,MATCH(MAIN!B27,'ROTT TO SING'!$A$8:$A$25,0),7)</f>
        <v>-17.68128345959596</v>
      </c>
      <c r="E27" s="176" t="s">
        <v>115</v>
      </c>
      <c r="F27" s="174">
        <f ca="1">INDEX('ROTT TO SING'!$J$8:$S$25,MATCH(MAIN!E27,'ROTT TO SING'!$J$8:$J$25,0),5)</f>
        <v>-32.273687500000001</v>
      </c>
      <c r="G27" s="177">
        <f ca="1">INDEX('ROTT TO SING'!$J$8:$S$25,MATCH(MAIN!E27,'ROTT TO SING'!$J$8:$J$25,0),7)</f>
        <v>-32.147187500000001</v>
      </c>
      <c r="H27" s="175">
        <f ca="1">INDEX('ROTT TO SING'!$J$8:$S$25,MATCH(MAIN!E27,'ROTT TO SING'!$J$8:$J$25,0),9)</f>
        <v>-31.985470890410951</v>
      </c>
      <c r="I27" s="178" t="s">
        <v>115</v>
      </c>
      <c r="J27" s="177">
        <f ca="1">INDEX('ROTT TO SING'!$U$8:$AD$25,MATCH(MAIN!I27,'ROTT TO AG'!$L$6:$L$23,0),5)</f>
        <v>-45.045932397959177</v>
      </c>
      <c r="K27" s="177">
        <f ca="1">INDEX('ROTT TO SING'!$U$8:$AD$25,MATCH(MAIN!I27,'ROTT TO AG'!$L$6:$L$23,0),7)</f>
        <v>-44.919432397959177</v>
      </c>
      <c r="L27" s="175">
        <f ca="1">INDEX('ROTT TO SING'!$U$8:$AD$25,MATCH(MAIN!I27,'ROTT TO AG'!$L$6:$L$23,0),9)</f>
        <v>-44.757715788370128</v>
      </c>
      <c r="M27" s="154"/>
    </row>
    <row r="28" spans="1:13" hidden="1" outlineLevel="1" x14ac:dyDescent="0.25">
      <c r="A28" s="154"/>
      <c r="B28" s="256" t="s">
        <v>129</v>
      </c>
      <c r="C28" s="200">
        <f ca="1">'ROTT TO SING'!E5</f>
        <v>45910</v>
      </c>
      <c r="D28" s="190">
        <f ca="1">'ROTT TO SING'!G5</f>
        <v>45924</v>
      </c>
      <c r="E28" s="176" t="s">
        <v>129</v>
      </c>
      <c r="F28" s="200">
        <f ca="1">'ROTT TO SING'!N5</f>
        <v>45903</v>
      </c>
      <c r="G28" s="201">
        <f ca="1">'ROTT TO SING'!P5</f>
        <v>45917</v>
      </c>
      <c r="H28" s="202">
        <f ca="1">'ROTT TO SING'!R5</f>
        <v>45931</v>
      </c>
      <c r="I28" s="178" t="s">
        <v>129</v>
      </c>
      <c r="J28" s="201">
        <f ca="1">'ROTT TO SING'!Y5</f>
        <v>45903</v>
      </c>
      <c r="K28" s="201">
        <f ca="1">'ROTT TO SING'!AA26</f>
        <v>45944</v>
      </c>
      <c r="L28" s="202">
        <f ca="1">'ROTT TO SING'!AC26</f>
        <v>45958</v>
      </c>
      <c r="M28" s="154"/>
    </row>
    <row r="29" spans="1:13" hidden="1" collapsed="1" x14ac:dyDescent="0.25">
      <c r="A29" s="198" t="s">
        <v>41</v>
      </c>
      <c r="B29" s="167"/>
      <c r="C29" s="158">
        <f ca="1">C49+C30-C31</f>
        <v>-22.456934974747472</v>
      </c>
      <c r="D29" s="160">
        <f ca="1">D49+D30-D31</f>
        <v>-22.18128345959596</v>
      </c>
      <c r="E29" s="10"/>
      <c r="F29" s="158">
        <f ca="1">F49+F30-F31</f>
        <v>-36.773687500000001</v>
      </c>
      <c r="G29" s="159">
        <f ca="1">G49+G30-G31</f>
        <v>-36.647187500000001</v>
      </c>
      <c r="H29" s="160">
        <f ca="1">H49+H30-H31</f>
        <v>-36.485470890410951</v>
      </c>
      <c r="I29" s="164"/>
      <c r="J29" s="159">
        <f ca="1">J49+J30-J31</f>
        <v>-49.545932397959177</v>
      </c>
      <c r="K29" s="159">
        <f ca="1">K49+K30-K31</f>
        <v>-49.419432397959177</v>
      </c>
      <c r="L29" s="160">
        <f ca="1">L49+L30-L31</f>
        <v>-49.257715788370128</v>
      </c>
      <c r="M29" s="154"/>
    </row>
    <row r="30" spans="1:13" hidden="1" x14ac:dyDescent="0.25">
      <c r="A30" s="154"/>
      <c r="B30" s="168" t="s">
        <v>131</v>
      </c>
      <c r="C30" s="174">
        <f ca="1">INDEX(Premium!$A$2:$D$12,MATCH(MAIN!$A29,Premium!$A$2:$A$12,0),MATCH(EOMONTH(MAIN!C6,-1)+1,Premium!$A$2:$D$2,0))</f>
        <v>-6.5</v>
      </c>
      <c r="D30" s="175">
        <f ca="1">INDEX(Premium!$A$2:$D$12,MATCH(MAIN!$A29,Premium!$A$2:$A$12,0),MATCH(EOMONTH(MAIN!D6,-1)+1,Premium!$A$2:$D$2,0))</f>
        <v>-6.5</v>
      </c>
      <c r="E30" s="176" t="s">
        <v>131</v>
      </c>
      <c r="F30" s="174">
        <f ca="1">INDEX(Premium!$A$2:$D$12,MATCH(MAIN!$A29,Premium!$A$2:$A$12,0),MATCH(EOMONTH(MAIN!F6,-1)+1,Premium!$A$2:$D$2,0))</f>
        <v>-6.5</v>
      </c>
      <c r="G30" s="177">
        <f ca="1">INDEX(Premium!$A$2:$D$12,MATCH(MAIN!$A29,Premium!$A$2:$A$12,0),MATCH(EOMONTH(MAIN!G6,-1)+1,Premium!$A$2:$D$2,0))</f>
        <v>-6.5</v>
      </c>
      <c r="H30" s="175">
        <f ca="1">INDEX(Premium!$A$2:$D$12,MATCH(MAIN!$A29,Premium!$A$2:$A$12,0),MATCH(EOMONTH(MAIN!H6,-1)+1,Premium!$A$2:$D$2,0))</f>
        <v>-6.5</v>
      </c>
      <c r="I30" s="178" t="s">
        <v>131</v>
      </c>
      <c r="J30" s="177">
        <f ca="1">INDEX(Premium!$A$2:$D$12,MATCH(MAIN!$A29,Premium!$A$2:$A$12,0),MATCH(EOMONTH(MAIN!J6,-1)+1,Premium!$A$2:$D$2,0))</f>
        <v>-6.5</v>
      </c>
      <c r="K30" s="177">
        <f ca="1">INDEX(Premium!$A$2:$D$12,MATCH(MAIN!$A29,Premium!$A$2:$A$12,0),MATCH(EOMONTH(MAIN!K6,-1)+1,Premium!$A$2:$D$2,0))</f>
        <v>-6.5</v>
      </c>
      <c r="L30" s="175">
        <f ca="1">INDEX(Premium!$A$2:$D$12,MATCH(MAIN!$A29,Premium!$A$2:$A$12,0),MATCH(EOMONTH(MAIN!L6,-1)+1,Premium!$A$2:$D$2,0))</f>
        <v>-6.5</v>
      </c>
      <c r="M30" s="154"/>
    </row>
    <row r="31" spans="1:13" ht="15.75" hidden="1" thickBot="1" x14ac:dyDescent="0.3">
      <c r="B31" s="169" t="s">
        <v>135</v>
      </c>
      <c r="C31" s="174">
        <f ca="1">INDEX(Premium!$A$21:$D$29,MATCH(MAIN!$A29,Premium!$A$21:$A$29,0),MATCH(EOMONTH(MAIN!C50,-1)+1,Premium!$A$21:$D$21,0))</f>
        <v>-2</v>
      </c>
      <c r="D31" s="175">
        <f ca="1">INDEX(Premium!$A$21:$D$29,MATCH(MAIN!$A29,Premium!$A$21:$A$29,0),MATCH(EOMONTH(MAIN!D50,-1)+1,Premium!$A$21:$D$21,0))</f>
        <v>-2</v>
      </c>
      <c r="E31" s="176" t="s">
        <v>130</v>
      </c>
      <c r="F31" s="174">
        <f ca="1">INDEX(Premium!$A$21:$D$29,MATCH(MAIN!$A29,Premium!$A$21:$A$29,0),MATCH(EOMONTH(MAIN!F50,-1)+1,Premium!$A$21:$D$21,0))</f>
        <v>-2</v>
      </c>
      <c r="G31" s="177">
        <f ca="1">INDEX(Premium!$A$21:$D$29,MATCH(MAIN!$A29,Premium!$A$21:$A$29,0),MATCH(EOMONTH(MAIN!G50,-1)+1,Premium!$A$21:$D$21,0))</f>
        <v>-2</v>
      </c>
      <c r="H31" s="175">
        <f ca="1">INDEX(Premium!$A$21:$D$29,MATCH(MAIN!$A29,Premium!$A$21:$A$29,0),MATCH(EOMONTH(MAIN!H50,-1)+1,Premium!$A$21:$D$21,0))</f>
        <v>-2</v>
      </c>
      <c r="I31" s="178" t="s">
        <v>130</v>
      </c>
      <c r="J31" s="177">
        <f ca="1">INDEX(Premium!$A$21:$D$29,MATCH(MAIN!$A29,Premium!$A$21:$A$29,0),MATCH(EOMONTH(MAIN!J50,-1)+1,Premium!$A$21:$D$21,0))</f>
        <v>-2</v>
      </c>
      <c r="K31" s="177">
        <f ca="1">INDEX(Premium!$A$21:$D$29,MATCH(MAIN!$A29,Premium!$A$21:$A$29,0),MATCH(EOMONTH(MAIN!K50,-1)+1,Premium!$A$21:$D$21,0))</f>
        <v>-2</v>
      </c>
      <c r="L31" s="175">
        <f ca="1">INDEX(Premium!$A$21:$D$29,MATCH(MAIN!$A29,Premium!$A$21:$A$29,0),MATCH(EOMONTH(MAIN!L50,-1)+1,Premium!$A$21:$D$21,0))</f>
        <v>-2</v>
      </c>
      <c r="M31" s="154"/>
    </row>
    <row r="32" spans="1:13" hidden="1" outlineLevel="1" x14ac:dyDescent="0.25">
      <c r="A32" s="154"/>
      <c r="B32" s="230" t="s">
        <v>55</v>
      </c>
      <c r="C32" s="233">
        <f>INDEX('ROTT TO SING'!$A$8:$H$25,MATCH(MAIN!B32,'ROTT TO SING'!$A$8:$A$25,0),5)</f>
        <v>20.74074074074074</v>
      </c>
      <c r="D32" s="234">
        <f>INDEX('ROTT TO SING'!$A$8:$H$25,MATCH(MAIN!B32,'ROTT TO SING'!$A$8:$A$25,0),7)</f>
        <v>20.74074074074074</v>
      </c>
      <c r="E32" s="236" t="s">
        <v>55</v>
      </c>
      <c r="F32" s="233">
        <f>INDEX('ROTT TO SING'!$J$8:$S$25,MATCH(MAIN!E32,'ROTT TO SING'!$J$8:$J$25,0),5)</f>
        <v>34</v>
      </c>
      <c r="G32" s="234">
        <f>INDEX('ROTT TO SING'!$J$8:$S$25,MATCH(MAIN!E32,'ROTT TO SING'!$J$8:$J$25,0),7)</f>
        <v>34</v>
      </c>
      <c r="H32" s="235">
        <f>INDEX('ROTT TO SING'!$J$8:$S$25,MATCH(MAIN!E32,'ROTT TO SING'!$J$8:$J$25,0),9)</f>
        <v>34</v>
      </c>
      <c r="I32" s="238" t="s">
        <v>55</v>
      </c>
      <c r="J32" s="234">
        <f>INDEX('ROTT TO SING'!$U$8:$AD$25,MATCH(MAIN!I32,'ROTT TO AG'!$L$6:$L$23,0),5)</f>
        <v>46.938775510204081</v>
      </c>
      <c r="K32" s="234">
        <f>INDEX('ROTT TO SING'!$U$8:$AD$25,MATCH(MAIN!I32,'ROTT TO AG'!$L$6:$L$23,0),7)</f>
        <v>46.938775510204081</v>
      </c>
      <c r="L32" s="235">
        <f>INDEX('ROTT TO SING'!$U$8:$AD$25,MATCH(MAIN!I32,'ROTT TO AG'!$L$6:$L$23,0),9)</f>
        <v>46.938775510204081</v>
      </c>
      <c r="M32" s="154"/>
    </row>
    <row r="33" spans="1:13" hidden="1" outlineLevel="1" x14ac:dyDescent="0.25">
      <c r="A33" s="154"/>
      <c r="B33" s="168" t="s">
        <v>56</v>
      </c>
      <c r="C33" s="174">
        <f>INDEX('ROTT TO SING'!$A$8:$H$25,MATCH(MAIN!B33,'ROTT TO SING'!$A$8:$A$25,0),5)</f>
        <v>0</v>
      </c>
      <c r="D33" s="177">
        <f>INDEX('ROTT TO SING'!$A$8:$H$25,MATCH(MAIN!B33,'ROTT TO SING'!$A$8:$A$25,0),7)</f>
        <v>0</v>
      </c>
      <c r="E33" s="168" t="s">
        <v>56</v>
      </c>
      <c r="F33" s="174">
        <f>INDEX('ROTT TO SING'!$J$8:$S$25,MATCH(MAIN!E33,'ROTT TO SING'!$J$8:$J$25,0),5)</f>
        <v>0</v>
      </c>
      <c r="G33" s="177">
        <f>INDEX('ROTT TO SING'!$J$8:$S$25,MATCH(MAIN!E33,'ROTT TO SING'!$J$8:$J$25,0),7)</f>
        <v>0</v>
      </c>
      <c r="H33" s="175">
        <f>INDEX('ROTT TO SING'!$J$8:$S$25,MATCH(MAIN!E33,'ROTT TO SING'!$J$8:$J$25,0),9)</f>
        <v>0</v>
      </c>
      <c r="I33" s="178" t="s">
        <v>56</v>
      </c>
      <c r="J33" s="177">
        <f>INDEX('ROTT TO SING'!$U$8:$AD$25,MATCH(MAIN!I33,'ROTT TO AG'!$L$6:$L$23,0),5)</f>
        <v>0</v>
      </c>
      <c r="K33" s="177">
        <f>INDEX('ROTT TO SING'!$U$8:$AD$25,MATCH(MAIN!I33,'ROTT TO AG'!$L$6:$L$23,0),7)</f>
        <v>0</v>
      </c>
      <c r="L33" s="175">
        <f>INDEX('ROTT TO SING'!$U$8:$AD$25,MATCH(MAIN!I33,'ROTT TO AG'!$L$6:$L$23,0),9)</f>
        <v>0</v>
      </c>
      <c r="M33" s="154"/>
    </row>
    <row r="34" spans="1:13" hidden="1" outlineLevel="1" x14ac:dyDescent="0.25">
      <c r="A34" s="154"/>
      <c r="B34" s="168" t="s">
        <v>57</v>
      </c>
      <c r="C34" s="174">
        <f>INDEX('ROTT TO SING'!$A$8:$H$25,MATCH(MAIN!B34,'ROTT TO SING'!$A$8:$A$25,0),5)</f>
        <v>2.0370370370370372</v>
      </c>
      <c r="D34" s="177">
        <f>INDEX('ROTT TO SING'!$A$8:$H$25,MATCH(MAIN!B34,'ROTT TO SING'!$A$8:$A$25,0),7)</f>
        <v>2.0370370370370372</v>
      </c>
      <c r="E34" s="168" t="s">
        <v>57</v>
      </c>
      <c r="F34" s="174">
        <f>INDEX('ROTT TO SING'!$J$8:$S$25,MATCH(MAIN!E34,'ROTT TO SING'!$J$8:$J$25,0),5)</f>
        <v>2.6833333333333331</v>
      </c>
      <c r="G34" s="177">
        <f>INDEX('ROTT TO SING'!$J$8:$S$25,MATCH(MAIN!E34,'ROTT TO SING'!$J$8:$J$25,0),7)</f>
        <v>2.6833333333333331</v>
      </c>
      <c r="H34" s="175">
        <f>INDEX('ROTT TO SING'!$J$8:$S$25,MATCH(MAIN!E34,'ROTT TO SING'!$J$8:$J$25,0),9)</f>
        <v>2.6833333333333331</v>
      </c>
      <c r="I34" s="178" t="s">
        <v>57</v>
      </c>
      <c r="J34" s="177">
        <f>INDEX('ROTT TO SING'!$U$8:$AD$25,MATCH(MAIN!I34,'ROTT TO AG'!$L$6:$L$23,0),5)</f>
        <v>2.1683673469387754</v>
      </c>
      <c r="K34" s="177">
        <f>INDEX('ROTT TO SING'!$U$8:$AD$25,MATCH(MAIN!I34,'ROTT TO AG'!$L$6:$L$23,0),7)</f>
        <v>2.1683673469387754</v>
      </c>
      <c r="L34" s="175">
        <f>INDEX('ROTT TO SING'!$U$8:$AD$25,MATCH(MAIN!I34,'ROTT TO AG'!$L$6:$L$23,0),9)</f>
        <v>2.1683673469387754</v>
      </c>
      <c r="M34" s="154"/>
    </row>
    <row r="35" spans="1:13" hidden="1" outlineLevel="1" x14ac:dyDescent="0.25">
      <c r="A35" s="154"/>
      <c r="B35" s="168" t="s">
        <v>58</v>
      </c>
      <c r="C35" s="174">
        <f>INDEX('ROTT TO SING'!$A$8:$H$25,MATCH(MAIN!B35,'ROTT TO SING'!$A$8:$A$25,0),5)</f>
        <v>3.1481481481481478E-2</v>
      </c>
      <c r="D35" s="177">
        <f>INDEX('ROTT TO SING'!$A$8:$H$25,MATCH(MAIN!B35,'ROTT TO SING'!$A$8:$A$25,0),7)</f>
        <v>3.1481481481481478E-2</v>
      </c>
      <c r="E35" s="168" t="s">
        <v>58</v>
      </c>
      <c r="F35" s="174">
        <f>INDEX('ROTT TO SING'!$J$8:$S$25,MATCH(MAIN!E35,'ROTT TO SING'!$J$8:$J$25,0),5)</f>
        <v>5.6666666666666664E-2</v>
      </c>
      <c r="G35" s="177">
        <f>INDEX('ROTT TO SING'!$J$8:$S$25,MATCH(MAIN!E35,'ROTT TO SING'!$J$8:$J$25,0),7)</f>
        <v>5.6666666666666664E-2</v>
      </c>
      <c r="H35" s="175">
        <f>INDEX('ROTT TO SING'!$J$8:$S$25,MATCH(MAIN!E35,'ROTT TO SING'!$J$8:$J$25,0),9)</f>
        <v>5.6666666666666664E-2</v>
      </c>
      <c r="I35" s="178" t="s">
        <v>58</v>
      </c>
      <c r="J35" s="177">
        <f>INDEX('ROTT TO SING'!$U$8:$AD$25,MATCH(MAIN!I35,'ROTT TO AG'!$L$6:$L$23,0),5)</f>
        <v>8.673469387755102E-2</v>
      </c>
      <c r="K35" s="177">
        <f>INDEX('ROTT TO SING'!$U$8:$AD$25,MATCH(MAIN!I35,'ROTT TO AG'!$L$6:$L$23,0),7)</f>
        <v>8.673469387755102E-2</v>
      </c>
      <c r="L35" s="175">
        <f>INDEX('ROTT TO SING'!$U$8:$AD$25,MATCH(MAIN!I35,'ROTT TO AG'!$L$6:$L$23,0),9)</f>
        <v>8.673469387755102E-2</v>
      </c>
      <c r="M35" s="154"/>
    </row>
    <row r="36" spans="1:13" hidden="1" outlineLevel="1" x14ac:dyDescent="0.25">
      <c r="A36" s="154"/>
      <c r="B36" s="168" t="s">
        <v>127</v>
      </c>
      <c r="C36" s="174">
        <f>INDEX('ROTT TO SING'!$A$8:$H$25,MATCH(MAIN!B36,'ROTT TO SING'!$A$8:$A$25,0),5)</f>
        <v>9.2592592592592587E-2</v>
      </c>
      <c r="D36" s="177">
        <f>INDEX('ROTT TO SING'!$A$8:$H$25,MATCH(MAIN!B36,'ROTT TO SING'!$A$8:$A$25,0),7)</f>
        <v>9.2592592592592587E-2</v>
      </c>
      <c r="E36" s="168" t="s">
        <v>127</v>
      </c>
      <c r="F36" s="174">
        <f>INDEX('ROTT TO SING'!$J$8:$S$25,MATCH(MAIN!E36,'ROTT TO SING'!$J$8:$J$25,0),5)</f>
        <v>0.16666666666666666</v>
      </c>
      <c r="G36" s="177">
        <f>INDEX('ROTT TO SING'!$J$8:$S$25,MATCH(MAIN!E36,'ROTT TO SING'!$J$8:$J$25,0),7)</f>
        <v>0.16666666666666666</v>
      </c>
      <c r="H36" s="175">
        <f>INDEX('ROTT TO SING'!$J$8:$S$25,MATCH(MAIN!E36,'ROTT TO SING'!$J$8:$J$25,0),9)</f>
        <v>0.16666666666666666</v>
      </c>
      <c r="I36" s="178" t="s">
        <v>127</v>
      </c>
      <c r="J36" s="177">
        <f>INDEX('ROTT TO SING'!$U$8:$AD$25,MATCH(MAIN!I36,'ROTT TO AG'!$L$6:$L$23,0),5)</f>
        <v>0.25510204081632654</v>
      </c>
      <c r="K36" s="177">
        <f>INDEX('ROTT TO SING'!$U$8:$AD$25,MATCH(MAIN!I36,'ROTT TO AG'!$L$6:$L$23,0),7)</f>
        <v>0.25510204081632654</v>
      </c>
      <c r="L36" s="175">
        <f>INDEX('ROTT TO SING'!$U$8:$AD$25,MATCH(MAIN!I36,'ROTT TO AG'!$L$6:$L$23,0),9)</f>
        <v>0.25510204081632654</v>
      </c>
      <c r="M36" s="154"/>
    </row>
    <row r="37" spans="1:13" hidden="1" outlineLevel="1" x14ac:dyDescent="0.25">
      <c r="A37" s="154"/>
      <c r="B37" s="168" t="s">
        <v>128</v>
      </c>
      <c r="C37" s="174">
        <f>INDEX('ROTT TO SING'!$A$8:$H$25,MATCH(MAIN!B37,'ROTT TO SING'!$A$8:$A$25,0),5)</f>
        <v>9.2592592592592587E-2</v>
      </c>
      <c r="D37" s="177">
        <f>INDEX('ROTT TO SING'!$A$8:$H$25,MATCH(MAIN!B37,'ROTT TO SING'!$A$8:$A$25,0),7)</f>
        <v>9.2592592592592587E-2</v>
      </c>
      <c r="E37" s="168" t="s">
        <v>128</v>
      </c>
      <c r="F37" s="174">
        <f>INDEX('ROTT TO SING'!$J$8:$S$25,MATCH(MAIN!E37,'ROTT TO SING'!$J$8:$J$25,0),5)</f>
        <v>0.16666666666666666</v>
      </c>
      <c r="G37" s="177">
        <f>INDEX('ROTT TO SING'!$J$8:$S$25,MATCH(MAIN!E37,'ROTT TO SING'!$J$8:$J$25,0),7)</f>
        <v>0.16666666666666666</v>
      </c>
      <c r="H37" s="175">
        <f>INDEX('ROTT TO SING'!$J$8:$S$25,MATCH(MAIN!E37,'ROTT TO SING'!$J$8:$J$25,0),9)</f>
        <v>0.16666666666666666</v>
      </c>
      <c r="I37" s="178" t="s">
        <v>128</v>
      </c>
      <c r="J37" s="177">
        <f>INDEX('ROTT TO SING'!$U$8:$AD$25,MATCH(MAIN!I37,'ROTT TO AG'!$L$6:$L$23,0),5)</f>
        <v>0.25510204081632654</v>
      </c>
      <c r="K37" s="177">
        <f>INDEX('ROTT TO SING'!$U$8:$AD$25,MATCH(MAIN!I37,'ROTT TO AG'!$L$6:$L$23,0),7)</f>
        <v>0.25510204081632654</v>
      </c>
      <c r="L37" s="175">
        <f>INDEX('ROTT TO SING'!$U$8:$AD$25,MATCH(MAIN!I37,'ROTT TO AG'!$L$6:$L$23,0),9)</f>
        <v>0.25510204081632654</v>
      </c>
      <c r="M37" s="154"/>
    </row>
    <row r="38" spans="1:13" hidden="1" outlineLevel="1" x14ac:dyDescent="0.25">
      <c r="A38" s="154"/>
      <c r="B38" s="168" t="s">
        <v>83</v>
      </c>
      <c r="C38" s="174">
        <f ca="1">INDEX('ROTT TO SING'!$A$8:$H$25,MATCH(MAIN!B38,'ROTT TO SING'!$A$8:$A$25,0),5)</f>
        <v>3.4650000000000003</v>
      </c>
      <c r="D38" s="177">
        <f ca="1">INDEX('ROTT TO SING'!$A$8:$H$25,MATCH(MAIN!B38,'ROTT TO SING'!$A$8:$A$25,0),7)</f>
        <v>3.4650000000000003</v>
      </c>
      <c r="E38" s="168" t="s">
        <v>83</v>
      </c>
      <c r="F38" s="174">
        <f ca="1">INDEX('ROTT TO SING'!$J$8:$S$25,MATCH(MAIN!E38,'ROTT TO SING'!$J$8:$J$25,0),5)</f>
        <v>3.4650000000000003</v>
      </c>
      <c r="G38" s="177">
        <f ca="1">INDEX('ROTT TO SING'!$J$8:$S$25,MATCH(MAIN!E38,'ROTT TO SING'!$J$8:$J$25,0),7)</f>
        <v>3.4650000000000003</v>
      </c>
      <c r="H38" s="175">
        <f ca="1">INDEX('ROTT TO SING'!$J$8:$S$25,MATCH(MAIN!E38,'ROTT TO SING'!$J$8:$J$25,0),9)</f>
        <v>3.4310958904109592</v>
      </c>
      <c r="I38" s="178" t="s">
        <v>83</v>
      </c>
      <c r="J38" s="177">
        <f ca="1">INDEX('ROTT TO SING'!$U$8:$AD$25,MATCH(MAIN!I38,'ROTT TO AG'!$L$6:$L$23,0),5)</f>
        <v>3.4650000000000003</v>
      </c>
      <c r="K38" s="177">
        <f ca="1">INDEX('ROTT TO SING'!$U$8:$AD$25,MATCH(MAIN!I38,'ROTT TO AG'!$L$6:$L$23,0),7)</f>
        <v>3.4650000000000003</v>
      </c>
      <c r="L38" s="175">
        <f ca="1">INDEX('ROTT TO SING'!$U$8:$AD$25,MATCH(MAIN!I38,'ROTT TO AG'!$L$6:$L$23,0),9)</f>
        <v>3.4310958904109592</v>
      </c>
      <c r="M38" s="154"/>
    </row>
    <row r="39" spans="1:13" hidden="1" outlineLevel="1" x14ac:dyDescent="0.25">
      <c r="A39" s="154"/>
      <c r="B39" s="168" t="s">
        <v>59</v>
      </c>
      <c r="C39" s="174">
        <f>INDEX('ROTT TO SING'!$A$8:$H$25,MATCH(MAIN!B39,'ROTT TO SING'!$A$8:$A$25,0),5)</f>
        <v>0</v>
      </c>
      <c r="D39" s="177">
        <f>INDEX('ROTT TO SING'!$A$8:$H$25,MATCH(MAIN!B39,'ROTT TO SING'!$A$8:$A$25,0),7)</f>
        <v>0</v>
      </c>
      <c r="E39" s="168" t="s">
        <v>59</v>
      </c>
      <c r="F39" s="174">
        <f>INDEX('ROTT TO SING'!$J$8:$S$25,MATCH(MAIN!E39,'ROTT TO SING'!$J$8:$J$25,0),5)</f>
        <v>0</v>
      </c>
      <c r="G39" s="177">
        <f>INDEX('ROTT TO SING'!$J$8:$S$25,MATCH(MAIN!E39,'ROTT TO SING'!$J$8:$J$25,0),7)</f>
        <v>0</v>
      </c>
      <c r="H39" s="175">
        <f>INDEX('ROTT TO SING'!$J$8:$S$25,MATCH(MAIN!E39,'ROTT TO SING'!$J$8:$J$25,0),9)</f>
        <v>0</v>
      </c>
      <c r="I39" s="178" t="s">
        <v>59</v>
      </c>
      <c r="J39" s="177">
        <f>INDEX('ROTT TO SING'!$U$8:$AD$25,MATCH(MAIN!I39,'ROTT TO AG'!$L$6:$L$23,0),5)</f>
        <v>0</v>
      </c>
      <c r="K39" s="177">
        <f>INDEX('ROTT TO SING'!$U$8:$AD$25,MATCH(MAIN!I39,'ROTT TO AG'!$L$6:$L$23,0),7)</f>
        <v>0</v>
      </c>
      <c r="L39" s="175">
        <f>INDEX('ROTT TO SING'!$U$8:$AD$25,MATCH(MAIN!I39,'ROTT TO AG'!$L$6:$L$23,0),9)</f>
        <v>0</v>
      </c>
      <c r="M39" s="154"/>
    </row>
    <row r="40" spans="1:13" hidden="1" outlineLevel="1" x14ac:dyDescent="0.25">
      <c r="A40" s="154"/>
      <c r="B40" s="168" t="s">
        <v>60</v>
      </c>
      <c r="C40" s="174">
        <f ca="1">INDEX('ROTT TO SING'!$A$8:$H$25,MATCH(MAIN!B40,'ROTT TO SING'!$A$8:$A$25,0),5)</f>
        <v>0.28743750000000001</v>
      </c>
      <c r="D40" s="177">
        <f ca="1">INDEX('ROTT TO SING'!$A$8:$H$25,MATCH(MAIN!B40,'ROTT TO SING'!$A$8:$A$25,0),7)</f>
        <v>0.28743750000000001</v>
      </c>
      <c r="E40" s="168" t="s">
        <v>60</v>
      </c>
      <c r="F40" s="174">
        <f ca="1">INDEX('ROTT TO SING'!$J$8:$S$25,MATCH(MAIN!E40,'ROTT TO SING'!$J$8:$J$25,0),5)</f>
        <v>0.28743750000000001</v>
      </c>
      <c r="G40" s="177">
        <f ca="1">INDEX('ROTT TO SING'!$J$8:$S$25,MATCH(MAIN!E40,'ROTT TO SING'!$J$8:$J$25,0),7)</f>
        <v>0.28743750000000001</v>
      </c>
      <c r="H40" s="175">
        <f ca="1">INDEX('ROTT TO SING'!$J$8:$S$25,MATCH(MAIN!E40,'ROTT TO SING'!$J$8:$J$25,0),9)</f>
        <v>0.28462500000000002</v>
      </c>
      <c r="I40" s="178" t="s">
        <v>60</v>
      </c>
      <c r="J40" s="177">
        <f ca="1">INDEX('ROTT TO SING'!$U$8:$AD$25,MATCH(MAIN!I40,'ROTT TO AG'!$L$6:$L$23,0),5)</f>
        <v>0.28743750000000001</v>
      </c>
      <c r="K40" s="177">
        <f ca="1">INDEX('ROTT TO SING'!$U$8:$AD$25,MATCH(MAIN!I40,'ROTT TO AG'!$L$6:$L$23,0),7)</f>
        <v>0.28743750000000001</v>
      </c>
      <c r="L40" s="175">
        <f ca="1">INDEX('ROTT TO SING'!$U$8:$AD$25,MATCH(MAIN!I40,'ROTT TO AG'!$L$6:$L$23,0),9)</f>
        <v>0.28462500000000002</v>
      </c>
      <c r="M40" s="154"/>
    </row>
    <row r="41" spans="1:13" hidden="1" outlineLevel="1" x14ac:dyDescent="0.25">
      <c r="A41" s="154"/>
      <c r="B41" s="168" t="s">
        <v>61</v>
      </c>
      <c r="C41" s="174">
        <f ca="1">INDEX('ROTT TO SING'!$A$8:$H$25,MATCH(MAIN!B41,'ROTT TO SING'!$A$8:$A$25,0),5)</f>
        <v>1.1797500000000001</v>
      </c>
      <c r="D41" s="177">
        <f ca="1">INDEX('ROTT TO SING'!$A$8:$H$25,MATCH(MAIN!B41,'ROTT TO SING'!$A$8:$A$25,0),7)</f>
        <v>1.1692500000000001</v>
      </c>
      <c r="E41" s="168" t="s">
        <v>61</v>
      </c>
      <c r="F41" s="174">
        <f ca="1">INDEX('ROTT TO SING'!$J$8:$S$25,MATCH(MAIN!E41,'ROTT TO SING'!$J$8:$J$25,0),5)</f>
        <v>1.1812500000000001</v>
      </c>
      <c r="G41" s="177">
        <f ca="1">INDEX('ROTT TO SING'!$J$8:$S$25,MATCH(MAIN!E41,'ROTT TO SING'!$J$8:$J$25,0),7)</f>
        <v>1.1797500000000001</v>
      </c>
      <c r="H41" s="175">
        <f ca="1">INDEX('ROTT TO SING'!$J$8:$S$25,MATCH(MAIN!E41,'ROTT TO SING'!$J$8:$J$25,0),9)</f>
        <v>1.1797500000000001</v>
      </c>
      <c r="I41" s="178" t="s">
        <v>61</v>
      </c>
      <c r="J41" s="177">
        <f ca="1">INDEX('ROTT TO SING'!$U$8:$AD$25,MATCH(MAIN!I41,'ROTT TO AG'!$L$6:$L$23,0),5)</f>
        <v>1.1812500000000001</v>
      </c>
      <c r="K41" s="177">
        <f ca="1">INDEX('ROTT TO SING'!$U$8:$AD$25,MATCH(MAIN!I41,'ROTT TO AG'!$L$6:$L$23,0),7)</f>
        <v>1.1797500000000001</v>
      </c>
      <c r="L41" s="175">
        <f ca="1">INDEX('ROTT TO SING'!$U$8:$AD$25,MATCH(MAIN!I41,'ROTT TO AG'!$L$6:$L$23,0),9)</f>
        <v>1.1797500000000001</v>
      </c>
      <c r="M41" s="154"/>
    </row>
    <row r="42" spans="1:13" hidden="1" outlineLevel="1" x14ac:dyDescent="0.25">
      <c r="A42" s="154"/>
      <c r="B42" s="168" t="s">
        <v>62</v>
      </c>
      <c r="C42" s="174">
        <f>INDEX('ROTT TO SING'!$A$8:$H$25,MATCH(MAIN!B42,'ROTT TO SING'!$A$8:$A$25,0),5)</f>
        <v>4.6296296296296294E-2</v>
      </c>
      <c r="D42" s="177">
        <f>INDEX('ROTT TO SING'!$A$8:$H$25,MATCH(MAIN!B42,'ROTT TO SING'!$A$8:$A$25,0),7)</f>
        <v>4.6296296296296294E-2</v>
      </c>
      <c r="E42" s="168" t="s">
        <v>62</v>
      </c>
      <c r="F42" s="174">
        <f>INDEX('ROTT TO SING'!$J$8:$S$25,MATCH(MAIN!E42,'ROTT TO SING'!$J$8:$J$25,0),5)</f>
        <v>8.3333333333333329E-2</v>
      </c>
      <c r="G42" s="177">
        <f>INDEX('ROTT TO SING'!$J$8:$S$25,MATCH(MAIN!E42,'ROTT TO SING'!$J$8:$J$25,0),7)</f>
        <v>8.3333333333333329E-2</v>
      </c>
      <c r="H42" s="175">
        <f>INDEX('ROTT TO SING'!$J$8:$S$25,MATCH(MAIN!E42,'ROTT TO SING'!$J$8:$J$25,0),9)</f>
        <v>8.3333333333333329E-2</v>
      </c>
      <c r="I42" s="178" t="s">
        <v>62</v>
      </c>
      <c r="J42" s="177">
        <f>INDEX('ROTT TO SING'!$U$8:$AD$25,MATCH(MAIN!I42,'ROTT TO AG'!$L$6:$L$23,0),5)</f>
        <v>0.12755102040816327</v>
      </c>
      <c r="K42" s="177">
        <f>INDEX('ROTT TO SING'!$U$8:$AD$25,MATCH(MAIN!I42,'ROTT TO AG'!$L$6:$L$23,0),7)</f>
        <v>0.12755102040816327</v>
      </c>
      <c r="L42" s="175">
        <f>INDEX('ROTT TO SING'!$U$8:$AD$25,MATCH(MAIN!I42,'ROTT TO AG'!$L$6:$L$23,0),9)</f>
        <v>0.12755102040816327</v>
      </c>
      <c r="M42" s="154"/>
    </row>
    <row r="43" spans="1:13" hidden="1" outlineLevel="1" x14ac:dyDescent="0.25">
      <c r="A43" s="154"/>
      <c r="B43" s="168" t="s">
        <v>63</v>
      </c>
      <c r="C43" s="174">
        <f>INDEX('ROTT TO SING'!$A$8:$H$25,MATCH(MAIN!B43,'ROTT TO SING'!$A$8:$A$25,0),5)</f>
        <v>4.6296296296296294E-3</v>
      </c>
      <c r="D43" s="177">
        <f>INDEX('ROTT TO SING'!$A$8:$H$25,MATCH(MAIN!B43,'ROTT TO SING'!$A$8:$A$25,0),7)</f>
        <v>4.6296296296296294E-3</v>
      </c>
      <c r="E43" s="168" t="s">
        <v>63</v>
      </c>
      <c r="F43" s="174">
        <f>INDEX('ROTT TO SING'!$J$8:$S$25,MATCH(MAIN!E43,'ROTT TO SING'!$J$8:$J$25,0),5)</f>
        <v>8.3333333333333332E-3</v>
      </c>
      <c r="G43" s="177">
        <f>INDEX('ROTT TO SING'!$J$8:$S$25,MATCH(MAIN!E43,'ROTT TO SING'!$J$8:$J$25,0),7)</f>
        <v>8.3333333333333332E-3</v>
      </c>
      <c r="H43" s="175">
        <f>INDEX('ROTT TO SING'!$J$8:$S$25,MATCH(MAIN!E43,'ROTT TO SING'!$J$8:$J$25,0),9)</f>
        <v>8.3333333333333332E-3</v>
      </c>
      <c r="I43" s="178" t="s">
        <v>63</v>
      </c>
      <c r="J43" s="177">
        <f>INDEX('ROTT TO SING'!$U$8:$AD$25,MATCH(MAIN!I43,'ROTT TO AG'!$L$6:$L$23,0),5)</f>
        <v>1.2755102040816327E-2</v>
      </c>
      <c r="K43" s="177">
        <f>INDEX('ROTT TO SING'!$U$8:$AD$25,MATCH(MAIN!I43,'ROTT TO AG'!$L$6:$L$23,0),7)</f>
        <v>1.2755102040816327E-2</v>
      </c>
      <c r="L43" s="175">
        <f>INDEX('ROTT TO SING'!$U$8:$AD$25,MATCH(MAIN!I43,'ROTT TO AG'!$L$6:$L$23,0),9)</f>
        <v>1.2755102040816327E-2</v>
      </c>
      <c r="M43" s="154"/>
    </row>
    <row r="44" spans="1:13" hidden="1" outlineLevel="1" x14ac:dyDescent="0.25">
      <c r="A44" s="154"/>
      <c r="B44" s="168" t="s">
        <v>64</v>
      </c>
      <c r="C44" s="174">
        <f>INDEX('ROTT TO SING'!$A$8:$H$25,MATCH(MAIN!B44,'ROTT TO SING'!$A$8:$A$25,0),5)</f>
        <v>4.6296296296296294E-3</v>
      </c>
      <c r="D44" s="177">
        <f>INDEX('ROTT TO SING'!$A$8:$H$25,MATCH(MAIN!B44,'ROTT TO SING'!$A$8:$A$25,0),7)</f>
        <v>4.6296296296296294E-3</v>
      </c>
      <c r="E44" s="168" t="s">
        <v>64</v>
      </c>
      <c r="F44" s="174">
        <f>INDEX('ROTT TO SING'!$J$8:$S$25,MATCH(MAIN!E44,'ROTT TO SING'!$J$8:$J$25,0),5)</f>
        <v>8.3333333333333332E-3</v>
      </c>
      <c r="G44" s="177">
        <f>INDEX('ROTT TO SING'!$J$8:$S$25,MATCH(MAIN!E44,'ROTT TO SING'!$J$8:$J$25,0),7)</f>
        <v>8.3333333333333332E-3</v>
      </c>
      <c r="H44" s="175">
        <f>INDEX('ROTT TO SING'!$J$8:$S$25,MATCH(MAIN!E44,'ROTT TO SING'!$J$8:$J$25,0),9)</f>
        <v>8.3333333333333332E-3</v>
      </c>
      <c r="I44" s="178" t="s">
        <v>64</v>
      </c>
      <c r="J44" s="177">
        <f>INDEX('ROTT TO SING'!$U$8:$AD$25,MATCH(MAIN!I44,'ROTT TO AG'!$L$6:$L$23,0),5)</f>
        <v>1.2755102040816327E-2</v>
      </c>
      <c r="K44" s="177">
        <f>INDEX('ROTT TO SING'!$U$8:$AD$25,MATCH(MAIN!I44,'ROTT TO AG'!$L$6:$L$23,0),7)</f>
        <v>1.2755102040816327E-2</v>
      </c>
      <c r="L44" s="175">
        <f>INDEX('ROTT TO SING'!$U$8:$AD$25,MATCH(MAIN!I44,'ROTT TO AG'!$L$6:$L$23,0),9)</f>
        <v>1.2755102040816327E-2</v>
      </c>
      <c r="M44" s="154"/>
    </row>
    <row r="45" spans="1:13" hidden="1" outlineLevel="1" x14ac:dyDescent="0.25">
      <c r="A45" s="154"/>
      <c r="B45" s="168" t="s">
        <v>65</v>
      </c>
      <c r="C45" s="174">
        <f>INDEX('ROTT TO SING'!$A$8:$H$25,MATCH(MAIN!B45,'ROTT TO SING'!$A$8:$A$25,0),5)</f>
        <v>7.407407407407407E-2</v>
      </c>
      <c r="D45" s="177">
        <f>INDEX('ROTT TO SING'!$A$8:$H$25,MATCH(MAIN!B45,'ROTT TO SING'!$A$8:$A$25,0),7)</f>
        <v>7.407407407407407E-2</v>
      </c>
      <c r="E45" s="168" t="s">
        <v>65</v>
      </c>
      <c r="F45" s="174">
        <f>INDEX('ROTT TO SING'!$J$8:$S$25,MATCH(MAIN!E45,'ROTT TO SING'!$J$8:$J$25,0),5)</f>
        <v>0.1</v>
      </c>
      <c r="G45" s="177">
        <f>INDEX('ROTT TO SING'!$J$8:$S$25,MATCH(MAIN!E45,'ROTT TO SING'!$J$8:$J$25,0),7)</f>
        <v>0.1</v>
      </c>
      <c r="H45" s="175">
        <f>INDEX('ROTT TO SING'!$J$8:$S$25,MATCH(MAIN!E45,'ROTT TO SING'!$J$8:$J$25,0),9)</f>
        <v>0.1</v>
      </c>
      <c r="I45" s="178" t="s">
        <v>65</v>
      </c>
      <c r="J45" s="177">
        <f>INDEX('ROTT TO SING'!$U$8:$AD$25,MATCH(MAIN!I45,'ROTT TO AG'!$L$6:$L$23,0),5)</f>
        <v>0.15306122448979592</v>
      </c>
      <c r="K45" s="177">
        <f>INDEX('ROTT TO SING'!$U$8:$AD$25,MATCH(MAIN!I45,'ROTT TO AG'!$L$6:$L$23,0),7)</f>
        <v>0.15306122448979592</v>
      </c>
      <c r="L45" s="175">
        <f>INDEX('ROTT TO SING'!$U$8:$AD$25,MATCH(MAIN!I45,'ROTT TO AG'!$L$6:$L$23,0),9)</f>
        <v>0.15306122448979592</v>
      </c>
      <c r="M45" s="154"/>
    </row>
    <row r="46" spans="1:13" hidden="1" outlineLevel="1" x14ac:dyDescent="0.25">
      <c r="A46" s="154"/>
      <c r="B46" s="168" t="s">
        <v>66</v>
      </c>
      <c r="C46" s="174">
        <f>INDEX('ROTT TO SING'!$A$8:$H$25,MATCH(MAIN!B46,'ROTT TO SING'!$A$8:$A$25,0),5)</f>
        <v>3.7037037037037035E-2</v>
      </c>
      <c r="D46" s="177">
        <f>INDEX('ROTT TO SING'!$A$8:$H$25,MATCH(MAIN!B46,'ROTT TO SING'!$A$8:$A$25,0),7)</f>
        <v>3.7037037037037035E-2</v>
      </c>
      <c r="E46" s="168" t="s">
        <v>66</v>
      </c>
      <c r="F46" s="174">
        <f>INDEX('ROTT TO SING'!$J$8:$S$25,MATCH(MAIN!E46,'ROTT TO SING'!$J$8:$J$25,0),5)</f>
        <v>6.6666666666666666E-2</v>
      </c>
      <c r="G46" s="177">
        <f>INDEX('ROTT TO SING'!$J$8:$S$25,MATCH(MAIN!E46,'ROTT TO SING'!$J$8:$J$25,0),7)</f>
        <v>6.6666666666666666E-2</v>
      </c>
      <c r="H46" s="175">
        <f>INDEX('ROTT TO SING'!$J$8:$S$25,MATCH(MAIN!E46,'ROTT TO SING'!$J$8:$J$25,0),9)</f>
        <v>6.6666666666666666E-2</v>
      </c>
      <c r="I46" s="178" t="s">
        <v>66</v>
      </c>
      <c r="J46" s="177">
        <f>INDEX('ROTT TO SING'!$U$8:$AD$25,MATCH(MAIN!I46,'ROTT TO AG'!$L$6:$L$23,0),5)</f>
        <v>0.10204081632653061</v>
      </c>
      <c r="K46" s="177">
        <f>INDEX('ROTT TO SING'!$U$8:$AD$25,MATCH(MAIN!I46,'ROTT TO AG'!$L$6:$L$23,0),7)</f>
        <v>0.10204081632653061</v>
      </c>
      <c r="L46" s="175">
        <f>INDEX('ROTT TO SING'!$U$8:$AD$25,MATCH(MAIN!I46,'ROTT TO AG'!$L$6:$L$23,0),9)</f>
        <v>0.10204081632653061</v>
      </c>
      <c r="M46" s="154"/>
    </row>
    <row r="47" spans="1:13" hidden="1" outlineLevel="1" x14ac:dyDescent="0.25">
      <c r="A47" s="154"/>
      <c r="B47" s="168" t="s">
        <v>102</v>
      </c>
      <c r="C47" s="174">
        <f ca="1">INDEX('ROTT TO SING'!$A$8:$H$25,MATCH(MAIN!B47,'ROTT TO SING'!$A$8:$A$25,0),5)</f>
        <v>28.093298611111109</v>
      </c>
      <c r="D47" s="177">
        <f ca="1">INDEX('ROTT TO SING'!$A$8:$H$25,MATCH(MAIN!B47,'ROTT TO SING'!$A$8:$A$25,0),7)</f>
        <v>28.082798611111112</v>
      </c>
      <c r="E47" s="168" t="s">
        <v>102</v>
      </c>
      <c r="F47" s="174">
        <f ca="1">INDEX('ROTT TO SING'!$J$8:$S$25,MATCH(MAIN!E47,'ROTT TO SING'!$J$8:$J$25,0),5)</f>
        <v>42.273687500000001</v>
      </c>
      <c r="G47" s="177">
        <f ca="1">INDEX('ROTT TO SING'!$J$8:$S$25,MATCH(MAIN!E47,'ROTT TO SING'!$J$8:$J$25,0),7)</f>
        <v>42.272187500000001</v>
      </c>
      <c r="H47" s="175">
        <f ca="1">INDEX('ROTT TO SING'!$J$8:$S$25,MATCH(MAIN!E47,'ROTT TO SING'!$J$8:$J$25,0),9)</f>
        <v>42.235470890410951</v>
      </c>
      <c r="I47" s="178" t="s">
        <v>102</v>
      </c>
      <c r="J47" s="177">
        <f ca="1">INDEX('ROTT TO SING'!$U$8:$AD$25,MATCH(MAIN!I47,'ROTT TO AG'!$L$6:$L$23,0),5)</f>
        <v>55.045932397959177</v>
      </c>
      <c r="K47" s="177">
        <f ca="1">INDEX('ROTT TO SING'!$U$8:$AD$25,MATCH(MAIN!I47,'ROTT TO AG'!$L$6:$L$23,0),7)</f>
        <v>55.044432397959177</v>
      </c>
      <c r="L47" s="175">
        <f ca="1">INDEX('ROTT TO SING'!$U$8:$AD$25,MATCH(MAIN!I47,'ROTT TO AG'!$L$6:$L$23,0),9)</f>
        <v>55.007715788370128</v>
      </c>
      <c r="M47" s="154"/>
    </row>
    <row r="48" spans="1:13" hidden="1" outlineLevel="1" x14ac:dyDescent="0.25">
      <c r="A48" s="154"/>
      <c r="B48" s="168" t="s">
        <v>103</v>
      </c>
      <c r="C48" s="174">
        <f ca="1">INDEX('ROTT TO SING'!$A$8:$H$25,MATCH(MAIN!B48,'ROTT TO SING'!$A$8:$A$25,0),5)</f>
        <v>10.136363636363637</v>
      </c>
      <c r="D48" s="177">
        <f ca="1">INDEX('ROTT TO SING'!$A$8:$H$25,MATCH(MAIN!B48,'ROTT TO SING'!$A$8:$A$25,0),7)</f>
        <v>10.401515151515152</v>
      </c>
      <c r="E48" s="168" t="s">
        <v>103</v>
      </c>
      <c r="F48" s="174">
        <f ca="1">INDEX('ROTT TO SING'!$J$8:$S$25,MATCH(MAIN!E48,'ROTT TO SING'!$J$8:$J$25,0),5)</f>
        <v>10</v>
      </c>
      <c r="G48" s="177">
        <f ca="1">INDEX('ROTT TO SING'!$J$8:$S$25,MATCH(MAIN!E48,'ROTT TO SING'!$J$8:$J$25,0),7)</f>
        <v>10.125</v>
      </c>
      <c r="H48" s="175">
        <f ca="1">INDEX('ROTT TO SING'!$J$8:$S$25,MATCH(MAIN!E48,'ROTT TO SING'!$J$8:$J$25,0),9)</f>
        <v>10.25</v>
      </c>
      <c r="I48" s="178" t="s">
        <v>103</v>
      </c>
      <c r="J48" s="177">
        <f ca="1">INDEX('ROTT TO SING'!$U$8:$AD$25,MATCH(MAIN!I48,'ROTT TO AG'!$L$6:$L$23,0),5)</f>
        <v>10</v>
      </c>
      <c r="K48" s="177">
        <f ca="1">INDEX('ROTT TO SING'!$U$8:$AD$25,MATCH(MAIN!I48,'ROTT TO AG'!$L$6:$L$23,0),7)</f>
        <v>10.125</v>
      </c>
      <c r="L48" s="175">
        <f ca="1">INDEX('ROTT TO SING'!$U$8:$AD$25,MATCH(MAIN!I48,'ROTT TO AG'!$L$6:$L$23,0),9)</f>
        <v>10.25</v>
      </c>
      <c r="M48" s="154"/>
    </row>
    <row r="49" spans="1:13" hidden="1" outlineLevel="1" x14ac:dyDescent="0.25">
      <c r="A49" s="154"/>
      <c r="B49" s="168" t="s">
        <v>115</v>
      </c>
      <c r="C49" s="174">
        <f ca="1">INDEX('ROTT TO SING'!$A$8:$H$25,MATCH(MAIN!B49,'ROTT TO SING'!$A$8:$A$25,0),5)</f>
        <v>-17.956934974747472</v>
      </c>
      <c r="D49" s="177">
        <f ca="1">INDEX('ROTT TO SING'!$A$8:$H$25,MATCH(MAIN!B49,'ROTT TO SING'!$A$8:$A$25,0),7)</f>
        <v>-17.68128345959596</v>
      </c>
      <c r="E49" s="168" t="s">
        <v>115</v>
      </c>
      <c r="F49" s="174">
        <f ca="1">INDEX('ROTT TO SING'!$J$8:$S$25,MATCH(MAIN!E49,'ROTT TO SING'!$J$8:$J$25,0),5)</f>
        <v>-32.273687500000001</v>
      </c>
      <c r="G49" s="177">
        <f ca="1">INDEX('ROTT TO SING'!$J$8:$S$25,MATCH(MAIN!E49,'ROTT TO SING'!$J$8:$J$25,0),7)</f>
        <v>-32.147187500000001</v>
      </c>
      <c r="H49" s="175">
        <f ca="1">INDEX('ROTT TO SING'!$J$8:$S$25,MATCH(MAIN!E49,'ROTT TO SING'!$J$8:$J$25,0),9)</f>
        <v>-31.985470890410951</v>
      </c>
      <c r="I49" s="178" t="s">
        <v>115</v>
      </c>
      <c r="J49" s="177">
        <f ca="1">INDEX('ROTT TO SING'!$U$8:$AD$25,MATCH(MAIN!I49,'ROTT TO AG'!$L$6:$L$23,0),5)</f>
        <v>-45.045932397959177</v>
      </c>
      <c r="K49" s="177">
        <f ca="1">INDEX('ROTT TO SING'!$U$8:$AD$25,MATCH(MAIN!I49,'ROTT TO AG'!$L$6:$L$23,0),7)</f>
        <v>-44.919432397959177</v>
      </c>
      <c r="L49" s="175">
        <f ca="1">INDEX('ROTT TO SING'!$U$8:$AD$25,MATCH(MAIN!I49,'ROTT TO AG'!$L$6:$L$23,0),9)</f>
        <v>-44.757715788370128</v>
      </c>
      <c r="M49" s="154"/>
    </row>
    <row r="50" spans="1:13" ht="15.75" hidden="1" outlineLevel="1" thickBot="1" x14ac:dyDescent="0.3">
      <c r="A50" s="154"/>
      <c r="B50" s="168" t="s">
        <v>129</v>
      </c>
      <c r="C50" s="216">
        <f ca="1">C28</f>
        <v>45910</v>
      </c>
      <c r="D50" s="217">
        <f ca="1">D28</f>
        <v>45924</v>
      </c>
      <c r="E50" s="237" t="s">
        <v>129</v>
      </c>
      <c r="F50" s="216">
        <f ca="1">F28</f>
        <v>45903</v>
      </c>
      <c r="G50" s="217">
        <f ca="1">G28</f>
        <v>45917</v>
      </c>
      <c r="H50" s="218">
        <f ca="1">H28</f>
        <v>45931</v>
      </c>
      <c r="I50" s="219" t="s">
        <v>129</v>
      </c>
      <c r="J50" s="217">
        <f ca="1">J28</f>
        <v>45903</v>
      </c>
      <c r="K50" s="217">
        <f ca="1">K28</f>
        <v>45944</v>
      </c>
      <c r="L50" s="218">
        <f ca="1">L28</f>
        <v>45958</v>
      </c>
      <c r="M50" s="154"/>
    </row>
    <row r="51" spans="1:13" ht="15.75" hidden="1" collapsed="1" thickBot="1" x14ac:dyDescent="0.3">
      <c r="A51" s="154"/>
      <c r="B51" s="171"/>
      <c r="C51" s="155"/>
      <c r="D51" s="155"/>
      <c r="E51" s="154"/>
      <c r="F51" s="155"/>
      <c r="G51" s="155"/>
      <c r="H51" s="155"/>
      <c r="I51" s="154"/>
      <c r="J51" s="155"/>
      <c r="K51" s="155"/>
      <c r="L51" s="155"/>
      <c r="M51" s="154"/>
    </row>
    <row r="52" spans="1:13" ht="15.75" hidden="1" thickBot="1" x14ac:dyDescent="0.3">
      <c r="A52" s="154"/>
      <c r="B52" s="170" t="s">
        <v>137</v>
      </c>
      <c r="C52" s="210" t="str">
        <f ca="1">IF(DAY(C$6)&lt;15,"1H-"&amp;VLOOKUP(MONTH(C$6),Mapping!$A$1:$B$12,2,0),"2H-"&amp;VLOOKUP(MONTH(C$6),Mapping!$A$1:$B$12,2,0))</f>
        <v>2H-OCT</v>
      </c>
      <c r="D52" s="184" t="str">
        <f ca="1">IF(DAY(D$6)&lt;15,"1H-"&amp;VLOOKUP(MONTH(D$6),Mapping!$A$1:$B$12,2,0),"2H-"&amp;VLOOKUP(MONTH(D$6),Mapping!$A$1:$B$12,2,0))</f>
        <v>1H-NOV</v>
      </c>
      <c r="E52" s="9"/>
      <c r="F52" s="210" t="str">
        <f ca="1">IF(DAY(F$6)&lt;15,"1H-"&amp;VLOOKUP(MONTH(F$6),Mapping!$A$1:$B$12,2,0),"2H-"&amp;VLOOKUP(MONTH(F$6),Mapping!$A$1:$B$12,2,0))</f>
        <v>2H-SEP</v>
      </c>
      <c r="G52" s="185" t="str">
        <f ca="1">IF(DAY(G$6)&lt;15,"1H-"&amp;VLOOKUP(MONTH(G$6),Mapping!$A$1:$B$12,2,0),"2H-"&amp;VLOOKUP(MONTH(G$6),Mapping!$A$1:$B$12,2,0))</f>
        <v>1H-OCT</v>
      </c>
      <c r="H52" s="211" t="str">
        <f ca="1">IF(DAY(H$6)&lt;15,"1H-"&amp;VLOOKUP(MONTH(H$6),Mapping!$A$1:$B$12,2,0),"2H-"&amp;VLOOKUP(MONTH(H$6),Mapping!$A$1:$B$12,2,0))</f>
        <v>2H-OCT</v>
      </c>
      <c r="I52" s="9"/>
      <c r="J52" s="210" t="str">
        <f ca="1">IF(DAY(J$6)&lt;15,"1H-"&amp;VLOOKUP(MONTH(J$6),Mapping!$A$1:$B$12,2,0),"2H-"&amp;VLOOKUP(MONTH(J$6),Mapping!$A$1:$B$12,2,0))</f>
        <v>2H-SEP</v>
      </c>
      <c r="K52" s="185" t="str">
        <f ca="1">IF(DAY(K$6)&lt;15,"1H-"&amp;VLOOKUP(MONTH(K$6),Mapping!$A$1:$B$12,2,0),"2H-"&amp;VLOOKUP(MONTH(K$6),Mapping!$A$1:$B$12,2,0))</f>
        <v>1H-OCT</v>
      </c>
      <c r="L52" s="211" t="str">
        <f ca="1">IF(DAY(L$6)&lt;15,"1H-"&amp;VLOOKUP(MONTH(L$6),Mapping!$A$1:$B$12,2,0),"2H-"&amp;VLOOKUP(MONTH(L$6),Mapping!$A$1:$B$12,2,0))</f>
        <v>2H-OCT</v>
      </c>
      <c r="M52" s="154"/>
    </row>
    <row r="53" spans="1:13" hidden="1" x14ac:dyDescent="0.25">
      <c r="C53" s="157">
        <f ca="1">C6</f>
        <v>45955</v>
      </c>
      <c r="D53" s="165">
        <f t="shared" ref="D53:L53" ca="1" si="0">D6</f>
        <v>45969</v>
      </c>
      <c r="E53" s="6">
        <f t="shared" si="0"/>
        <v>0</v>
      </c>
      <c r="F53" s="157">
        <f t="shared" ca="1" si="0"/>
        <v>45930</v>
      </c>
      <c r="G53" s="193">
        <f t="shared" ca="1" si="0"/>
        <v>45944</v>
      </c>
      <c r="H53" s="194">
        <f t="shared" ca="1" si="0"/>
        <v>45958</v>
      </c>
      <c r="I53" s="163">
        <f t="shared" si="0"/>
        <v>0</v>
      </c>
      <c r="J53" s="193">
        <f t="shared" ca="1" si="0"/>
        <v>45930</v>
      </c>
      <c r="K53" s="193">
        <f t="shared" ca="1" si="0"/>
        <v>45944</v>
      </c>
      <c r="L53" s="194">
        <f t="shared" ca="1" si="0"/>
        <v>45958</v>
      </c>
      <c r="M53" s="154"/>
    </row>
    <row r="54" spans="1:13" hidden="1" x14ac:dyDescent="0.25">
      <c r="A54" s="153" t="s">
        <v>43</v>
      </c>
      <c r="B54" s="170"/>
      <c r="C54" s="158">
        <f ca="1">C74+C55-C56</f>
        <v>-23.153943079783254</v>
      </c>
      <c r="D54" s="160">
        <f ca="1">D74+D55-D56</f>
        <v>-22.423746110086284</v>
      </c>
      <c r="E54" s="10"/>
      <c r="F54" s="158">
        <f ca="1">F74+F55-F56</f>
        <v>-38.288877423217599</v>
      </c>
      <c r="G54" s="159">
        <f ca="1">G74+G55-G56</f>
        <v>-37.412377423217592</v>
      </c>
      <c r="H54" s="160">
        <f ca="1">H74+H55-H56</f>
        <v>-36.493317491710741</v>
      </c>
      <c r="I54" s="164"/>
      <c r="J54" s="159">
        <f ca="1">J74+J55-J56</f>
        <v>-51.061122321176768</v>
      </c>
      <c r="K54" s="159">
        <f ca="1">K74+K55-K56</f>
        <v>-50.184622321176761</v>
      </c>
      <c r="L54" s="160">
        <f ca="1">L74+L55-L56</f>
        <v>-49.265562389669924</v>
      </c>
      <c r="M54" s="154"/>
    </row>
    <row r="55" spans="1:13" hidden="1" x14ac:dyDescent="0.25">
      <c r="A55" s="154"/>
      <c r="B55" s="166" t="s">
        <v>131</v>
      </c>
      <c r="C55" s="174">
        <f ca="1">INDEX(Premium!$A$2:$D$12,MATCH(MAIN!$A54,Premium!$A$2:$A$12,0),MATCH(EOMONTH(MAIN!C53,-1)+1,Premium!$A$2:$D$2,0))</f>
        <v>-59</v>
      </c>
      <c r="D55" s="175">
        <f ca="1">INDEX(Premium!$A$2:$D$12,MATCH(MAIN!$A54,Premium!$A$2:$A$12,0),MATCH(EOMONTH(MAIN!D53,-1)+1,Premium!$A$2:$D$2,0))</f>
        <v>-59</v>
      </c>
      <c r="E55" s="176" t="e">
        <f>INDEX(Premium!$A$2:$D$12,MATCH(MAIN!$A54,Premium!$A$2:$A$12,0),MATCH(EOMONTH(MAIN!E53,-1)+1,Premium!$A$2:$D$2,0))</f>
        <v>#NUM!</v>
      </c>
      <c r="F55" s="174">
        <f ca="1">INDEX(Premium!$A$2:$D$12,MATCH(MAIN!$A54,Premium!$A$2:$A$12,0),MATCH(EOMONTH(MAIN!F53,-1)+1,Premium!$A$2:$D$2,0))</f>
        <v>-59</v>
      </c>
      <c r="G55" s="177">
        <f ca="1">INDEX(Premium!$A$2:$D$12,MATCH(MAIN!$A54,Premium!$A$2:$A$12,0),MATCH(EOMONTH(MAIN!G53,-1)+1,Premium!$A$2:$D$2,0))</f>
        <v>-59</v>
      </c>
      <c r="H55" s="175">
        <f ca="1">INDEX(Premium!$A$2:$D$12,MATCH(MAIN!$A54,Premium!$A$2:$A$12,0),MATCH(EOMONTH(MAIN!H53,-1)+1,Premium!$A$2:$D$2,0))</f>
        <v>-59</v>
      </c>
      <c r="I55" s="178" t="e">
        <f>INDEX(Premium!$A$2:$D$12,MATCH(MAIN!$A54,Premium!$A$2:$A$12,0),MATCH(EOMONTH(MAIN!I53,-1)+1,Premium!$A$2:$D$2,0))</f>
        <v>#NUM!</v>
      </c>
      <c r="J55" s="177">
        <f ca="1">INDEX(Premium!$A$2:$D$12,MATCH(MAIN!$A54,Premium!$A$2:$A$12,0),MATCH(EOMONTH(MAIN!J53,-1)+1,Premium!$A$2:$D$2,0))</f>
        <v>-59</v>
      </c>
      <c r="K55" s="177">
        <f ca="1">INDEX(Premium!$A$2:$D$12,MATCH(MAIN!$A54,Premium!$A$2:$A$12,0),MATCH(EOMONTH(MAIN!K53,-1)+1,Premium!$A$2:$D$2,0))</f>
        <v>-59</v>
      </c>
      <c r="L55" s="175">
        <f ca="1">INDEX(Premium!$A$2:$D$12,MATCH(MAIN!$A54,Premium!$A$2:$A$12,0),MATCH(EOMONTH(MAIN!L53,-1)+1,Premium!$A$2:$D$2,0))</f>
        <v>-59</v>
      </c>
      <c r="M55" s="154"/>
    </row>
    <row r="56" spans="1:13" ht="15.75" hidden="1" thickBot="1" x14ac:dyDescent="0.3">
      <c r="A56" s="154"/>
      <c r="B56" s="256" t="s">
        <v>130</v>
      </c>
      <c r="C56" s="179">
        <f ca="1">INDEX(Premium!$A$21:$D$29,MATCH(MAIN!$A54,Premium!$A$21:$A$29,0),MATCH(EOMONTH(MAIN!C75,-1)+1,Premium!$A$21:$D$21,0))</f>
        <v>-35</v>
      </c>
      <c r="D56" s="180">
        <f ca="1">INDEX(Premium!$A$21:$D$29,MATCH(MAIN!$A54,Premium!$A$21:$A$29,0),MATCH(EOMONTH(MAIN!D75,-1)+1,Premium!$A$21:$D$21,0))</f>
        <v>-35</v>
      </c>
      <c r="E56" s="232" t="s">
        <v>130</v>
      </c>
      <c r="F56" s="179">
        <f ca="1">INDEX(Premium!$A$21:$D$29,MATCH(MAIN!$A54,Premium!$A$21:$A$29,0),MATCH(EOMONTH(MAIN!F75,-1)+1,Premium!$A$21:$D$21,0))</f>
        <v>-35</v>
      </c>
      <c r="G56" s="181">
        <f ca="1">INDEX(Premium!$A$21:$D$29,MATCH(MAIN!$A54,Premium!$A$21:$A$29,0),MATCH(EOMONTH(MAIN!G75,-1)+1,Premium!$A$21:$D$21,0))</f>
        <v>-35</v>
      </c>
      <c r="H56" s="180">
        <f ca="1">INDEX(Premium!$A$21:$D$29,MATCH(MAIN!$A54,Premium!$A$21:$A$29,0),MATCH(EOMONTH(MAIN!H75,-1)+1,Premium!$A$21:$D$21,0))</f>
        <v>-35</v>
      </c>
      <c r="I56" s="219" t="s">
        <v>130</v>
      </c>
      <c r="J56" s="181">
        <f ca="1">INDEX(Premium!$A$21:$D$29,MATCH(MAIN!$A54,Premium!$A$21:$A$29,0),MATCH(EOMONTH(MAIN!J75,-1)+1,Premium!$A$21:$D$21,0))</f>
        <v>-35</v>
      </c>
      <c r="K56" s="181">
        <f ca="1">INDEX(Premium!$A$21:$D$29,MATCH(MAIN!$A54,Premium!$A$21:$A$29,0),MATCH(EOMONTH(MAIN!K75,-1)+1,Premium!$A$21:$D$21,0))</f>
        <v>-35</v>
      </c>
      <c r="L56" s="180">
        <f ca="1">INDEX(Premium!$A$21:$D$29,MATCH(MAIN!$A54,Premium!$A$21:$A$29,0),MATCH(EOMONTH(MAIN!L75,-1)+1,Premium!$A$21:$D$21,0))</f>
        <v>-35</v>
      </c>
      <c r="M56" s="154"/>
    </row>
    <row r="57" spans="1:13" hidden="1" outlineLevel="1" x14ac:dyDescent="0.25">
      <c r="B57" s="166" t="s">
        <v>55</v>
      </c>
      <c r="C57" s="174">
        <f>INDEX('ROTT TO SING'!$A$8:$H$25,MATCH(MAIN!B57,'ROTT TO SING'!$A$8:$A$25,0),6)</f>
        <v>20.74074074074074</v>
      </c>
      <c r="D57" s="175">
        <f>INDEX('ROTT TO SING'!$A$8:$H$25,MATCH(MAIN!B57,'ROTT TO SING'!$A$8:$A$25,0),8)</f>
        <v>20.74074074074074</v>
      </c>
      <c r="E57" s="176" t="s">
        <v>55</v>
      </c>
      <c r="F57" s="174">
        <f>INDEX('ROTT TO SING'!$J$8:$S$25,MATCH(MAIN!E57,'ROTT TO SING'!$J$8:$J$25,0),6)</f>
        <v>34</v>
      </c>
      <c r="G57" s="177">
        <f>INDEX('ROTT TO SING'!$J$8:$S$25,MATCH(MAIN!E57,'ROTT TO SING'!$J$8:$J$25,0),8)</f>
        <v>34</v>
      </c>
      <c r="H57" s="175">
        <f>INDEX('ROTT TO SING'!$J$8:$S$25,MATCH(MAIN!E57,'ROTT TO SING'!$J$8:$J$25,0),10)</f>
        <v>34</v>
      </c>
      <c r="I57" s="178" t="s">
        <v>55</v>
      </c>
      <c r="J57" s="177">
        <f>INDEX('ROTT TO SING'!$U$8:$AD$25,MATCH(MAIN!I57,'ROTT TO AG'!$L$6:$L$23,0),6)</f>
        <v>46.938775510204081</v>
      </c>
      <c r="K57" s="177">
        <f>INDEX('ROTT TO SING'!$U$8:$AD$25,MATCH(MAIN!I57,'ROTT TO AG'!$L$6:$L$23,0),8)</f>
        <v>46.938775510204081</v>
      </c>
      <c r="L57" s="175">
        <f>INDEX('ROTT TO SING'!$U$8:$AD$25,MATCH(MAIN!I57,'ROTT TO AG'!$L$6:$L$23,0),10)</f>
        <v>46.938775510204081</v>
      </c>
      <c r="M57" s="154"/>
    </row>
    <row r="58" spans="1:13" hidden="1" outlineLevel="1" x14ac:dyDescent="0.25">
      <c r="A58" s="154"/>
      <c r="B58" s="166" t="s">
        <v>56</v>
      </c>
      <c r="C58" s="174">
        <f>INDEX('ROTT TO SING'!$A$8:$H$25,MATCH(MAIN!B58,'ROTT TO SING'!$A$8:$A$25,0),6)</f>
        <v>0</v>
      </c>
      <c r="D58" s="175">
        <f>INDEX('ROTT TO SING'!$A$8:$H$25,MATCH(MAIN!B58,'ROTT TO SING'!$A$8:$A$25,0),8)</f>
        <v>0</v>
      </c>
      <c r="E58" s="176" t="s">
        <v>56</v>
      </c>
      <c r="F58" s="174">
        <f>INDEX('ROTT TO SING'!$J$8:$S$25,MATCH(MAIN!E58,'ROTT TO SING'!$J$8:$J$25,0),6)</f>
        <v>0</v>
      </c>
      <c r="G58" s="177">
        <f>INDEX('ROTT TO SING'!$J$8:$S$25,MATCH(MAIN!E58,'ROTT TO SING'!$J$8:$J$25,0),8)</f>
        <v>0</v>
      </c>
      <c r="H58" s="175">
        <f>INDEX('ROTT TO SING'!$J$8:$S$25,MATCH(MAIN!E58,'ROTT TO SING'!$J$8:$J$25,0),10)</f>
        <v>0</v>
      </c>
      <c r="I58" s="178" t="s">
        <v>56</v>
      </c>
      <c r="J58" s="177">
        <f>INDEX('ROTT TO SING'!$U$8:$AD$25,MATCH(MAIN!I58,'ROTT TO AG'!$L$6:$L$23,0),6)</f>
        <v>0</v>
      </c>
      <c r="K58" s="177">
        <f>INDEX('ROTT TO SING'!$U$8:$AD$25,MATCH(MAIN!I58,'ROTT TO AG'!$L$6:$L$23,0),8)</f>
        <v>0</v>
      </c>
      <c r="L58" s="175">
        <f>INDEX('ROTT TO SING'!$U$8:$AD$25,MATCH(MAIN!I58,'ROTT TO AG'!$L$6:$L$23,0),10)</f>
        <v>0</v>
      </c>
      <c r="M58" s="154"/>
    </row>
    <row r="59" spans="1:13" hidden="1" outlineLevel="1" x14ac:dyDescent="0.25">
      <c r="A59" s="154"/>
      <c r="B59" s="166" t="s">
        <v>57</v>
      </c>
      <c r="C59" s="174">
        <f>INDEX('ROTT TO SING'!$A$8:$H$25,MATCH(MAIN!B59,'ROTT TO SING'!$A$8:$A$25,0),6)</f>
        <v>2.0370370370370372</v>
      </c>
      <c r="D59" s="175">
        <f>INDEX('ROTT TO SING'!$A$8:$H$25,MATCH(MAIN!B59,'ROTT TO SING'!$A$8:$A$25,0),8)</f>
        <v>2.0370370370370372</v>
      </c>
      <c r="E59" s="176" t="s">
        <v>57</v>
      </c>
      <c r="F59" s="174">
        <f>INDEX('ROTT TO SING'!$J$8:$S$25,MATCH(MAIN!E59,'ROTT TO SING'!$J$8:$J$25,0),6)</f>
        <v>2.6833333333333331</v>
      </c>
      <c r="G59" s="177">
        <f>INDEX('ROTT TO SING'!$J$8:$S$25,MATCH(MAIN!E59,'ROTT TO SING'!$J$8:$J$25,0),8)</f>
        <v>2.6833333333333331</v>
      </c>
      <c r="H59" s="175">
        <f>INDEX('ROTT TO SING'!$J$8:$S$25,MATCH(MAIN!E59,'ROTT TO SING'!$J$8:$J$25,0),10)</f>
        <v>2.6833333333333331</v>
      </c>
      <c r="I59" s="178" t="s">
        <v>57</v>
      </c>
      <c r="J59" s="177">
        <f>INDEX('ROTT TO SING'!$U$8:$AD$25,MATCH(MAIN!I59,'ROTT TO AG'!$L$6:$L$23,0),6)</f>
        <v>2.1683673469387754</v>
      </c>
      <c r="K59" s="177">
        <f>INDEX('ROTT TO SING'!$U$8:$AD$25,MATCH(MAIN!I59,'ROTT TO AG'!$L$6:$L$23,0),8)</f>
        <v>2.1683673469387754</v>
      </c>
      <c r="L59" s="175">
        <f>INDEX('ROTT TO SING'!$U$8:$AD$25,MATCH(MAIN!I59,'ROTT TO AG'!$L$6:$L$23,0),10)</f>
        <v>2.1683673469387754</v>
      </c>
      <c r="M59" s="154"/>
    </row>
    <row r="60" spans="1:13" hidden="1" outlineLevel="1" x14ac:dyDescent="0.25">
      <c r="A60" s="154"/>
      <c r="B60" s="166" t="s">
        <v>58</v>
      </c>
      <c r="C60" s="174">
        <f>INDEX('ROTT TO SING'!$A$8:$H$25,MATCH(MAIN!B60,'ROTT TO SING'!$A$8:$A$25,0),6)</f>
        <v>3.1481481481481478E-2</v>
      </c>
      <c r="D60" s="175">
        <f>INDEX('ROTT TO SING'!$A$8:$H$25,MATCH(MAIN!B60,'ROTT TO SING'!$A$8:$A$25,0),8)</f>
        <v>3.1481481481481478E-2</v>
      </c>
      <c r="E60" s="176" t="s">
        <v>58</v>
      </c>
      <c r="F60" s="174">
        <f>INDEX('ROTT TO SING'!$J$8:$S$25,MATCH(MAIN!E60,'ROTT TO SING'!$J$8:$J$25,0),6)</f>
        <v>5.6666666666666664E-2</v>
      </c>
      <c r="G60" s="177">
        <f>INDEX('ROTT TO SING'!$J$8:$S$25,MATCH(MAIN!E60,'ROTT TO SING'!$J$8:$J$25,0),8)</f>
        <v>5.6666666666666664E-2</v>
      </c>
      <c r="H60" s="175">
        <f>INDEX('ROTT TO SING'!$J$8:$S$25,MATCH(MAIN!E60,'ROTT TO SING'!$J$8:$J$25,0),10)</f>
        <v>5.6666666666666664E-2</v>
      </c>
      <c r="I60" s="178" t="s">
        <v>58</v>
      </c>
      <c r="J60" s="177">
        <f>INDEX('ROTT TO SING'!$U$8:$AD$25,MATCH(MAIN!I60,'ROTT TO AG'!$L$6:$L$23,0),6)</f>
        <v>8.673469387755102E-2</v>
      </c>
      <c r="K60" s="177">
        <f>INDEX('ROTT TO SING'!$U$8:$AD$25,MATCH(MAIN!I60,'ROTT TO AG'!$L$6:$L$23,0),8)</f>
        <v>8.673469387755102E-2</v>
      </c>
      <c r="L60" s="175">
        <f>INDEX('ROTT TO SING'!$U$8:$AD$25,MATCH(MAIN!I60,'ROTT TO AG'!$L$6:$L$23,0),10)</f>
        <v>8.673469387755102E-2</v>
      </c>
      <c r="M60" s="154"/>
    </row>
    <row r="61" spans="1:13" hidden="1" outlineLevel="1" x14ac:dyDescent="0.25">
      <c r="A61" s="154"/>
      <c r="B61" s="166" t="s">
        <v>127</v>
      </c>
      <c r="C61" s="174">
        <f>INDEX('ROTT TO SING'!$A$8:$H$25,MATCH(MAIN!B61,'ROTT TO SING'!$A$8:$A$25,0),6)</f>
        <v>9.2592592592592587E-2</v>
      </c>
      <c r="D61" s="175">
        <f>INDEX('ROTT TO SING'!$A$8:$H$25,MATCH(MAIN!B61,'ROTT TO SING'!$A$8:$A$25,0),8)</f>
        <v>9.2592592592592587E-2</v>
      </c>
      <c r="E61" s="176" t="s">
        <v>127</v>
      </c>
      <c r="F61" s="174">
        <f>INDEX('ROTT TO SING'!$J$8:$S$25,MATCH(MAIN!E61,'ROTT TO SING'!$J$8:$J$25,0),6)</f>
        <v>0.16666666666666666</v>
      </c>
      <c r="G61" s="177">
        <f>INDEX('ROTT TO SING'!$J$8:$S$25,MATCH(MAIN!E61,'ROTT TO SING'!$J$8:$J$25,0),8)</f>
        <v>0.16666666666666666</v>
      </c>
      <c r="H61" s="175">
        <f>INDEX('ROTT TO SING'!$J$8:$S$25,MATCH(MAIN!E61,'ROTT TO SING'!$J$8:$J$25,0),10)</f>
        <v>0.16666666666666666</v>
      </c>
      <c r="I61" s="178" t="s">
        <v>127</v>
      </c>
      <c r="J61" s="177">
        <f>INDEX('ROTT TO SING'!$U$8:$AD$25,MATCH(MAIN!I61,'ROTT TO AG'!$L$6:$L$23,0),6)</f>
        <v>0.25510204081632654</v>
      </c>
      <c r="K61" s="177">
        <f>INDEX('ROTT TO SING'!$U$8:$AD$25,MATCH(MAIN!I61,'ROTT TO AG'!$L$6:$L$23,0),8)</f>
        <v>0.25510204081632654</v>
      </c>
      <c r="L61" s="175">
        <f>INDEX('ROTT TO SING'!$U$8:$AD$25,MATCH(MAIN!I61,'ROTT TO AG'!$L$6:$L$23,0),10)</f>
        <v>0.25510204081632654</v>
      </c>
      <c r="M61" s="154"/>
    </row>
    <row r="62" spans="1:13" hidden="1" outlineLevel="1" x14ac:dyDescent="0.25">
      <c r="A62" s="154"/>
      <c r="B62" s="166" t="s">
        <v>128</v>
      </c>
      <c r="C62" s="174">
        <f>INDEX('ROTT TO SING'!$A$8:$H$25,MATCH(MAIN!B62,'ROTT TO SING'!$A$8:$A$25,0),6)</f>
        <v>9.2592592592592587E-2</v>
      </c>
      <c r="D62" s="175">
        <f>INDEX('ROTT TO SING'!$A$8:$H$25,MATCH(MAIN!B62,'ROTT TO SING'!$A$8:$A$25,0),8)</f>
        <v>9.2592592592592587E-2</v>
      </c>
      <c r="E62" s="176" t="s">
        <v>128</v>
      </c>
      <c r="F62" s="174">
        <f>INDEX('ROTT TO SING'!$J$8:$S$25,MATCH(MAIN!E62,'ROTT TO SING'!$J$8:$J$25,0),6)</f>
        <v>0.16666666666666666</v>
      </c>
      <c r="G62" s="177">
        <f>INDEX('ROTT TO SING'!$J$8:$S$25,MATCH(MAIN!E62,'ROTT TO SING'!$J$8:$J$25,0),8)</f>
        <v>0.16666666666666666</v>
      </c>
      <c r="H62" s="175">
        <f>INDEX('ROTT TO SING'!$J$8:$S$25,MATCH(MAIN!E62,'ROTT TO SING'!$J$8:$J$25,0),10)</f>
        <v>0.16666666666666666</v>
      </c>
      <c r="I62" s="178" t="s">
        <v>128</v>
      </c>
      <c r="J62" s="177">
        <f>INDEX('ROTT TO SING'!$U$8:$AD$25,MATCH(MAIN!I62,'ROTT TO AG'!$L$6:$L$23,0),6)</f>
        <v>0.25510204081632654</v>
      </c>
      <c r="K62" s="177">
        <f>INDEX('ROTT TO SING'!$U$8:$AD$25,MATCH(MAIN!I62,'ROTT TO AG'!$L$6:$L$23,0),8)</f>
        <v>0.25510204081632654</v>
      </c>
      <c r="L62" s="175">
        <f>INDEX('ROTT TO SING'!$U$8:$AD$25,MATCH(MAIN!I62,'ROTT TO AG'!$L$6:$L$23,0),10)</f>
        <v>0.25510204081632654</v>
      </c>
      <c r="M62" s="154"/>
    </row>
    <row r="63" spans="1:13" hidden="1" outlineLevel="1" x14ac:dyDescent="0.25">
      <c r="A63" s="154"/>
      <c r="B63" s="166" t="s">
        <v>83</v>
      </c>
      <c r="C63" s="174">
        <f ca="1">INDEX('ROTT TO SING'!$A$8:$H$25,MATCH(MAIN!B63,'ROTT TO SING'!$A$8:$A$25,0),6)</f>
        <v>4.0907787328767116</v>
      </c>
      <c r="D63" s="175">
        <f ca="1">INDEX('ROTT TO SING'!$A$8:$H$25,MATCH(MAIN!B63,'ROTT TO SING'!$A$8:$A$25,0),8)</f>
        <v>4.0907787328767116</v>
      </c>
      <c r="E63" s="176" t="s">
        <v>83</v>
      </c>
      <c r="F63" s="174">
        <f ca="1">INDEX('ROTT TO SING'!$J$8:$S$25,MATCH(MAIN!E63,'ROTT TO SING'!$J$8:$J$25,0),6)</f>
        <v>4.0907787328767116</v>
      </c>
      <c r="G63" s="177">
        <f ca="1">INDEX('ROTT TO SING'!$J$8:$S$25,MATCH(MAIN!E63,'ROTT TO SING'!$J$8:$J$25,0),8)</f>
        <v>4.0907787328767116</v>
      </c>
      <c r="H63" s="175">
        <f ca="1">INDEX('ROTT TO SING'!$J$8:$S$25,MATCH(MAIN!E63,'ROTT TO SING'!$J$8:$J$25,0),10)</f>
        <v>4.0500938013698624</v>
      </c>
      <c r="I63" s="178" t="s">
        <v>83</v>
      </c>
      <c r="J63" s="177">
        <f ca="1">INDEX('ROTT TO SING'!$U$8:$AD$25,MATCH(MAIN!I63,'ROTT TO AG'!$L$6:$L$23,0),6)</f>
        <v>4.0907787328767116</v>
      </c>
      <c r="K63" s="177">
        <f ca="1">INDEX('ROTT TO SING'!$U$8:$AD$25,MATCH(MAIN!I63,'ROTT TO AG'!$L$6:$L$23,0),8)</f>
        <v>4.0907787328767116</v>
      </c>
      <c r="L63" s="175">
        <f ca="1">INDEX('ROTT TO SING'!$U$8:$AD$25,MATCH(MAIN!I63,'ROTT TO AG'!$L$6:$L$23,0),10)</f>
        <v>4.0500938013698624</v>
      </c>
      <c r="M63" s="154"/>
    </row>
    <row r="64" spans="1:13" hidden="1" outlineLevel="1" x14ac:dyDescent="0.25">
      <c r="A64" s="154"/>
      <c r="B64" s="166" t="s">
        <v>59</v>
      </c>
      <c r="C64" s="174">
        <f>INDEX('ROTT TO SING'!$A$8:$H$25,MATCH(MAIN!B64,'ROTT TO SING'!$A$8:$A$25,0),6)</f>
        <v>0</v>
      </c>
      <c r="D64" s="175">
        <f>INDEX('ROTT TO SING'!$A$8:$H$25,MATCH(MAIN!B64,'ROTT TO SING'!$A$8:$A$25,0),8)</f>
        <v>0</v>
      </c>
      <c r="E64" s="176" t="s">
        <v>59</v>
      </c>
      <c r="F64" s="174">
        <f>INDEX('ROTT TO SING'!$J$8:$S$25,MATCH(MAIN!E64,'ROTT TO SING'!$J$8:$J$25,0),6)</f>
        <v>0</v>
      </c>
      <c r="G64" s="177">
        <f>INDEX('ROTT TO SING'!$J$8:$S$25,MATCH(MAIN!E64,'ROTT TO SING'!$J$8:$J$25,0),8)</f>
        <v>0</v>
      </c>
      <c r="H64" s="175">
        <f>INDEX('ROTT TO SING'!$J$8:$S$25,MATCH(MAIN!E64,'ROTT TO SING'!$J$8:$J$25,0),10)</f>
        <v>0</v>
      </c>
      <c r="I64" s="178" t="s">
        <v>59</v>
      </c>
      <c r="J64" s="177">
        <f>INDEX('ROTT TO SING'!$U$8:$AD$25,MATCH(MAIN!I64,'ROTT TO AG'!$L$6:$L$23,0),6)</f>
        <v>0</v>
      </c>
      <c r="K64" s="177">
        <f>INDEX('ROTT TO SING'!$U$8:$AD$25,MATCH(MAIN!I64,'ROTT TO AG'!$L$6:$L$23,0),8)</f>
        <v>0</v>
      </c>
      <c r="L64" s="175">
        <f>INDEX('ROTT TO SING'!$U$8:$AD$25,MATCH(MAIN!I64,'ROTT TO AG'!$L$6:$L$23,0),10)</f>
        <v>0</v>
      </c>
      <c r="M64" s="154"/>
    </row>
    <row r="65" spans="1:13" hidden="1" outlineLevel="1" x14ac:dyDescent="0.25">
      <c r="A65" s="154"/>
      <c r="B65" s="166" t="s">
        <v>60</v>
      </c>
      <c r="C65" s="174">
        <f ca="1">INDEX('ROTT TO SING'!$A$8:$H$25,MATCH(MAIN!B65,'ROTT TO SING'!$A$8:$A$25,0),6)</f>
        <v>0.33934869034090903</v>
      </c>
      <c r="D65" s="175">
        <f ca="1">INDEX('ROTT TO SING'!$A$8:$H$25,MATCH(MAIN!B65,'ROTT TO SING'!$A$8:$A$25,0),8)</f>
        <v>0.33934869034090903</v>
      </c>
      <c r="E65" s="176" t="s">
        <v>60</v>
      </c>
      <c r="F65" s="174">
        <f ca="1">INDEX('ROTT TO SING'!$J$8:$S$25,MATCH(MAIN!E65,'ROTT TO SING'!$J$8:$J$25,0),6)</f>
        <v>0.33934869034090903</v>
      </c>
      <c r="G65" s="177">
        <f ca="1">INDEX('ROTT TO SING'!$J$8:$S$25,MATCH(MAIN!E65,'ROTT TO SING'!$J$8:$J$25,0),8)</f>
        <v>0.33934869034090903</v>
      </c>
      <c r="H65" s="175">
        <f ca="1">INDEX('ROTT TO SING'!$J$8:$S$25,MATCH(MAIN!E65,'ROTT TO SING'!$J$8:$J$25,0),10)</f>
        <v>0.33597369034090907</v>
      </c>
      <c r="I65" s="178" t="s">
        <v>60</v>
      </c>
      <c r="J65" s="177">
        <f ca="1">INDEX('ROTT TO SING'!$U$8:$AD$25,MATCH(MAIN!I65,'ROTT TO AG'!$L$6:$L$23,0),6)</f>
        <v>0.33934869034090903</v>
      </c>
      <c r="K65" s="177">
        <f ca="1">INDEX('ROTT TO SING'!$U$8:$AD$25,MATCH(MAIN!I65,'ROTT TO AG'!$L$6:$L$23,0),8)</f>
        <v>0.33934869034090903</v>
      </c>
      <c r="L65" s="175">
        <f ca="1">INDEX('ROTT TO SING'!$U$8:$AD$25,MATCH(MAIN!I65,'ROTT TO AG'!$L$6:$L$23,0),10)</f>
        <v>0.33597369034090907</v>
      </c>
      <c r="M65" s="154"/>
    </row>
    <row r="66" spans="1:13" hidden="1" outlineLevel="1" x14ac:dyDescent="0.25">
      <c r="A66" s="154"/>
      <c r="B66" s="166" t="s">
        <v>61</v>
      </c>
      <c r="C66" s="174">
        <f ca="1">INDEX('ROTT TO SING'!$A$8:$H$25,MATCH(MAIN!B66,'ROTT TO SING'!$A$8:$A$25,0),6)</f>
        <v>1.1797500000000001</v>
      </c>
      <c r="D66" s="175">
        <f ca="1">INDEX('ROTT TO SING'!$A$8:$H$25,MATCH(MAIN!B66,'ROTT TO SING'!$A$8:$A$25,0),8)</f>
        <v>1.1692500000000001</v>
      </c>
      <c r="E66" s="176" t="s">
        <v>61</v>
      </c>
      <c r="F66" s="174">
        <f ca="1">INDEX('ROTT TO SING'!$J$8:$S$25,MATCH(MAIN!E66,'ROTT TO SING'!$J$8:$J$25,0),6)</f>
        <v>1.1812500000000001</v>
      </c>
      <c r="G66" s="177">
        <f ca="1">INDEX('ROTT TO SING'!$J$8:$S$25,MATCH(MAIN!E66,'ROTT TO SING'!$J$8:$J$25,0),8)</f>
        <v>1.1797500000000001</v>
      </c>
      <c r="H66" s="175">
        <f ca="1">INDEX('ROTT TO SING'!$J$8:$S$25,MATCH(MAIN!E66,'ROTT TO SING'!$J$8:$J$25,0),10)</f>
        <v>1.1797500000000001</v>
      </c>
      <c r="I66" s="178" t="s">
        <v>61</v>
      </c>
      <c r="J66" s="177">
        <f ca="1">INDEX('ROTT TO SING'!$U$8:$AD$25,MATCH(MAIN!I66,'ROTT TO AG'!$L$6:$L$23,0),6)</f>
        <v>1.1812500000000001</v>
      </c>
      <c r="K66" s="177">
        <f ca="1">INDEX('ROTT TO SING'!$U$8:$AD$25,MATCH(MAIN!I66,'ROTT TO AG'!$L$6:$L$23,0),8)</f>
        <v>1.1797500000000001</v>
      </c>
      <c r="L66" s="175">
        <f ca="1">INDEX('ROTT TO SING'!$U$8:$AD$25,MATCH(MAIN!I66,'ROTT TO AG'!$L$6:$L$23,0),10)</f>
        <v>1.1797500000000001</v>
      </c>
      <c r="M66" s="154"/>
    </row>
    <row r="67" spans="1:13" hidden="1" outlineLevel="1" x14ac:dyDescent="0.25">
      <c r="A67" s="154"/>
      <c r="B67" s="166" t="s">
        <v>62</v>
      </c>
      <c r="C67" s="174">
        <f>INDEX('ROTT TO SING'!$A$8:$H$25,MATCH(MAIN!B67,'ROTT TO SING'!$A$8:$A$25,0),6)</f>
        <v>4.6296296296296294E-2</v>
      </c>
      <c r="D67" s="175">
        <f>INDEX('ROTT TO SING'!$A$8:$H$25,MATCH(MAIN!B67,'ROTT TO SING'!$A$8:$A$25,0),8)</f>
        <v>4.6296296296296294E-2</v>
      </c>
      <c r="E67" s="176" t="s">
        <v>62</v>
      </c>
      <c r="F67" s="174">
        <f>INDEX('ROTT TO SING'!$J$8:$S$25,MATCH(MAIN!E67,'ROTT TO SING'!$J$8:$J$25,0),6)</f>
        <v>8.3333333333333329E-2</v>
      </c>
      <c r="G67" s="177">
        <f>INDEX('ROTT TO SING'!$J$8:$S$25,MATCH(MAIN!E67,'ROTT TO SING'!$J$8:$J$25,0),8)</f>
        <v>8.3333333333333329E-2</v>
      </c>
      <c r="H67" s="175">
        <f>INDEX('ROTT TO SING'!$J$8:$S$25,MATCH(MAIN!E67,'ROTT TO SING'!$J$8:$J$25,0),10)</f>
        <v>8.3333333333333329E-2</v>
      </c>
      <c r="I67" s="178" t="s">
        <v>62</v>
      </c>
      <c r="J67" s="177">
        <f>INDEX('ROTT TO SING'!$U$8:$AD$25,MATCH(MAIN!I67,'ROTT TO AG'!$L$6:$L$23,0),6)</f>
        <v>0.12755102040816327</v>
      </c>
      <c r="K67" s="177">
        <f>INDEX('ROTT TO SING'!$U$8:$AD$25,MATCH(MAIN!I67,'ROTT TO AG'!$L$6:$L$23,0),8)</f>
        <v>0.12755102040816327</v>
      </c>
      <c r="L67" s="175">
        <f>INDEX('ROTT TO SING'!$U$8:$AD$25,MATCH(MAIN!I67,'ROTT TO AG'!$L$6:$L$23,0),10)</f>
        <v>0.12755102040816327</v>
      </c>
      <c r="M67" s="154"/>
    </row>
    <row r="68" spans="1:13" hidden="1" outlineLevel="1" x14ac:dyDescent="0.25">
      <c r="A68" s="154"/>
      <c r="B68" s="166" t="s">
        <v>63</v>
      </c>
      <c r="C68" s="174">
        <f>INDEX('ROTT TO SING'!$A$8:$H$25,MATCH(MAIN!B68,'ROTT TO SING'!$A$8:$A$25,0),6)</f>
        <v>4.6296296296296294E-3</v>
      </c>
      <c r="D68" s="175">
        <f>INDEX('ROTT TO SING'!$A$8:$H$25,MATCH(MAIN!B68,'ROTT TO SING'!$A$8:$A$25,0),8)</f>
        <v>4.6296296296296294E-3</v>
      </c>
      <c r="E68" s="176" t="s">
        <v>63</v>
      </c>
      <c r="F68" s="174">
        <f>INDEX('ROTT TO SING'!$J$8:$S$25,MATCH(MAIN!E68,'ROTT TO SING'!$J$8:$J$25,0),6)</f>
        <v>8.3333333333333332E-3</v>
      </c>
      <c r="G68" s="177">
        <f>INDEX('ROTT TO SING'!$J$8:$S$25,MATCH(MAIN!E68,'ROTT TO SING'!$J$8:$J$25,0),8)</f>
        <v>8.3333333333333332E-3</v>
      </c>
      <c r="H68" s="175">
        <f>INDEX('ROTT TO SING'!$J$8:$S$25,MATCH(MAIN!E68,'ROTT TO SING'!$J$8:$J$25,0),10)</f>
        <v>8.3333333333333332E-3</v>
      </c>
      <c r="I68" s="178" t="s">
        <v>63</v>
      </c>
      <c r="J68" s="177">
        <f>INDEX('ROTT TO SING'!$U$8:$AD$25,MATCH(MAIN!I68,'ROTT TO AG'!$L$6:$L$23,0),6)</f>
        <v>1.2755102040816327E-2</v>
      </c>
      <c r="K68" s="177">
        <f>INDEX('ROTT TO SING'!$U$8:$AD$25,MATCH(MAIN!I68,'ROTT TO AG'!$L$6:$L$23,0),8)</f>
        <v>1.2755102040816327E-2</v>
      </c>
      <c r="L68" s="175">
        <f>INDEX('ROTT TO SING'!$U$8:$AD$25,MATCH(MAIN!I68,'ROTT TO AG'!$L$6:$L$23,0),10)</f>
        <v>1.2755102040816327E-2</v>
      </c>
      <c r="M68" s="154"/>
    </row>
    <row r="69" spans="1:13" hidden="1" outlineLevel="1" x14ac:dyDescent="0.25">
      <c r="A69" s="154"/>
      <c r="B69" s="166" t="s">
        <v>64</v>
      </c>
      <c r="C69" s="174">
        <f>INDEX('ROTT TO SING'!$A$8:$H$25,MATCH(MAIN!B69,'ROTT TO SING'!$A$8:$A$25,0),6)</f>
        <v>4.6296296296296294E-3</v>
      </c>
      <c r="D69" s="175">
        <f>INDEX('ROTT TO SING'!$A$8:$H$25,MATCH(MAIN!B69,'ROTT TO SING'!$A$8:$A$25,0),8)</f>
        <v>4.6296296296296294E-3</v>
      </c>
      <c r="E69" s="176" t="s">
        <v>64</v>
      </c>
      <c r="F69" s="174">
        <f>INDEX('ROTT TO SING'!$J$8:$S$25,MATCH(MAIN!E69,'ROTT TO SING'!$J$8:$J$25,0),6)</f>
        <v>8.3333333333333332E-3</v>
      </c>
      <c r="G69" s="177">
        <f>INDEX('ROTT TO SING'!$J$8:$S$25,MATCH(MAIN!E69,'ROTT TO SING'!$J$8:$J$25,0),8)</f>
        <v>8.3333333333333332E-3</v>
      </c>
      <c r="H69" s="175">
        <f>INDEX('ROTT TO SING'!$J$8:$S$25,MATCH(MAIN!E69,'ROTT TO SING'!$J$8:$J$25,0),10)</f>
        <v>8.3333333333333332E-3</v>
      </c>
      <c r="I69" s="178" t="s">
        <v>64</v>
      </c>
      <c r="J69" s="177">
        <f>INDEX('ROTT TO SING'!$U$8:$AD$25,MATCH(MAIN!I69,'ROTT TO AG'!$L$6:$L$23,0),6)</f>
        <v>1.2755102040816327E-2</v>
      </c>
      <c r="K69" s="177">
        <f>INDEX('ROTT TO SING'!$U$8:$AD$25,MATCH(MAIN!I69,'ROTT TO AG'!$L$6:$L$23,0),8)</f>
        <v>1.2755102040816327E-2</v>
      </c>
      <c r="L69" s="175">
        <f>INDEX('ROTT TO SING'!$U$8:$AD$25,MATCH(MAIN!I69,'ROTT TO AG'!$L$6:$L$23,0),10)</f>
        <v>1.2755102040816327E-2</v>
      </c>
      <c r="M69" s="154"/>
    </row>
    <row r="70" spans="1:13" hidden="1" outlineLevel="1" x14ac:dyDescent="0.25">
      <c r="A70" s="154"/>
      <c r="B70" s="166" t="s">
        <v>65</v>
      </c>
      <c r="C70" s="174">
        <f>INDEX('ROTT TO SING'!$A$8:$H$25,MATCH(MAIN!B70,'ROTT TO SING'!$A$8:$A$25,0),6)</f>
        <v>7.407407407407407E-2</v>
      </c>
      <c r="D70" s="175">
        <f>INDEX('ROTT TO SING'!$A$8:$H$25,MATCH(MAIN!B70,'ROTT TO SING'!$A$8:$A$25,0),8)</f>
        <v>7.407407407407407E-2</v>
      </c>
      <c r="E70" s="176" t="s">
        <v>65</v>
      </c>
      <c r="F70" s="174">
        <f>INDEX('ROTT TO SING'!$J$8:$S$25,MATCH(MAIN!E70,'ROTT TO SING'!$J$8:$J$25,0),6)</f>
        <v>0.1</v>
      </c>
      <c r="G70" s="177">
        <f>INDEX('ROTT TO SING'!$J$8:$S$25,MATCH(MAIN!E70,'ROTT TO SING'!$J$8:$J$25,0),8)</f>
        <v>0.1</v>
      </c>
      <c r="H70" s="175">
        <f>INDEX('ROTT TO SING'!$J$8:$S$25,MATCH(MAIN!E70,'ROTT TO SING'!$J$8:$J$25,0),10)</f>
        <v>0.1</v>
      </c>
      <c r="I70" s="178" t="s">
        <v>65</v>
      </c>
      <c r="J70" s="177">
        <f>INDEX('ROTT TO SING'!$U$8:$AD$25,MATCH(MAIN!I70,'ROTT TO AG'!$L$6:$L$23,0),6)</f>
        <v>0.15306122448979592</v>
      </c>
      <c r="K70" s="177">
        <f>INDEX('ROTT TO SING'!$U$8:$AD$25,MATCH(MAIN!I70,'ROTT TO AG'!$L$6:$L$23,0),8)</f>
        <v>0.15306122448979592</v>
      </c>
      <c r="L70" s="175">
        <f>INDEX('ROTT TO SING'!$U$8:$AD$25,MATCH(MAIN!I70,'ROTT TO AG'!$L$6:$L$23,0),10)</f>
        <v>0.15306122448979592</v>
      </c>
      <c r="M70" s="154"/>
    </row>
    <row r="71" spans="1:13" hidden="1" outlineLevel="1" x14ac:dyDescent="0.25">
      <c r="A71" s="154"/>
      <c r="B71" s="166" t="s">
        <v>66</v>
      </c>
      <c r="C71" s="174">
        <f>INDEX('ROTT TO SING'!$A$8:$H$25,MATCH(MAIN!B71,'ROTT TO SING'!$A$8:$A$25,0),6)</f>
        <v>3.7037037037037035E-2</v>
      </c>
      <c r="D71" s="175">
        <f>INDEX('ROTT TO SING'!$A$8:$H$25,MATCH(MAIN!B71,'ROTT TO SING'!$A$8:$A$25,0),8)</f>
        <v>3.7037037037037035E-2</v>
      </c>
      <c r="E71" s="176" t="s">
        <v>66</v>
      </c>
      <c r="F71" s="174">
        <f>INDEX('ROTT TO SING'!$J$8:$S$25,MATCH(MAIN!E71,'ROTT TO SING'!$J$8:$J$25,0),6)</f>
        <v>6.6666666666666666E-2</v>
      </c>
      <c r="G71" s="177">
        <f>INDEX('ROTT TO SING'!$J$8:$S$25,MATCH(MAIN!E71,'ROTT TO SING'!$J$8:$J$25,0),8)</f>
        <v>6.6666666666666666E-2</v>
      </c>
      <c r="H71" s="175">
        <f>INDEX('ROTT TO SING'!$J$8:$S$25,MATCH(MAIN!E71,'ROTT TO SING'!$J$8:$J$25,0),10)</f>
        <v>6.6666666666666666E-2</v>
      </c>
      <c r="I71" s="178" t="s">
        <v>66</v>
      </c>
      <c r="J71" s="177">
        <f>INDEX('ROTT TO SING'!$U$8:$AD$25,MATCH(MAIN!I71,'ROTT TO AG'!$L$6:$L$23,0),6)</f>
        <v>0.10204081632653061</v>
      </c>
      <c r="K71" s="177">
        <f>INDEX('ROTT TO SING'!$U$8:$AD$25,MATCH(MAIN!I71,'ROTT TO AG'!$L$6:$L$23,0),8)</f>
        <v>0.10204081632653061</v>
      </c>
      <c r="L71" s="175">
        <f>INDEX('ROTT TO SING'!$U$8:$AD$25,MATCH(MAIN!I71,'ROTT TO AG'!$L$6:$L$23,0),10)</f>
        <v>0.10204081632653061</v>
      </c>
      <c r="M71" s="154"/>
    </row>
    <row r="72" spans="1:13" hidden="1" outlineLevel="1" x14ac:dyDescent="0.25">
      <c r="A72" s="154"/>
      <c r="B72" s="166" t="s">
        <v>102</v>
      </c>
      <c r="C72" s="174">
        <f ca="1">INDEX('ROTT TO SING'!$A$8:$H$25,MATCH(MAIN!B72,'ROTT TO SING'!$A$8:$A$25,0),6)</f>
        <v>28.77098853432873</v>
      </c>
      <c r="D72" s="175">
        <f ca="1">INDEX('ROTT TO SING'!$A$8:$H$25,MATCH(MAIN!B72,'ROTT TO SING'!$A$8:$A$25,0),8)</f>
        <v>28.760488534328733</v>
      </c>
      <c r="E72" s="176" t="s">
        <v>102</v>
      </c>
      <c r="F72" s="174">
        <f ca="1">INDEX('ROTT TO SING'!$J$8:$S$25,MATCH(MAIN!E72,'ROTT TO SING'!$J$8:$J$25,0),6)</f>
        <v>42.951377423217615</v>
      </c>
      <c r="G72" s="177">
        <f ca="1">INDEX('ROTT TO SING'!$J$8:$S$25,MATCH(MAIN!E72,'ROTT TO SING'!$J$8:$J$25,0),8)</f>
        <v>42.949877423217615</v>
      </c>
      <c r="H72" s="175">
        <f ca="1">INDEX('ROTT TO SING'!$J$8:$S$25,MATCH(MAIN!E72,'ROTT TO SING'!$J$8:$J$25,0),10)</f>
        <v>42.905817491710764</v>
      </c>
      <c r="I72" s="178" t="s">
        <v>102</v>
      </c>
      <c r="J72" s="177">
        <f ca="1">INDEX('ROTT TO SING'!$U$8:$AD$25,MATCH(MAIN!I72,'ROTT TO AG'!$L$6:$L$23,0),6)</f>
        <v>55.723622321176791</v>
      </c>
      <c r="K72" s="177">
        <f ca="1">INDEX('ROTT TO SING'!$U$8:$AD$25,MATCH(MAIN!I72,'ROTT TO AG'!$L$6:$L$23,0),8)</f>
        <v>55.722122321176791</v>
      </c>
      <c r="L72" s="175">
        <f ca="1">INDEX('ROTT TO SING'!$U$8:$AD$25,MATCH(MAIN!I72,'ROTT TO AG'!$L$6:$L$23,0),10)</f>
        <v>55.67806238966994</v>
      </c>
      <c r="M72" s="154"/>
    </row>
    <row r="73" spans="1:13" hidden="1" outlineLevel="1" x14ac:dyDescent="0.25">
      <c r="A73" s="154"/>
      <c r="B73" s="166" t="s">
        <v>103</v>
      </c>
      <c r="C73" s="174">
        <f ca="1">INDEX('ROTT TO SING'!$A$8:$H$25,MATCH(MAIN!B73,'ROTT TO SING'!$A$8:$A$25,0),6)</f>
        <v>29.617045454545476</v>
      </c>
      <c r="D73" s="175">
        <f ca="1">INDEX('ROTT TO SING'!$A$8:$H$25,MATCH(MAIN!B73,'ROTT TO SING'!$A$8:$A$25,0),8)</f>
        <v>30.336742424242448</v>
      </c>
      <c r="E73" s="176" t="s">
        <v>103</v>
      </c>
      <c r="F73" s="174">
        <f ca="1">INDEX('ROTT TO SING'!$J$8:$S$25,MATCH(MAIN!E73,'ROTT TO SING'!$J$8:$J$25,0),6)</f>
        <v>28.662500000000023</v>
      </c>
      <c r="G73" s="177">
        <f ca="1">INDEX('ROTT TO SING'!$J$8:$S$25,MATCH(MAIN!E73,'ROTT TO SING'!$J$8:$J$25,0),8)</f>
        <v>29.537500000000023</v>
      </c>
      <c r="H73" s="175">
        <f ca="1">INDEX('ROTT TO SING'!$J$8:$S$25,MATCH(MAIN!E73,'ROTT TO SING'!$J$8:$J$25,0),10)</f>
        <v>30.412500000000023</v>
      </c>
      <c r="I73" s="178" t="s">
        <v>103</v>
      </c>
      <c r="J73" s="177">
        <f ca="1">INDEX('ROTT TO SING'!$U$8:$AD$25,MATCH(MAIN!I73,'ROTT TO AG'!$L$6:$L$23,0),6)</f>
        <v>28.662500000000023</v>
      </c>
      <c r="K73" s="177">
        <f ca="1">INDEX('ROTT TO SING'!$U$8:$AD$25,MATCH(MAIN!I73,'ROTT TO AG'!$L$6:$L$23,0),8)</f>
        <v>29.537500000000023</v>
      </c>
      <c r="L73" s="175">
        <f ca="1">INDEX('ROTT TO SING'!$U$8:$AD$25,MATCH(MAIN!I73,'ROTT TO AG'!$L$6:$L$23,0),10)</f>
        <v>30.412500000000023</v>
      </c>
      <c r="M73" s="154"/>
    </row>
    <row r="74" spans="1:13" hidden="1" outlineLevel="1" x14ac:dyDescent="0.25">
      <c r="A74" s="154"/>
      <c r="B74" s="166" t="s">
        <v>115</v>
      </c>
      <c r="C74" s="174">
        <f ca="1">INDEX('ROTT TO SING'!$A$8:$H$25,MATCH(MAIN!B74,'ROTT TO SING'!$A$8:$A$25,0),6)</f>
        <v>0.84605692021674628</v>
      </c>
      <c r="D74" s="175">
        <f ca="1">INDEX('ROTT TO SING'!$A$8:$H$25,MATCH(MAIN!B74,'ROTT TO SING'!$A$8:$A$25,0),8)</f>
        <v>1.5762538899137155</v>
      </c>
      <c r="E74" s="176" t="s">
        <v>115</v>
      </c>
      <c r="F74" s="174">
        <f ca="1">INDEX('ROTT TO SING'!$J$8:$S$25,MATCH(MAIN!E74,'ROTT TO SING'!$J$8:$J$25,0),6)</f>
        <v>-14.288877423217592</v>
      </c>
      <c r="G74" s="177">
        <f ca="1">INDEX('ROTT TO SING'!$J$8:$S$25,MATCH(MAIN!E74,'ROTT TO SING'!$J$8:$J$25,0),8)</f>
        <v>-13.412377423217592</v>
      </c>
      <c r="H74" s="175">
        <f ca="1">INDEX('ROTT TO SING'!$J$8:$S$25,MATCH(MAIN!E74,'ROTT TO SING'!$J$8:$J$25,0),10)</f>
        <v>-12.493317491710741</v>
      </c>
      <c r="I74" s="178" t="s">
        <v>115</v>
      </c>
      <c r="J74" s="177">
        <f ca="1">INDEX('ROTT TO SING'!$U$8:$AD$25,MATCH(MAIN!I74,'ROTT TO AG'!$L$6:$L$23,0),6)</f>
        <v>-27.061122321176768</v>
      </c>
      <c r="K74" s="177">
        <f ca="1">INDEX('ROTT TO SING'!$U$8:$AD$25,MATCH(MAIN!I74,'ROTT TO AG'!$L$6:$L$23,0),8)</f>
        <v>-26.184622321176768</v>
      </c>
      <c r="L74" s="175">
        <f ca="1">INDEX('ROTT TO SING'!$U$8:$AD$25,MATCH(MAIN!I74,'ROTT TO AG'!$L$6:$L$23,0),10)</f>
        <v>-25.265562389669917</v>
      </c>
      <c r="M74" s="154"/>
    </row>
    <row r="75" spans="1:13" hidden="1" outlineLevel="1" x14ac:dyDescent="0.25">
      <c r="B75" s="166" t="s">
        <v>129</v>
      </c>
      <c r="C75" s="200">
        <f ca="1">C50</f>
        <v>45910</v>
      </c>
      <c r="D75" s="190">
        <f ca="1">D50</f>
        <v>45924</v>
      </c>
      <c r="E75" s="176" t="s">
        <v>129</v>
      </c>
      <c r="F75" s="200">
        <f ca="1">F50</f>
        <v>45903</v>
      </c>
      <c r="G75" s="201">
        <f ca="1">G50</f>
        <v>45917</v>
      </c>
      <c r="H75" s="202">
        <f ca="1">H50</f>
        <v>45931</v>
      </c>
      <c r="I75" s="178" t="s">
        <v>129</v>
      </c>
      <c r="J75" s="201">
        <f ca="1">J50</f>
        <v>45903</v>
      </c>
      <c r="K75" s="201">
        <f ca="1">K50</f>
        <v>45944</v>
      </c>
      <c r="L75" s="202">
        <f ca="1">L50</f>
        <v>45958</v>
      </c>
      <c r="M75" s="154"/>
    </row>
    <row r="76" spans="1:13" collapsed="1" x14ac:dyDescent="0.25">
      <c r="A76" s="535">
        <v>0.5</v>
      </c>
      <c r="B76" s="170"/>
      <c r="C76" s="158">
        <f ca="1">C96+C77-C78</f>
        <v>3.1560569202167463</v>
      </c>
      <c r="D76" s="160">
        <f ca="1">D96+D77-D78</f>
        <v>3.8862538899137151</v>
      </c>
      <c r="E76" s="10"/>
      <c r="F76" s="158">
        <f ca="1">F96+F77-F78</f>
        <v>-11.978877423217591</v>
      </c>
      <c r="G76" s="159">
        <f ca="1">G96+G77-G78</f>
        <v>-11.102377423217591</v>
      </c>
      <c r="H76" s="160">
        <f ca="1">H96+H77-H78</f>
        <v>-10.18331749171074</v>
      </c>
      <c r="I76" s="164"/>
      <c r="J76" s="159">
        <f ca="1">J96+J77-J78</f>
        <v>-24.751122321176766</v>
      </c>
      <c r="K76" s="159">
        <f ca="1">K96+K77-K78</f>
        <v>-23.874622321176766</v>
      </c>
      <c r="L76" s="160">
        <f ca="1">L96+L77-L78</f>
        <v>-22.955562389669915</v>
      </c>
      <c r="M76" s="154"/>
    </row>
    <row r="77" spans="1:13" x14ac:dyDescent="0.25">
      <c r="A77" s="154"/>
      <c r="B77" s="166" t="s">
        <v>131</v>
      </c>
      <c r="C77" s="174">
        <f ca="1">INDEX(Premium!$A$2:$D$12,MATCH(MAIN!$A76,Premium!$A$2:$A$12,0),MATCH(EOMONTH(MAIN!C53,-1)+1,Premium!$A$2:$D$2,0))</f>
        <v>2.6</v>
      </c>
      <c r="D77" s="175">
        <f ca="1">INDEX(Premium!$A$2:$D$12,MATCH(MAIN!$A76,Premium!$A$2:$A$12,0),MATCH(EOMONTH(MAIN!D53,-1)+1,Premium!$A$2:$D$2,0))</f>
        <v>2.6</v>
      </c>
      <c r="E77" s="176" t="s">
        <v>131</v>
      </c>
      <c r="F77" s="174">
        <f ca="1">INDEX(Premium!$A$2:$D$12,MATCH(MAIN!$A76,Premium!$A$2:$A$12,0),MATCH(EOMONTH(MAIN!F53,-1)+1,Premium!$A$2:$D$2,0))</f>
        <v>2.6</v>
      </c>
      <c r="G77" s="177">
        <f ca="1">INDEX(Premium!$A$2:$D$12,MATCH(MAIN!$A76,Premium!$A$2:$A$12,0),MATCH(EOMONTH(MAIN!G53,-1)+1,Premium!$A$2:$D$2,0))</f>
        <v>2.6</v>
      </c>
      <c r="H77" s="175">
        <f ca="1">INDEX(Premium!$A$2:$D$12,MATCH(MAIN!$A76,Premium!$A$2:$A$12,0),MATCH(EOMONTH(MAIN!H53,-1)+1,Premium!$A$2:$D$2,0))</f>
        <v>2.6</v>
      </c>
      <c r="I77" s="178" t="e">
        <f>INDEX(Premium!$A$2:$D$12,MATCH(MAIN!$A76,Premium!$A$2:$A$12,0),MATCH(EOMONTH(MAIN!I53,-1)+1,Premium!$A$2:$D$2,0))</f>
        <v>#NUM!</v>
      </c>
      <c r="J77" s="177">
        <f ca="1">INDEX(Premium!$A$2:$D$12,MATCH(MAIN!$A76,Premium!$A$2:$A$12,0),MATCH(EOMONTH(MAIN!J53,-1)+1,Premium!$A$2:$D$2,0))</f>
        <v>2.6</v>
      </c>
      <c r="K77" s="177">
        <f ca="1">INDEX(Premium!$A$2:$D$12,MATCH(MAIN!$A76,Premium!$A$2:$A$12,0),MATCH(EOMONTH(MAIN!K53,-1)+1,Premium!$A$2:$D$2,0))</f>
        <v>2.6</v>
      </c>
      <c r="L77" s="175">
        <f ca="1">INDEX(Premium!$A$2:$D$12,MATCH(MAIN!$A76,Premium!$A$2:$A$12,0),MATCH(EOMONTH(MAIN!L53,-1)+1,Premium!$A$2:$D$2,0))</f>
        <v>2.6</v>
      </c>
      <c r="M77" s="154"/>
    </row>
    <row r="78" spans="1:13" ht="15.75" thickBot="1" x14ac:dyDescent="0.3">
      <c r="A78" s="154"/>
      <c r="B78" s="171" t="s">
        <v>130</v>
      </c>
      <c r="C78" s="179">
        <f ca="1">INDEX(Premium!$A$21:$D$29,MATCH(MAIN!$A76,Premium!$A$21:$A$29,0),MATCH(EOMONTH(MAIN!C97,-1)+1,Premium!$A$21:$D$21,0))</f>
        <v>0.28999999999999998</v>
      </c>
      <c r="D78" s="180">
        <f ca="1">INDEX(Premium!$A$21:$D$29,MATCH(MAIN!$A76,Premium!$A$21:$A$29,0),MATCH(EOMONTH(MAIN!D97,-1)+1,Premium!$A$21:$D$21,0))</f>
        <v>0.28999999999999998</v>
      </c>
      <c r="E78" s="176" t="s">
        <v>130</v>
      </c>
      <c r="F78" s="179">
        <f ca="1">INDEX(Premium!$A$21:$D$29,MATCH(MAIN!$A76,Premium!$A$21:$A$29,0),MATCH(EOMONTH(MAIN!F97,-1)+1,Premium!$A$21:$D$21,0))</f>
        <v>0.28999999999999998</v>
      </c>
      <c r="G78" s="181">
        <f ca="1">INDEX(Premium!$A$21:$D$29,MATCH(MAIN!$A76,Premium!$A$21:$A$29,0),MATCH(EOMONTH(MAIN!G97,-1)+1,Premium!$A$21:$D$21,0))</f>
        <v>0.28999999999999998</v>
      </c>
      <c r="H78" s="180">
        <f ca="1">INDEX(Premium!$A$21:$D$29,MATCH(MAIN!$A76,Premium!$A$21:$A$29,0),MATCH(EOMONTH(MAIN!H97,-1)+1,Premium!$A$21:$D$21,0))</f>
        <v>0.28999999999999998</v>
      </c>
      <c r="I78" s="178" t="s">
        <v>130</v>
      </c>
      <c r="J78" s="181">
        <f ca="1">INDEX(Premium!$A$21:$D$29,MATCH(MAIN!$A76,Premium!$A$21:$A$29,0),MATCH(EOMONTH(MAIN!J97,-1)+1,Premium!$A$21:$D$21,0))</f>
        <v>0.28999999999999998</v>
      </c>
      <c r="K78" s="181">
        <f ca="1">INDEX(Premium!$A$21:$D$29,MATCH(MAIN!$A76,Premium!$A$21:$A$29,0),MATCH(EOMONTH(MAIN!K97,-1)+1,Premium!$A$21:$D$21,0))</f>
        <v>0.28999999999999998</v>
      </c>
      <c r="L78" s="180">
        <f ca="1">INDEX(Premium!$A$21:$D$29,MATCH(MAIN!$A76,Premium!$A$21:$A$29,0),MATCH(EOMONTH(MAIN!L97,-1)+1,Premium!$A$21:$D$21,0))</f>
        <v>0.28999999999999998</v>
      </c>
      <c r="M78" s="154"/>
    </row>
    <row r="79" spans="1:13" hidden="1" outlineLevel="1" x14ac:dyDescent="0.25">
      <c r="A79" s="154"/>
      <c r="B79" s="154" t="s">
        <v>55</v>
      </c>
      <c r="C79" s="141">
        <f>INDEX('ROTT TO SING'!$A$8:$H$25,MATCH(MAIN!B79,'ROTT TO SING'!$A$8:$A$25,0),6)</f>
        <v>20.74074074074074</v>
      </c>
      <c r="D79" s="141">
        <f>INDEX('ROTT TO SING'!$A$8:$H$25,MATCH(MAIN!B79,'ROTT TO SING'!$A$8:$A$25,0),8)</f>
        <v>20.74074074074074</v>
      </c>
      <c r="E79" t="s">
        <v>55</v>
      </c>
      <c r="F79" s="141">
        <f>INDEX('ROTT TO SING'!$J$8:$S$25,MATCH(MAIN!E79,'ROTT TO SING'!$J$8:$J$25,0),6)</f>
        <v>34</v>
      </c>
      <c r="G79" s="141">
        <f>INDEX('ROTT TO SING'!$J$8:$S$25,MATCH(MAIN!E79,'ROTT TO SING'!$J$8:$J$25,0),8)</f>
        <v>34</v>
      </c>
      <c r="H79" s="141">
        <f>INDEX('ROTT TO SING'!$J$8:$S$25,MATCH(MAIN!E79,'ROTT TO SING'!$J$8:$J$25,0),10)</f>
        <v>34</v>
      </c>
      <c r="I79" t="s">
        <v>55</v>
      </c>
      <c r="J79" s="141">
        <f>INDEX('ROTT TO SING'!$U$8:$AD$25,MATCH(MAIN!I79,'ROTT TO AG'!$L$6:$L$23,0),6)</f>
        <v>46.938775510204081</v>
      </c>
      <c r="K79" s="141">
        <f>INDEX('ROTT TO SING'!$U$8:$AD$25,MATCH(MAIN!I79,'ROTT TO AG'!$L$6:$L$23,0),8)</f>
        <v>46.938775510204081</v>
      </c>
      <c r="L79" s="141">
        <f>INDEX('ROTT TO SING'!$U$8:$AD$25,MATCH(MAIN!I79,'ROTT TO AG'!$L$6:$L$23,0),10)</f>
        <v>46.938775510204081</v>
      </c>
      <c r="M79" s="154"/>
    </row>
    <row r="80" spans="1:13" hidden="1" outlineLevel="1" x14ac:dyDescent="0.25">
      <c r="A80" s="154"/>
      <c r="B80" s="154" t="s">
        <v>56</v>
      </c>
      <c r="C80" s="141">
        <f>INDEX('ROTT TO SING'!$A$8:$H$25,MATCH(MAIN!B80,'ROTT TO SING'!$A$8:$A$25,0),6)</f>
        <v>0</v>
      </c>
      <c r="D80" s="141">
        <f>INDEX('ROTT TO SING'!$A$8:$H$25,MATCH(MAIN!B80,'ROTT TO SING'!$A$8:$A$25,0),8)</f>
        <v>0</v>
      </c>
      <c r="E80" t="s">
        <v>56</v>
      </c>
      <c r="F80" s="141">
        <f>INDEX('ROTT TO SING'!$J$8:$S$25,MATCH(MAIN!E80,'ROTT TO SING'!$J$8:$J$25,0),6)</f>
        <v>0</v>
      </c>
      <c r="G80" s="141">
        <f>INDEX('ROTT TO SING'!$J$8:$S$25,MATCH(MAIN!E80,'ROTT TO SING'!$J$8:$J$25,0),8)</f>
        <v>0</v>
      </c>
      <c r="H80" s="141">
        <f>INDEX('ROTT TO SING'!$J$8:$S$25,MATCH(MAIN!E80,'ROTT TO SING'!$J$8:$J$25,0),10)</f>
        <v>0</v>
      </c>
      <c r="I80" t="s">
        <v>56</v>
      </c>
      <c r="J80" s="141">
        <f>INDEX('ROTT TO SING'!$U$8:$AD$25,MATCH(MAIN!I80,'ROTT TO AG'!$L$6:$L$23,0),6)</f>
        <v>0</v>
      </c>
      <c r="K80" s="141">
        <f>INDEX('ROTT TO SING'!$U$8:$AD$25,MATCH(MAIN!I80,'ROTT TO AG'!$L$6:$L$23,0),8)</f>
        <v>0</v>
      </c>
      <c r="L80" s="141">
        <f>INDEX('ROTT TO SING'!$U$8:$AD$25,MATCH(MAIN!I80,'ROTT TO AG'!$L$6:$L$23,0),10)</f>
        <v>0</v>
      </c>
      <c r="M80" s="154"/>
    </row>
    <row r="81" spans="1:13" hidden="1" outlineLevel="1" x14ac:dyDescent="0.25">
      <c r="A81" s="154"/>
      <c r="B81" s="154" t="s">
        <v>57</v>
      </c>
      <c r="C81" s="141">
        <f>INDEX('ROTT TO SING'!$A$8:$H$25,MATCH(MAIN!B81,'ROTT TO SING'!$A$8:$A$25,0),6)</f>
        <v>2.0370370370370372</v>
      </c>
      <c r="D81" s="141">
        <f>INDEX('ROTT TO SING'!$A$8:$H$25,MATCH(MAIN!B81,'ROTT TO SING'!$A$8:$A$25,0),8)</f>
        <v>2.0370370370370372</v>
      </c>
      <c r="E81" t="s">
        <v>57</v>
      </c>
      <c r="F81" s="141">
        <f>INDEX('ROTT TO SING'!$J$8:$S$25,MATCH(MAIN!E81,'ROTT TO SING'!$J$8:$J$25,0),6)</f>
        <v>2.6833333333333331</v>
      </c>
      <c r="G81" s="141">
        <f>INDEX('ROTT TO SING'!$J$8:$S$25,MATCH(MAIN!E81,'ROTT TO SING'!$J$8:$J$25,0),8)</f>
        <v>2.6833333333333331</v>
      </c>
      <c r="H81" s="141">
        <f>INDEX('ROTT TO SING'!$J$8:$S$25,MATCH(MAIN!E81,'ROTT TO SING'!$J$8:$J$25,0),10)</f>
        <v>2.6833333333333331</v>
      </c>
      <c r="I81" t="s">
        <v>57</v>
      </c>
      <c r="J81" s="141">
        <f>INDEX('ROTT TO SING'!$U$8:$AD$25,MATCH(MAIN!I81,'ROTT TO AG'!$L$6:$L$23,0),6)</f>
        <v>2.1683673469387754</v>
      </c>
      <c r="K81" s="141">
        <f>INDEX('ROTT TO SING'!$U$8:$AD$25,MATCH(MAIN!I81,'ROTT TO AG'!$L$6:$L$23,0),8)</f>
        <v>2.1683673469387754</v>
      </c>
      <c r="L81" s="141">
        <f>INDEX('ROTT TO SING'!$U$8:$AD$25,MATCH(MAIN!I81,'ROTT TO AG'!$L$6:$L$23,0),10)</f>
        <v>2.1683673469387754</v>
      </c>
      <c r="M81" s="154"/>
    </row>
    <row r="82" spans="1:13" hidden="1" outlineLevel="1" x14ac:dyDescent="0.25">
      <c r="A82" s="154"/>
      <c r="B82" s="154" t="s">
        <v>58</v>
      </c>
      <c r="C82" s="141">
        <f>INDEX('ROTT TO SING'!$A$8:$H$25,MATCH(MAIN!B82,'ROTT TO SING'!$A$8:$A$25,0),6)</f>
        <v>3.1481481481481478E-2</v>
      </c>
      <c r="D82" s="141">
        <f>INDEX('ROTT TO SING'!$A$8:$H$25,MATCH(MAIN!B82,'ROTT TO SING'!$A$8:$A$25,0),8)</f>
        <v>3.1481481481481478E-2</v>
      </c>
      <c r="E82" t="s">
        <v>58</v>
      </c>
      <c r="F82" s="141">
        <f>INDEX('ROTT TO SING'!$J$8:$S$25,MATCH(MAIN!E82,'ROTT TO SING'!$J$8:$J$25,0),6)</f>
        <v>5.6666666666666664E-2</v>
      </c>
      <c r="G82" s="141">
        <f>INDEX('ROTT TO SING'!$J$8:$S$25,MATCH(MAIN!E82,'ROTT TO SING'!$J$8:$J$25,0),8)</f>
        <v>5.6666666666666664E-2</v>
      </c>
      <c r="H82" s="141">
        <f>INDEX('ROTT TO SING'!$J$8:$S$25,MATCH(MAIN!E82,'ROTT TO SING'!$J$8:$J$25,0),10)</f>
        <v>5.6666666666666664E-2</v>
      </c>
      <c r="I82" t="s">
        <v>58</v>
      </c>
      <c r="J82" s="141">
        <f>INDEX('ROTT TO SING'!$U$8:$AD$25,MATCH(MAIN!I82,'ROTT TO AG'!$L$6:$L$23,0),6)</f>
        <v>8.673469387755102E-2</v>
      </c>
      <c r="K82" s="141">
        <f>INDEX('ROTT TO SING'!$U$8:$AD$25,MATCH(MAIN!I82,'ROTT TO AG'!$L$6:$L$23,0),8)</f>
        <v>8.673469387755102E-2</v>
      </c>
      <c r="L82" s="141">
        <f>INDEX('ROTT TO SING'!$U$8:$AD$25,MATCH(MAIN!I82,'ROTT TO AG'!$L$6:$L$23,0),10)</f>
        <v>8.673469387755102E-2</v>
      </c>
      <c r="M82" s="154"/>
    </row>
    <row r="83" spans="1:13" hidden="1" outlineLevel="1" x14ac:dyDescent="0.25">
      <c r="A83" s="154"/>
      <c r="B83" s="154" t="s">
        <v>127</v>
      </c>
      <c r="C83" s="141">
        <f>INDEX('ROTT TO SING'!$A$8:$H$25,MATCH(MAIN!B83,'ROTT TO SING'!$A$8:$A$25,0),6)</f>
        <v>9.2592592592592587E-2</v>
      </c>
      <c r="D83" s="141">
        <f>INDEX('ROTT TO SING'!$A$8:$H$25,MATCH(MAIN!B83,'ROTT TO SING'!$A$8:$A$25,0),8)</f>
        <v>9.2592592592592587E-2</v>
      </c>
      <c r="E83" t="s">
        <v>127</v>
      </c>
      <c r="F83" s="141">
        <f>INDEX('ROTT TO SING'!$J$8:$S$25,MATCH(MAIN!E83,'ROTT TO SING'!$J$8:$J$25,0),6)</f>
        <v>0.16666666666666666</v>
      </c>
      <c r="G83" s="141">
        <f>INDEX('ROTT TO SING'!$J$8:$S$25,MATCH(MAIN!E83,'ROTT TO SING'!$J$8:$J$25,0),8)</f>
        <v>0.16666666666666666</v>
      </c>
      <c r="H83" s="141">
        <f>INDEX('ROTT TO SING'!$J$8:$S$25,MATCH(MAIN!E83,'ROTT TO SING'!$J$8:$J$25,0),10)</f>
        <v>0.16666666666666666</v>
      </c>
      <c r="I83" t="s">
        <v>127</v>
      </c>
      <c r="J83" s="141">
        <f>INDEX('ROTT TO SING'!$U$8:$AD$25,MATCH(MAIN!I83,'ROTT TO AG'!$L$6:$L$23,0),6)</f>
        <v>0.25510204081632654</v>
      </c>
      <c r="K83" s="141">
        <f>INDEX('ROTT TO SING'!$U$8:$AD$25,MATCH(MAIN!I83,'ROTT TO AG'!$L$6:$L$23,0),8)</f>
        <v>0.25510204081632654</v>
      </c>
      <c r="L83" s="141">
        <f>INDEX('ROTT TO SING'!$U$8:$AD$25,MATCH(MAIN!I83,'ROTT TO AG'!$L$6:$L$23,0),10)</f>
        <v>0.25510204081632654</v>
      </c>
      <c r="M83" s="154"/>
    </row>
    <row r="84" spans="1:13" hidden="1" outlineLevel="1" x14ac:dyDescent="0.25">
      <c r="A84" s="154"/>
      <c r="B84" s="154" t="s">
        <v>128</v>
      </c>
      <c r="C84" s="141">
        <f>INDEX('ROTT TO SING'!$A$8:$H$25,MATCH(MAIN!B84,'ROTT TO SING'!$A$8:$A$25,0),6)</f>
        <v>9.2592592592592587E-2</v>
      </c>
      <c r="D84" s="141">
        <f>INDEX('ROTT TO SING'!$A$8:$H$25,MATCH(MAIN!B84,'ROTT TO SING'!$A$8:$A$25,0),8)</f>
        <v>9.2592592592592587E-2</v>
      </c>
      <c r="E84" t="s">
        <v>128</v>
      </c>
      <c r="F84" s="141">
        <f>INDEX('ROTT TO SING'!$J$8:$S$25,MATCH(MAIN!E84,'ROTT TO SING'!$J$8:$J$25,0),6)</f>
        <v>0.16666666666666666</v>
      </c>
      <c r="G84" s="141">
        <f>INDEX('ROTT TO SING'!$J$8:$S$25,MATCH(MAIN!E84,'ROTT TO SING'!$J$8:$J$25,0),8)</f>
        <v>0.16666666666666666</v>
      </c>
      <c r="H84" s="141">
        <f>INDEX('ROTT TO SING'!$J$8:$S$25,MATCH(MAIN!E84,'ROTT TO SING'!$J$8:$J$25,0),10)</f>
        <v>0.16666666666666666</v>
      </c>
      <c r="I84" t="s">
        <v>128</v>
      </c>
      <c r="J84" s="141">
        <f>INDEX('ROTT TO SING'!$U$8:$AD$25,MATCH(MAIN!I84,'ROTT TO AG'!$L$6:$L$23,0),6)</f>
        <v>0.25510204081632654</v>
      </c>
      <c r="K84" s="141">
        <f>INDEX('ROTT TO SING'!$U$8:$AD$25,MATCH(MAIN!I84,'ROTT TO AG'!$L$6:$L$23,0),8)</f>
        <v>0.25510204081632654</v>
      </c>
      <c r="L84" s="141">
        <f>INDEX('ROTT TO SING'!$U$8:$AD$25,MATCH(MAIN!I84,'ROTT TO AG'!$L$6:$L$23,0),10)</f>
        <v>0.25510204081632654</v>
      </c>
      <c r="M84" s="154"/>
    </row>
    <row r="85" spans="1:13" hidden="1" outlineLevel="1" x14ac:dyDescent="0.25">
      <c r="A85" s="154"/>
      <c r="B85" s="154" t="s">
        <v>83</v>
      </c>
      <c r="C85" s="141">
        <f ca="1">INDEX('ROTT TO SING'!$A$8:$H$25,MATCH(MAIN!B85,'ROTT TO SING'!$A$8:$A$25,0),6)</f>
        <v>4.0907787328767116</v>
      </c>
      <c r="D85" s="141">
        <f ca="1">INDEX('ROTT TO SING'!$A$8:$H$25,MATCH(MAIN!B85,'ROTT TO SING'!$A$8:$A$25,0),8)</f>
        <v>4.0907787328767116</v>
      </c>
      <c r="E85" t="s">
        <v>83</v>
      </c>
      <c r="F85" s="141">
        <f ca="1">INDEX('ROTT TO SING'!$J$8:$S$25,MATCH(MAIN!E85,'ROTT TO SING'!$J$8:$J$25,0),6)</f>
        <v>4.0907787328767116</v>
      </c>
      <c r="G85" s="141">
        <f ca="1">INDEX('ROTT TO SING'!$J$8:$S$25,MATCH(MAIN!E85,'ROTT TO SING'!$J$8:$J$25,0),8)</f>
        <v>4.0907787328767116</v>
      </c>
      <c r="H85" s="141">
        <f ca="1">INDEX('ROTT TO SING'!$J$8:$S$25,MATCH(MAIN!E85,'ROTT TO SING'!$J$8:$J$25,0),10)</f>
        <v>4.0500938013698624</v>
      </c>
      <c r="I85" t="s">
        <v>83</v>
      </c>
      <c r="J85" s="141">
        <f ca="1">INDEX('ROTT TO SING'!$U$8:$AD$25,MATCH(MAIN!I85,'ROTT TO AG'!$L$6:$L$23,0),6)</f>
        <v>4.0907787328767116</v>
      </c>
      <c r="K85" s="141">
        <f ca="1">INDEX('ROTT TO SING'!$U$8:$AD$25,MATCH(MAIN!I85,'ROTT TO AG'!$L$6:$L$23,0),8)</f>
        <v>4.0907787328767116</v>
      </c>
      <c r="L85" s="141">
        <f ca="1">INDEX('ROTT TO SING'!$U$8:$AD$25,MATCH(MAIN!I85,'ROTT TO AG'!$L$6:$L$23,0),10)</f>
        <v>4.0500938013698624</v>
      </c>
      <c r="M85" s="154"/>
    </row>
    <row r="86" spans="1:13" hidden="1" outlineLevel="1" x14ac:dyDescent="0.25">
      <c r="A86" s="154"/>
      <c r="B86" s="154" t="s">
        <v>59</v>
      </c>
      <c r="C86" s="141">
        <f>INDEX('ROTT TO SING'!$A$8:$H$25,MATCH(MAIN!B86,'ROTT TO SING'!$A$8:$A$25,0),6)</f>
        <v>0</v>
      </c>
      <c r="D86" s="141">
        <f>INDEX('ROTT TO SING'!$A$8:$H$25,MATCH(MAIN!B86,'ROTT TO SING'!$A$8:$A$25,0),8)</f>
        <v>0</v>
      </c>
      <c r="E86" t="s">
        <v>59</v>
      </c>
      <c r="F86" s="141">
        <f>INDEX('ROTT TO SING'!$J$8:$S$25,MATCH(MAIN!E86,'ROTT TO SING'!$J$8:$J$25,0),6)</f>
        <v>0</v>
      </c>
      <c r="G86" s="141">
        <f>INDEX('ROTT TO SING'!$J$8:$S$25,MATCH(MAIN!E86,'ROTT TO SING'!$J$8:$J$25,0),8)</f>
        <v>0</v>
      </c>
      <c r="H86" s="141">
        <f>INDEX('ROTT TO SING'!$J$8:$S$25,MATCH(MAIN!E86,'ROTT TO SING'!$J$8:$J$25,0),10)</f>
        <v>0</v>
      </c>
      <c r="I86" t="s">
        <v>59</v>
      </c>
      <c r="J86" s="141">
        <f>INDEX('ROTT TO SING'!$U$8:$AD$25,MATCH(MAIN!I86,'ROTT TO AG'!$L$6:$L$23,0),6)</f>
        <v>0</v>
      </c>
      <c r="K86" s="141">
        <f>INDEX('ROTT TO SING'!$U$8:$AD$25,MATCH(MAIN!I86,'ROTT TO AG'!$L$6:$L$23,0),8)</f>
        <v>0</v>
      </c>
      <c r="L86" s="141">
        <f>INDEX('ROTT TO SING'!$U$8:$AD$25,MATCH(MAIN!I86,'ROTT TO AG'!$L$6:$L$23,0),10)</f>
        <v>0</v>
      </c>
      <c r="M86" s="154"/>
    </row>
    <row r="87" spans="1:13" hidden="1" outlineLevel="1" x14ac:dyDescent="0.25">
      <c r="A87" s="154"/>
      <c r="B87" s="154" t="s">
        <v>60</v>
      </c>
      <c r="C87" s="141">
        <f ca="1">INDEX('ROTT TO SING'!$A$8:$H$25,MATCH(MAIN!B87,'ROTT TO SING'!$A$8:$A$25,0),6)</f>
        <v>0.33934869034090903</v>
      </c>
      <c r="D87" s="141">
        <f ca="1">INDEX('ROTT TO SING'!$A$8:$H$25,MATCH(MAIN!B87,'ROTT TO SING'!$A$8:$A$25,0),8)</f>
        <v>0.33934869034090903</v>
      </c>
      <c r="E87" t="s">
        <v>60</v>
      </c>
      <c r="F87" s="141">
        <f ca="1">INDEX('ROTT TO SING'!$J$8:$S$25,MATCH(MAIN!E87,'ROTT TO SING'!$J$8:$J$25,0),6)</f>
        <v>0.33934869034090903</v>
      </c>
      <c r="G87" s="141">
        <f ca="1">INDEX('ROTT TO SING'!$J$8:$S$25,MATCH(MAIN!E87,'ROTT TO SING'!$J$8:$J$25,0),8)</f>
        <v>0.33934869034090903</v>
      </c>
      <c r="H87" s="141">
        <f ca="1">INDEX('ROTT TO SING'!$J$8:$S$25,MATCH(MAIN!E87,'ROTT TO SING'!$J$8:$J$25,0),10)</f>
        <v>0.33597369034090907</v>
      </c>
      <c r="I87" t="s">
        <v>60</v>
      </c>
      <c r="J87" s="141">
        <f ca="1">INDEX('ROTT TO SING'!$U$8:$AD$25,MATCH(MAIN!I87,'ROTT TO AG'!$L$6:$L$23,0),6)</f>
        <v>0.33934869034090903</v>
      </c>
      <c r="K87" s="141">
        <f ca="1">INDEX('ROTT TO SING'!$U$8:$AD$25,MATCH(MAIN!I87,'ROTT TO AG'!$L$6:$L$23,0),8)</f>
        <v>0.33934869034090903</v>
      </c>
      <c r="L87" s="141">
        <f ca="1">INDEX('ROTT TO SING'!$U$8:$AD$25,MATCH(MAIN!I87,'ROTT TO AG'!$L$6:$L$23,0),10)</f>
        <v>0.33597369034090907</v>
      </c>
      <c r="M87" s="154"/>
    </row>
    <row r="88" spans="1:13" hidden="1" outlineLevel="1" x14ac:dyDescent="0.25">
      <c r="A88" s="154"/>
      <c r="B88" s="154" t="s">
        <v>61</v>
      </c>
      <c r="C88" s="141">
        <f ca="1">INDEX('ROTT TO SING'!$A$8:$H$25,MATCH(MAIN!B88,'ROTT TO SING'!$A$8:$A$25,0),6)</f>
        <v>1.1797500000000001</v>
      </c>
      <c r="D88" s="141">
        <f ca="1">INDEX('ROTT TO SING'!$A$8:$H$25,MATCH(MAIN!B88,'ROTT TO SING'!$A$8:$A$25,0),8)</f>
        <v>1.1692500000000001</v>
      </c>
      <c r="E88" t="s">
        <v>61</v>
      </c>
      <c r="F88" s="141">
        <f ca="1">INDEX('ROTT TO SING'!$J$8:$S$25,MATCH(MAIN!E88,'ROTT TO SING'!$J$8:$J$25,0),6)</f>
        <v>1.1812500000000001</v>
      </c>
      <c r="G88" s="141">
        <f ca="1">INDEX('ROTT TO SING'!$J$8:$S$25,MATCH(MAIN!E88,'ROTT TO SING'!$J$8:$J$25,0),8)</f>
        <v>1.1797500000000001</v>
      </c>
      <c r="H88" s="141">
        <f ca="1">INDEX('ROTT TO SING'!$J$8:$S$25,MATCH(MAIN!E88,'ROTT TO SING'!$J$8:$J$25,0),10)</f>
        <v>1.1797500000000001</v>
      </c>
      <c r="I88" t="s">
        <v>61</v>
      </c>
      <c r="J88" s="141">
        <f ca="1">INDEX('ROTT TO SING'!$U$8:$AD$25,MATCH(MAIN!I88,'ROTT TO AG'!$L$6:$L$23,0),6)</f>
        <v>1.1812500000000001</v>
      </c>
      <c r="K88" s="141">
        <f ca="1">INDEX('ROTT TO SING'!$U$8:$AD$25,MATCH(MAIN!I88,'ROTT TO AG'!$L$6:$L$23,0),8)</f>
        <v>1.1797500000000001</v>
      </c>
      <c r="L88" s="141">
        <f ca="1">INDEX('ROTT TO SING'!$U$8:$AD$25,MATCH(MAIN!I88,'ROTT TO AG'!$L$6:$L$23,0),10)</f>
        <v>1.1797500000000001</v>
      </c>
      <c r="M88" s="154"/>
    </row>
    <row r="89" spans="1:13" hidden="1" outlineLevel="1" x14ac:dyDescent="0.25">
      <c r="A89" s="154"/>
      <c r="B89" s="154" t="s">
        <v>62</v>
      </c>
      <c r="C89" s="141">
        <f>INDEX('ROTT TO SING'!$A$8:$H$25,MATCH(MAIN!B89,'ROTT TO SING'!$A$8:$A$25,0),6)</f>
        <v>4.6296296296296294E-2</v>
      </c>
      <c r="D89" s="141">
        <f>INDEX('ROTT TO SING'!$A$8:$H$25,MATCH(MAIN!B89,'ROTT TO SING'!$A$8:$A$25,0),8)</f>
        <v>4.6296296296296294E-2</v>
      </c>
      <c r="E89" t="s">
        <v>62</v>
      </c>
      <c r="F89" s="141">
        <f>INDEX('ROTT TO SING'!$J$8:$S$25,MATCH(MAIN!E89,'ROTT TO SING'!$J$8:$J$25,0),6)</f>
        <v>8.3333333333333329E-2</v>
      </c>
      <c r="G89" s="141">
        <f>INDEX('ROTT TO SING'!$J$8:$S$25,MATCH(MAIN!E89,'ROTT TO SING'!$J$8:$J$25,0),8)</f>
        <v>8.3333333333333329E-2</v>
      </c>
      <c r="H89" s="141">
        <f>INDEX('ROTT TO SING'!$J$8:$S$25,MATCH(MAIN!E89,'ROTT TO SING'!$J$8:$J$25,0),10)</f>
        <v>8.3333333333333329E-2</v>
      </c>
      <c r="I89" t="s">
        <v>62</v>
      </c>
      <c r="J89" s="141">
        <f>INDEX('ROTT TO SING'!$U$8:$AD$25,MATCH(MAIN!I89,'ROTT TO AG'!$L$6:$L$23,0),6)</f>
        <v>0.12755102040816327</v>
      </c>
      <c r="K89" s="141">
        <f>INDEX('ROTT TO SING'!$U$8:$AD$25,MATCH(MAIN!I89,'ROTT TO AG'!$L$6:$L$23,0),8)</f>
        <v>0.12755102040816327</v>
      </c>
      <c r="L89" s="141">
        <f>INDEX('ROTT TO SING'!$U$8:$AD$25,MATCH(MAIN!I89,'ROTT TO AG'!$L$6:$L$23,0),10)</f>
        <v>0.12755102040816327</v>
      </c>
      <c r="M89" s="154"/>
    </row>
    <row r="90" spans="1:13" hidden="1" outlineLevel="1" x14ac:dyDescent="0.25">
      <c r="A90" s="154"/>
      <c r="B90" s="154" t="s">
        <v>63</v>
      </c>
      <c r="C90" s="141">
        <f>INDEX('ROTT TO SING'!$A$8:$H$25,MATCH(MAIN!B90,'ROTT TO SING'!$A$8:$A$25,0),6)</f>
        <v>4.6296296296296294E-3</v>
      </c>
      <c r="D90" s="141">
        <f>INDEX('ROTT TO SING'!$A$8:$H$25,MATCH(MAIN!B90,'ROTT TO SING'!$A$8:$A$25,0),8)</f>
        <v>4.6296296296296294E-3</v>
      </c>
      <c r="E90" t="s">
        <v>63</v>
      </c>
      <c r="F90" s="141">
        <f>INDEX('ROTT TO SING'!$J$8:$S$25,MATCH(MAIN!E90,'ROTT TO SING'!$J$8:$J$25,0),6)</f>
        <v>8.3333333333333332E-3</v>
      </c>
      <c r="G90" s="141">
        <f>INDEX('ROTT TO SING'!$J$8:$S$25,MATCH(MAIN!E90,'ROTT TO SING'!$J$8:$J$25,0),8)</f>
        <v>8.3333333333333332E-3</v>
      </c>
      <c r="H90" s="141">
        <f>INDEX('ROTT TO SING'!$J$8:$S$25,MATCH(MAIN!E90,'ROTT TO SING'!$J$8:$J$25,0),10)</f>
        <v>8.3333333333333332E-3</v>
      </c>
      <c r="I90" t="s">
        <v>63</v>
      </c>
      <c r="J90" s="141">
        <f>INDEX('ROTT TO SING'!$U$8:$AD$25,MATCH(MAIN!I90,'ROTT TO AG'!$L$6:$L$23,0),6)</f>
        <v>1.2755102040816327E-2</v>
      </c>
      <c r="K90" s="141">
        <f>INDEX('ROTT TO SING'!$U$8:$AD$25,MATCH(MAIN!I90,'ROTT TO AG'!$L$6:$L$23,0),8)</f>
        <v>1.2755102040816327E-2</v>
      </c>
      <c r="L90" s="141">
        <f>INDEX('ROTT TO SING'!$U$8:$AD$25,MATCH(MAIN!I90,'ROTT TO AG'!$L$6:$L$23,0),10)</f>
        <v>1.2755102040816327E-2</v>
      </c>
      <c r="M90" s="154"/>
    </row>
    <row r="91" spans="1:13" hidden="1" outlineLevel="1" x14ac:dyDescent="0.25">
      <c r="A91" s="154"/>
      <c r="B91" s="154" t="s">
        <v>64</v>
      </c>
      <c r="C91" s="141">
        <f>INDEX('ROTT TO SING'!$A$8:$H$25,MATCH(MAIN!B91,'ROTT TO SING'!$A$8:$A$25,0),6)</f>
        <v>4.6296296296296294E-3</v>
      </c>
      <c r="D91" s="141">
        <f>INDEX('ROTT TO SING'!$A$8:$H$25,MATCH(MAIN!B91,'ROTT TO SING'!$A$8:$A$25,0),8)</f>
        <v>4.6296296296296294E-3</v>
      </c>
      <c r="E91" t="s">
        <v>64</v>
      </c>
      <c r="F91" s="141">
        <f>INDEX('ROTT TO SING'!$J$8:$S$25,MATCH(MAIN!E91,'ROTT TO SING'!$J$8:$J$25,0),6)</f>
        <v>8.3333333333333332E-3</v>
      </c>
      <c r="G91" s="141">
        <f>INDEX('ROTT TO SING'!$J$8:$S$25,MATCH(MAIN!E91,'ROTT TO SING'!$J$8:$J$25,0),8)</f>
        <v>8.3333333333333332E-3</v>
      </c>
      <c r="H91" s="141">
        <f>INDEX('ROTT TO SING'!$J$8:$S$25,MATCH(MAIN!E91,'ROTT TO SING'!$J$8:$J$25,0),10)</f>
        <v>8.3333333333333332E-3</v>
      </c>
      <c r="I91" t="s">
        <v>64</v>
      </c>
      <c r="J91" s="141">
        <f>INDEX('ROTT TO SING'!$U$8:$AD$25,MATCH(MAIN!I91,'ROTT TO AG'!$L$6:$L$23,0),6)</f>
        <v>1.2755102040816327E-2</v>
      </c>
      <c r="K91" s="141">
        <f>INDEX('ROTT TO SING'!$U$8:$AD$25,MATCH(MAIN!I91,'ROTT TO AG'!$L$6:$L$23,0),8)</f>
        <v>1.2755102040816327E-2</v>
      </c>
      <c r="L91" s="141">
        <f>INDEX('ROTT TO SING'!$U$8:$AD$25,MATCH(MAIN!I91,'ROTT TO AG'!$L$6:$L$23,0),10)</f>
        <v>1.2755102040816327E-2</v>
      </c>
      <c r="M91" s="154"/>
    </row>
    <row r="92" spans="1:13" hidden="1" outlineLevel="1" x14ac:dyDescent="0.25">
      <c r="A92" s="154"/>
      <c r="B92" s="154" t="s">
        <v>65</v>
      </c>
      <c r="C92" s="141">
        <f>INDEX('ROTT TO SING'!$A$8:$H$25,MATCH(MAIN!B92,'ROTT TO SING'!$A$8:$A$25,0),6)</f>
        <v>7.407407407407407E-2</v>
      </c>
      <c r="D92" s="141">
        <f>INDEX('ROTT TO SING'!$A$8:$H$25,MATCH(MAIN!B92,'ROTT TO SING'!$A$8:$A$25,0),8)</f>
        <v>7.407407407407407E-2</v>
      </c>
      <c r="E92" t="s">
        <v>65</v>
      </c>
      <c r="F92" s="141">
        <f>INDEX('ROTT TO SING'!$J$8:$S$25,MATCH(MAIN!E92,'ROTT TO SING'!$J$8:$J$25,0),6)</f>
        <v>0.1</v>
      </c>
      <c r="G92" s="141">
        <f>INDEX('ROTT TO SING'!$J$8:$S$25,MATCH(MAIN!E92,'ROTT TO SING'!$J$8:$J$25,0),8)</f>
        <v>0.1</v>
      </c>
      <c r="H92" s="141">
        <f>INDEX('ROTT TO SING'!$J$8:$S$25,MATCH(MAIN!E92,'ROTT TO SING'!$J$8:$J$25,0),10)</f>
        <v>0.1</v>
      </c>
      <c r="I92" t="s">
        <v>65</v>
      </c>
      <c r="J92" s="141">
        <f>INDEX('ROTT TO SING'!$U$8:$AD$25,MATCH(MAIN!I92,'ROTT TO AG'!$L$6:$L$23,0),6)</f>
        <v>0.15306122448979592</v>
      </c>
      <c r="K92" s="141">
        <f>INDEX('ROTT TO SING'!$U$8:$AD$25,MATCH(MAIN!I92,'ROTT TO AG'!$L$6:$L$23,0),8)</f>
        <v>0.15306122448979592</v>
      </c>
      <c r="L92" s="141">
        <f>INDEX('ROTT TO SING'!$U$8:$AD$25,MATCH(MAIN!I92,'ROTT TO AG'!$L$6:$L$23,0),10)</f>
        <v>0.15306122448979592</v>
      </c>
      <c r="M92" s="154"/>
    </row>
    <row r="93" spans="1:13" hidden="1" outlineLevel="1" x14ac:dyDescent="0.25">
      <c r="A93" s="154"/>
      <c r="B93" s="154" t="s">
        <v>66</v>
      </c>
      <c r="C93" s="141">
        <f>INDEX('ROTT TO SING'!$A$8:$H$25,MATCH(MAIN!B93,'ROTT TO SING'!$A$8:$A$25,0),6)</f>
        <v>3.7037037037037035E-2</v>
      </c>
      <c r="D93" s="141">
        <f>INDEX('ROTT TO SING'!$A$8:$H$25,MATCH(MAIN!B93,'ROTT TO SING'!$A$8:$A$25,0),8)</f>
        <v>3.7037037037037035E-2</v>
      </c>
      <c r="E93" t="s">
        <v>66</v>
      </c>
      <c r="F93" s="141">
        <f>INDEX('ROTT TO SING'!$J$8:$S$25,MATCH(MAIN!E93,'ROTT TO SING'!$J$8:$J$25,0),6)</f>
        <v>6.6666666666666666E-2</v>
      </c>
      <c r="G93" s="141">
        <f>INDEX('ROTT TO SING'!$J$8:$S$25,MATCH(MAIN!E93,'ROTT TO SING'!$J$8:$J$25,0),8)</f>
        <v>6.6666666666666666E-2</v>
      </c>
      <c r="H93" s="141">
        <f>INDEX('ROTT TO SING'!$J$8:$S$25,MATCH(MAIN!E93,'ROTT TO SING'!$J$8:$J$25,0),10)</f>
        <v>6.6666666666666666E-2</v>
      </c>
      <c r="I93" t="s">
        <v>66</v>
      </c>
      <c r="J93" s="141">
        <f>INDEX('ROTT TO SING'!$U$8:$AD$25,MATCH(MAIN!I93,'ROTT TO AG'!$L$6:$L$23,0),6)</f>
        <v>0.10204081632653061</v>
      </c>
      <c r="K93" s="141">
        <f>INDEX('ROTT TO SING'!$U$8:$AD$25,MATCH(MAIN!I93,'ROTT TO AG'!$L$6:$L$23,0),8)</f>
        <v>0.10204081632653061</v>
      </c>
      <c r="L93" s="141">
        <f>INDEX('ROTT TO SING'!$U$8:$AD$25,MATCH(MAIN!I93,'ROTT TO AG'!$L$6:$L$23,0),10)</f>
        <v>0.10204081632653061</v>
      </c>
      <c r="M93" s="154"/>
    </row>
    <row r="94" spans="1:13" hidden="1" outlineLevel="1" x14ac:dyDescent="0.25">
      <c r="A94" s="154"/>
      <c r="B94" s="154" t="s">
        <v>102</v>
      </c>
      <c r="C94" s="141">
        <f ca="1">INDEX('ROTT TO SING'!$A$8:$H$25,MATCH(MAIN!B94,'ROTT TO SING'!$A$8:$A$25,0),6)</f>
        <v>28.77098853432873</v>
      </c>
      <c r="D94" s="141">
        <f ca="1">INDEX('ROTT TO SING'!$A$8:$H$25,MATCH(MAIN!B94,'ROTT TO SING'!$A$8:$A$25,0),8)</f>
        <v>28.760488534328733</v>
      </c>
      <c r="E94" t="s">
        <v>102</v>
      </c>
      <c r="F94" s="141">
        <f ca="1">INDEX('ROTT TO SING'!$J$8:$S$25,MATCH(MAIN!E94,'ROTT TO SING'!$J$8:$J$25,0),6)</f>
        <v>42.951377423217615</v>
      </c>
      <c r="G94" s="141">
        <f ca="1">INDEX('ROTT TO SING'!$J$8:$S$25,MATCH(MAIN!E94,'ROTT TO SING'!$J$8:$J$25,0),8)</f>
        <v>42.949877423217615</v>
      </c>
      <c r="H94" s="141">
        <f ca="1">INDEX('ROTT TO SING'!$J$8:$S$25,MATCH(MAIN!E94,'ROTT TO SING'!$J$8:$J$25,0),10)</f>
        <v>42.905817491710764</v>
      </c>
      <c r="I94" t="s">
        <v>102</v>
      </c>
      <c r="J94" s="141">
        <f ca="1">INDEX('ROTT TO SING'!$U$8:$AD$25,MATCH(MAIN!I94,'ROTT TO AG'!$L$6:$L$23,0),6)</f>
        <v>55.723622321176791</v>
      </c>
      <c r="K94" s="141">
        <f ca="1">INDEX('ROTT TO SING'!$U$8:$AD$25,MATCH(MAIN!I94,'ROTT TO AG'!$L$6:$L$23,0),8)</f>
        <v>55.722122321176791</v>
      </c>
      <c r="L94" s="141">
        <f ca="1">INDEX('ROTT TO SING'!$U$8:$AD$25,MATCH(MAIN!I94,'ROTT TO AG'!$L$6:$L$23,0),10)</f>
        <v>55.67806238966994</v>
      </c>
      <c r="M94" s="154"/>
    </row>
    <row r="95" spans="1:13" hidden="1" outlineLevel="1" x14ac:dyDescent="0.25">
      <c r="A95" s="154"/>
      <c r="B95" s="154" t="s">
        <v>103</v>
      </c>
      <c r="C95" s="141">
        <f ca="1">INDEX('ROTT TO SING'!$A$8:$H$25,MATCH(MAIN!B95,'ROTT TO SING'!$A$8:$A$25,0),6)</f>
        <v>29.617045454545476</v>
      </c>
      <c r="D95" s="141">
        <f ca="1">INDEX('ROTT TO SING'!$A$8:$H$25,MATCH(MAIN!B95,'ROTT TO SING'!$A$8:$A$25,0),8)</f>
        <v>30.336742424242448</v>
      </c>
      <c r="E95" t="s">
        <v>103</v>
      </c>
      <c r="F95" s="141">
        <f ca="1">INDEX('ROTT TO SING'!$J$8:$S$25,MATCH(MAIN!E95,'ROTT TO SING'!$J$8:$J$25,0),6)</f>
        <v>28.662500000000023</v>
      </c>
      <c r="G95" s="141">
        <f ca="1">INDEX('ROTT TO SING'!$J$8:$S$25,MATCH(MAIN!E95,'ROTT TO SING'!$J$8:$J$25,0),8)</f>
        <v>29.537500000000023</v>
      </c>
      <c r="H95" s="141">
        <f ca="1">INDEX('ROTT TO SING'!$J$8:$S$25,MATCH(MAIN!E95,'ROTT TO SING'!$J$8:$J$25,0),10)</f>
        <v>30.412500000000023</v>
      </c>
      <c r="I95" t="s">
        <v>103</v>
      </c>
      <c r="J95" s="141">
        <f ca="1">INDEX('ROTT TO SING'!$U$8:$AD$25,MATCH(MAIN!I95,'ROTT TO AG'!$L$6:$L$23,0),6)</f>
        <v>28.662500000000023</v>
      </c>
      <c r="K95" s="141">
        <f ca="1">INDEX('ROTT TO SING'!$U$8:$AD$25,MATCH(MAIN!I95,'ROTT TO AG'!$L$6:$L$23,0),8)</f>
        <v>29.537500000000023</v>
      </c>
      <c r="L95" s="141">
        <f ca="1">INDEX('ROTT TO SING'!$U$8:$AD$25,MATCH(MAIN!I95,'ROTT TO AG'!$L$6:$L$23,0),10)</f>
        <v>30.412500000000023</v>
      </c>
      <c r="M95" s="154"/>
    </row>
    <row r="96" spans="1:13" hidden="1" outlineLevel="1" x14ac:dyDescent="0.25">
      <c r="A96" s="154"/>
      <c r="B96" s="154" t="s">
        <v>115</v>
      </c>
      <c r="C96" s="141">
        <f ca="1">INDEX('ROTT TO SING'!$A$8:$H$25,MATCH(MAIN!B96,'ROTT TO SING'!$A$8:$A$25,0),6)</f>
        <v>0.84605692021674628</v>
      </c>
      <c r="D96" s="141">
        <f ca="1">INDEX('ROTT TO SING'!$A$8:$H$25,MATCH(MAIN!B96,'ROTT TO SING'!$A$8:$A$25,0),8)</f>
        <v>1.5762538899137155</v>
      </c>
      <c r="E96" t="s">
        <v>115</v>
      </c>
      <c r="F96" s="141">
        <f ca="1">INDEX('ROTT TO SING'!$J$8:$S$25,MATCH(MAIN!E96,'ROTT TO SING'!$J$8:$J$25,0),6)</f>
        <v>-14.288877423217592</v>
      </c>
      <c r="G96" s="141">
        <f ca="1">INDEX('ROTT TO SING'!$J$8:$S$25,MATCH(MAIN!E96,'ROTT TO SING'!$J$8:$J$25,0),8)</f>
        <v>-13.412377423217592</v>
      </c>
      <c r="H96" s="141">
        <f ca="1">INDEX('ROTT TO SING'!$J$8:$S$25,MATCH(MAIN!E96,'ROTT TO SING'!$J$8:$J$25,0),10)</f>
        <v>-12.493317491710741</v>
      </c>
      <c r="I96" t="s">
        <v>115</v>
      </c>
      <c r="J96" s="141">
        <f ca="1">INDEX('ROTT TO SING'!$U$8:$AD$25,MATCH(MAIN!I96,'ROTT TO AG'!$L$6:$L$23,0),6)</f>
        <v>-27.061122321176768</v>
      </c>
      <c r="K96" s="141">
        <f ca="1">INDEX('ROTT TO SING'!$U$8:$AD$25,MATCH(MAIN!I96,'ROTT TO AG'!$L$6:$L$23,0),8)</f>
        <v>-26.184622321176768</v>
      </c>
      <c r="L96" s="141">
        <f ca="1">INDEX('ROTT TO SING'!$U$8:$AD$25,MATCH(MAIN!I96,'ROTT TO AG'!$L$6:$L$23,0),10)</f>
        <v>-25.265562389669917</v>
      </c>
      <c r="M96" s="154"/>
    </row>
    <row r="97" spans="1:13" hidden="1" outlineLevel="1" x14ac:dyDescent="0.25">
      <c r="A97" s="154"/>
      <c r="B97" s="154" t="s">
        <v>129</v>
      </c>
      <c r="C97" s="146">
        <f ca="1">C75</f>
        <v>45910</v>
      </c>
      <c r="D97" s="146">
        <f ca="1">D75</f>
        <v>45924</v>
      </c>
      <c r="E97" t="s">
        <v>129</v>
      </c>
      <c r="F97" s="146">
        <f ca="1">F75</f>
        <v>45903</v>
      </c>
      <c r="G97" s="146">
        <f ca="1">G75</f>
        <v>45917</v>
      </c>
      <c r="H97" s="146">
        <f ca="1">H75</f>
        <v>45931</v>
      </c>
      <c r="I97" t="s">
        <v>129</v>
      </c>
      <c r="J97" s="146">
        <f ca="1">J75</f>
        <v>45903</v>
      </c>
      <c r="K97" s="146">
        <f ca="1">K75</f>
        <v>45944</v>
      </c>
      <c r="L97" s="146">
        <f ca="1">L75</f>
        <v>45958</v>
      </c>
      <c r="M97" s="154"/>
    </row>
    <row r="98" spans="1:13" collapsed="1" x14ac:dyDescent="0.25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</row>
    <row r="99" spans="1:13" ht="15.75" hidden="1" thickBot="1" x14ac:dyDescent="0.3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</row>
    <row r="100" spans="1:13" ht="15.75" hidden="1" thickBot="1" x14ac:dyDescent="0.3">
      <c r="A100" s="457" t="s">
        <v>138</v>
      </c>
      <c r="B100" s="154"/>
      <c r="C100" s="458"/>
      <c r="D100" s="459"/>
      <c r="E100" s="139"/>
      <c r="F100" s="460" t="s">
        <v>132</v>
      </c>
      <c r="G100" s="461"/>
      <c r="H100" s="462"/>
      <c r="I100" s="139"/>
      <c r="J100" s="460" t="s">
        <v>133</v>
      </c>
      <c r="K100" s="461"/>
      <c r="L100" s="462"/>
      <c r="M100" s="154"/>
    </row>
    <row r="101" spans="1:13" ht="15.75" hidden="1" thickBot="1" x14ac:dyDescent="0.3">
      <c r="A101" s="457"/>
      <c r="B101" s="198" t="s">
        <v>134</v>
      </c>
      <c r="C101" s="186"/>
      <c r="D101" s="187"/>
      <c r="E101" s="139"/>
      <c r="F101" s="195" t="str">
        <f ca="1">IF(DAY(F102)&lt;15,"1H-"&amp;VLOOKUP(MONTH(F102),Mapping!$A$1:$B$12,2,0),"2H-"&amp;VLOOKUP(MONTH(F102),Mapping!$A$1:$B$12,2,0))</f>
        <v>2H-SEP</v>
      </c>
      <c r="G101" s="188" t="str">
        <f ca="1">IF(DAY(G102)&lt;15,"1H-"&amp;VLOOKUP(MONTH(G102),Mapping!$A$1:$B$12,2,0),"2H-"&amp;VLOOKUP(MONTH(G102),Mapping!$A$1:$B$12,2,0))</f>
        <v>1H-OCT</v>
      </c>
      <c r="H101" s="196" t="str">
        <f ca="1">IF(DAY(H102)&lt;15,"1H-"&amp;VLOOKUP(MONTH(H102),Mapping!$A$1:$B$12,2,0),"2H-"&amp;VLOOKUP(MONTH(H102),Mapping!$A$1:$B$12,2,0))</f>
        <v>2H-OCT</v>
      </c>
      <c r="I101" s="197" t="str">
        <f>IF(DAY(I102)&lt;15,"1H-"&amp;VLOOKUP(MONTH(I102),Mapping!$A$1:$B$12,2,0),"2H-"&amp;VLOOKUP(MONTH(I102),Mapping!$A$1:$B$12,2,0))</f>
        <v>1H-JAN</v>
      </c>
      <c r="J101" s="195" t="str">
        <f ca="1">IF(DAY(J102)&lt;15,"1H-"&amp;VLOOKUP(MONTH(J102),Mapping!$A$1:$B$12,2,0),"2H-"&amp;VLOOKUP(MONTH(J102),Mapping!$A$1:$B$12,2,0))</f>
        <v>2H-SEP</v>
      </c>
      <c r="K101" s="188" t="str">
        <f ca="1">IF(DAY(K102)&lt;15,"1H-"&amp;VLOOKUP(MONTH(K102),Mapping!$A$1:$B$12,2,0),"2H-"&amp;VLOOKUP(MONTH(K102),Mapping!$A$1:$B$12,2,0))</f>
        <v>1H-OCT</v>
      </c>
      <c r="L101" s="196" t="str">
        <f ca="1">IF(DAY(L102)&lt;15,"1H-"&amp;VLOOKUP(MONTH(L102),Mapping!$A$1:$B$12,2,0),"2H-"&amp;VLOOKUP(MONTH(L102),Mapping!$A$1:$B$12,2,0))</f>
        <v>2H-OCT</v>
      </c>
      <c r="M101" s="154"/>
    </row>
    <row r="102" spans="1:13" ht="15.75" hidden="1" thickBot="1" x14ac:dyDescent="0.3">
      <c r="A102" s="154"/>
      <c r="B102" s="153" t="s">
        <v>134</v>
      </c>
      <c r="C102" s="257"/>
      <c r="D102" s="258"/>
      <c r="E102" s="6"/>
      <c r="F102" s="157">
        <f ca="1">'Loading Arrival'!B35</f>
        <v>45923</v>
      </c>
      <c r="G102" s="193">
        <f ca="1">'ROTT TO AG'!G24</f>
        <v>45944</v>
      </c>
      <c r="H102" s="194">
        <f ca="1">'ROTT TO AG'!I24</f>
        <v>45958</v>
      </c>
      <c r="I102" s="163"/>
      <c r="J102" s="193">
        <f ca="1">F102</f>
        <v>45923</v>
      </c>
      <c r="K102" s="193">
        <f ca="1">G102</f>
        <v>45944</v>
      </c>
      <c r="L102" s="194">
        <f ca="1">H102</f>
        <v>45958</v>
      </c>
      <c r="M102" s="154"/>
    </row>
    <row r="103" spans="1:13" ht="15.75" hidden="1" thickBot="1" x14ac:dyDescent="0.3">
      <c r="A103" s="198" t="s">
        <v>139</v>
      </c>
      <c r="B103" s="167"/>
      <c r="C103" s="449"/>
      <c r="D103" s="450"/>
      <c r="E103" s="10"/>
      <c r="F103" s="158">
        <f ca="1">F123+F104-F105</f>
        <v>-200.82543750000002</v>
      </c>
      <c r="G103" s="159">
        <f ca="1">G123+G104-G105</f>
        <v>-200.83210416666662</v>
      </c>
      <c r="H103" s="160">
        <f ca="1">H123+H104-H105</f>
        <v>-200.62872089041093</v>
      </c>
      <c r="I103" s="164"/>
      <c r="J103" s="159">
        <f ca="1">J123+J104-J105</f>
        <v>-210.5897232142857</v>
      </c>
      <c r="K103" s="159">
        <f ca="1">K123+K104-K105</f>
        <v>-210.59638988095236</v>
      </c>
      <c r="L103" s="160">
        <f ca="1">L123+L104-L105</f>
        <v>-210.39300660469667</v>
      </c>
      <c r="M103" s="154"/>
    </row>
    <row r="104" spans="1:13" ht="15.75" hidden="1" thickBot="1" x14ac:dyDescent="0.3">
      <c r="A104" s="154"/>
      <c r="B104" s="168" t="s">
        <v>136</v>
      </c>
      <c r="C104" s="449"/>
      <c r="D104" s="450"/>
      <c r="E104" s="176" t="s">
        <v>131</v>
      </c>
      <c r="F104" s="174">
        <f ca="1">INDEX(Premium!$A$2:$D$12,MATCH(MAIN!$A103,Premium!$A$2:$A$12,0),MATCH(EOMONTH(MAIN!F102,-1)+1,Premium!$A$2:$D$2,0))</f>
        <v>-29.17</v>
      </c>
      <c r="G104" s="177">
        <f ca="1">INDEX(Premium!$A$2:$D$12,MATCH(MAIN!$A103,Premium!$A$2:$A$12,0),MATCH(EOMONTH(MAIN!G102,-1)+1,Premium!$A$2:$D$2,0))</f>
        <v>-29.17</v>
      </c>
      <c r="H104" s="175">
        <f ca="1">INDEX(Premium!$A$2:$D$12,MATCH(MAIN!$A103,Premium!$A$2:$A$12,0),MATCH(EOMONTH(MAIN!H102,-1)+1,Premium!$A$2:$D$2,0))</f>
        <v>-29.17</v>
      </c>
      <c r="I104" s="178" t="s">
        <v>131</v>
      </c>
      <c r="J104" s="177">
        <f ca="1">INDEX(Premium!$A$2:$D$12,MATCH(MAIN!$A103,Premium!$A$2:$A$12,0),MATCH(EOMONTH(MAIN!J102,-1)+1,Premium!$A$2:$D$2,0))</f>
        <v>-29.17</v>
      </c>
      <c r="K104" s="177">
        <f ca="1">INDEX(Premium!$A$2:$D$12,MATCH(MAIN!$A103,Premium!$A$2:$A$12,0),MATCH(EOMONTH(MAIN!K102,-1)+1,Premium!$A$2:$D$2,0))</f>
        <v>-29.17</v>
      </c>
      <c r="L104" s="175">
        <f ca="1">INDEX(Premium!$A$2:$D$12,MATCH(MAIN!$A103,Premium!$A$2:$A$12,0),MATCH(EOMONTH(MAIN!L102,-1)+1,Premium!$A$2:$D$2,0))</f>
        <v>-29.17</v>
      </c>
      <c r="M104" s="154"/>
    </row>
    <row r="105" spans="1:13" ht="15.75" hidden="1" thickBot="1" x14ac:dyDescent="0.3">
      <c r="A105" s="154"/>
      <c r="B105" s="169" t="s">
        <v>135</v>
      </c>
      <c r="C105" s="449"/>
      <c r="D105" s="450"/>
      <c r="E105" s="176" t="s">
        <v>130</v>
      </c>
      <c r="F105" s="174">
        <f ca="1">INDEX(Premium!$A$21:$D$29,MATCH(LEFT(MAIN!$A103,3),Premium!$A$21:$A$29,0),MATCH(EOMONTH(MAIN!F124,-1)+1,Premium!$A$21:$D$21,0))</f>
        <v>3</v>
      </c>
      <c r="G105" s="177">
        <f ca="1">INDEX(Premium!$A$21:$D$29,MATCH(LEFT(MAIN!$A103,3),Premium!$A$21:$A$29,0),MATCH(EOMONTH(MAIN!G124,-1)+1,Premium!$A$21:$D$21,0))</f>
        <v>3</v>
      </c>
      <c r="H105" s="175">
        <f ca="1">INDEX(Premium!$A$21:$D$29,MATCH(LEFT(MAIN!$A103,3),Premium!$A$21:$A$29,0),MATCH(EOMONTH(MAIN!H124,-1)+1,Premium!$A$21:$D$21,0))</f>
        <v>3</v>
      </c>
      <c r="I105" s="178" t="s">
        <v>130</v>
      </c>
      <c r="J105" s="177">
        <f ca="1">INDEX(Premium!$A$21:$D$29,MATCH(LEFT(MAIN!$A103,3),Premium!$A$21:$A$29,0),MATCH(EOMONTH(MAIN!J124,-1)+1,Premium!$A$21:$D$21,0))</f>
        <v>3</v>
      </c>
      <c r="K105" s="177">
        <f ca="1">INDEX(Premium!$A$21:$D$29,MATCH(LEFT(MAIN!$A103,3),Premium!$A$21:$A$29,0),MATCH(EOMONTH(MAIN!K124,-1)+1,Premium!$A$21:$D$21,0))</f>
        <v>3</v>
      </c>
      <c r="L105" s="175">
        <f ca="1">INDEX(Premium!$A$21:$D$29,MATCH(LEFT(MAIN!$A103,3),Premium!$A$21:$A$29,0),MATCH(EOMONTH(MAIN!L124,-1)+1,Premium!$A$21:$D$21,0))</f>
        <v>3</v>
      </c>
      <c r="M105" s="154"/>
    </row>
    <row r="106" spans="1:13" hidden="1" outlineLevel="1" x14ac:dyDescent="0.25">
      <c r="A106" s="154"/>
      <c r="B106" s="254" t="s">
        <v>55</v>
      </c>
      <c r="C106" s="449"/>
      <c r="D106" s="450"/>
      <c r="E106" s="6" t="s">
        <v>55</v>
      </c>
      <c r="F106" s="239">
        <f>INDEX('ROTT TO AG'!$A$6:$J$23,MATCH(MAIN!E106,'ROTT TO SING'!$J$8:$J$25,0),5)</f>
        <v>32.666666666666664</v>
      </c>
      <c r="G106" s="240">
        <f>INDEX('ROTT TO AG'!$A$6:$J$23,MATCH(MAIN!E106,'ROTT TO SING'!$J$8:$J$25,0),7)</f>
        <v>32.666666666666664</v>
      </c>
      <c r="H106" s="241">
        <f>INDEX('ROTT TO AG'!$A$6:$J$23,MATCH(MAIN!E106,'ROTT TO SING'!$J$8:$J$25,0),9)</f>
        <v>32.666666666666664</v>
      </c>
      <c r="I106" s="6" t="s">
        <v>55</v>
      </c>
      <c r="J106" s="233">
        <f>INDEX('ROTT TO AG'!$L$6:$U$23,MATCH(MAIN!I106,'ROTT TO AG'!$L$6:$L$23,0),5)</f>
        <v>42.857142857142854</v>
      </c>
      <c r="K106" s="234">
        <f>INDEX('ROTT TO AG'!$L$6:$U$23,MATCH(MAIN!I106,'ROTT TO AG'!$L$6:$L$23,0),7)</f>
        <v>42.857142857142854</v>
      </c>
      <c r="L106" s="235">
        <f>INDEX('ROTT TO AG'!$L$6:$U$23,MATCH(MAIN!I106,'ROTT TO AG'!$L$6:$L$23,0),9)</f>
        <v>42.857142857142854</v>
      </c>
      <c r="M106" s="154"/>
    </row>
    <row r="107" spans="1:13" hidden="1" outlineLevel="1" x14ac:dyDescent="0.25">
      <c r="A107" s="154"/>
      <c r="B107" s="255" t="s">
        <v>56</v>
      </c>
      <c r="C107" s="449"/>
      <c r="D107" s="450"/>
      <c r="E107" s="6" t="s">
        <v>56</v>
      </c>
      <c r="F107" s="174">
        <f>INDEX('ROTT TO AG'!$A$6:$J$23,MATCH(MAIN!E107,'ROTT TO SING'!$J$8:$J$25,0),5)</f>
        <v>0</v>
      </c>
      <c r="G107" s="177">
        <f>INDEX('ROTT TO AG'!$A$6:$J$23,MATCH(MAIN!E107,'ROTT TO SING'!$J$8:$J$25,0),7)</f>
        <v>0</v>
      </c>
      <c r="H107" s="175">
        <f>INDEX('ROTT TO AG'!$A$6:$J$23,MATCH(MAIN!E107,'ROTT TO SING'!$J$8:$J$25,0),9)</f>
        <v>0</v>
      </c>
      <c r="I107" s="6" t="s">
        <v>56</v>
      </c>
      <c r="J107" s="174">
        <f>INDEX('ROTT TO AG'!$L$6:$U$23,MATCH(MAIN!I107,'ROTT TO AG'!$L$6:$L$23,0),5)</f>
        <v>0</v>
      </c>
      <c r="K107" s="177">
        <f>INDEX('ROTT TO AG'!$L$6:$U$23,MATCH(MAIN!I107,'ROTT TO AG'!$L$6:$L$23,0),7)</f>
        <v>0</v>
      </c>
      <c r="L107" s="175">
        <f>INDEX('ROTT TO AG'!$L$6:$U$23,MATCH(MAIN!I107,'ROTT TO AG'!$L$6:$L$23,0),9)</f>
        <v>0</v>
      </c>
      <c r="M107" s="154"/>
    </row>
    <row r="108" spans="1:13" hidden="1" outlineLevel="1" x14ac:dyDescent="0.25">
      <c r="A108" s="154"/>
      <c r="B108" s="255" t="s">
        <v>57</v>
      </c>
      <c r="C108" s="449"/>
      <c r="D108" s="450"/>
      <c r="E108" s="6" t="s">
        <v>57</v>
      </c>
      <c r="F108" s="174">
        <f>INDEX('ROTT TO AG'!$A$6:$J$23,MATCH(MAIN!E108,'ROTT TO SING'!$J$8:$J$25,0),5)</f>
        <v>3.8333333333333335</v>
      </c>
      <c r="G108" s="177">
        <f>INDEX('ROTT TO AG'!$A$6:$J$23,MATCH(MAIN!E108,'ROTT TO SING'!$J$8:$J$25,0),7)</f>
        <v>3.8333333333333335</v>
      </c>
      <c r="H108" s="175">
        <f>INDEX('ROTT TO AG'!$A$6:$J$23,MATCH(MAIN!E108,'ROTT TO SING'!$J$8:$J$25,0),9)</f>
        <v>3.8333333333333335</v>
      </c>
      <c r="I108" s="6" t="s">
        <v>57</v>
      </c>
      <c r="J108" s="174">
        <f>INDEX('ROTT TO AG'!$L$6:$U$23,MATCH(MAIN!I108,'ROTT TO AG'!$L$6:$L$23,0),5)</f>
        <v>3.0357142857142856</v>
      </c>
      <c r="K108" s="177">
        <f>INDEX('ROTT TO AG'!$L$6:$U$23,MATCH(MAIN!I108,'ROTT TO AG'!$L$6:$L$23,0),7)</f>
        <v>3.0357142857142856</v>
      </c>
      <c r="L108" s="175">
        <f>INDEX('ROTT TO AG'!$L$6:$U$23,MATCH(MAIN!I108,'ROTT TO AG'!$L$6:$L$23,0),9)</f>
        <v>3.0357142857142856</v>
      </c>
      <c r="M108" s="154"/>
    </row>
    <row r="109" spans="1:13" hidden="1" outlineLevel="1" x14ac:dyDescent="0.25">
      <c r="A109" s="154"/>
      <c r="B109" s="255" t="s">
        <v>58</v>
      </c>
      <c r="C109" s="449"/>
      <c r="D109" s="450"/>
      <c r="E109" s="6" t="s">
        <v>58</v>
      </c>
      <c r="F109" s="174">
        <f>INDEX('ROTT TO AG'!$A$6:$J$23,MATCH(MAIN!E109,'ROTT TO SING'!$J$8:$J$25,0),5)</f>
        <v>0.1</v>
      </c>
      <c r="G109" s="177">
        <f>INDEX('ROTT TO AG'!$A$6:$J$23,MATCH(MAIN!E109,'ROTT TO SING'!$J$8:$J$25,0),7)</f>
        <v>0.1</v>
      </c>
      <c r="H109" s="175">
        <f>INDEX('ROTT TO AG'!$A$6:$J$23,MATCH(MAIN!E109,'ROTT TO SING'!$J$8:$J$25,0),9)</f>
        <v>0.1</v>
      </c>
      <c r="I109" s="6" t="s">
        <v>58</v>
      </c>
      <c r="J109" s="174">
        <f>INDEX('ROTT TO AG'!$L$6:$U$23,MATCH(MAIN!I109,'ROTT TO AG'!$L$6:$L$23,0),5)</f>
        <v>0.15306122448979592</v>
      </c>
      <c r="K109" s="177">
        <f>INDEX('ROTT TO AG'!$L$6:$U$23,MATCH(MAIN!I109,'ROTT TO AG'!$L$6:$L$23,0),7)</f>
        <v>0.15306122448979592</v>
      </c>
      <c r="L109" s="175">
        <f>INDEX('ROTT TO AG'!$L$6:$U$23,MATCH(MAIN!I109,'ROTT TO AG'!$L$6:$L$23,0),9)</f>
        <v>0.15306122448979592</v>
      </c>
      <c r="M109" s="154"/>
    </row>
    <row r="110" spans="1:13" hidden="1" outlineLevel="1" x14ac:dyDescent="0.25">
      <c r="A110" s="154"/>
      <c r="B110" s="255" t="s">
        <v>127</v>
      </c>
      <c r="C110" s="449"/>
      <c r="D110" s="450"/>
      <c r="E110" s="6" t="s">
        <v>127</v>
      </c>
      <c r="F110" s="174">
        <f>INDEX('ROTT TO AG'!$A$6:$J$23,MATCH(MAIN!E110,'ROTT TO SING'!$J$8:$J$25,0),5)</f>
        <v>0.16666666666666666</v>
      </c>
      <c r="G110" s="177">
        <f>INDEX('ROTT TO AG'!$A$6:$J$23,MATCH(MAIN!E110,'ROTT TO SING'!$J$8:$J$25,0),7)</f>
        <v>0.16666666666666666</v>
      </c>
      <c r="H110" s="175">
        <f>INDEX('ROTT TO AG'!$A$6:$J$23,MATCH(MAIN!E110,'ROTT TO SING'!$J$8:$J$25,0),9)</f>
        <v>0.16666666666666666</v>
      </c>
      <c r="I110" s="6" t="s">
        <v>127</v>
      </c>
      <c r="J110" s="174">
        <f>INDEX('ROTT TO AG'!$L$6:$U$23,MATCH(MAIN!I110,'ROTT TO AG'!$L$6:$L$23,0),5)</f>
        <v>0.25510204081632654</v>
      </c>
      <c r="K110" s="177">
        <f>INDEX('ROTT TO AG'!$L$6:$U$23,MATCH(MAIN!I110,'ROTT TO AG'!$L$6:$L$23,0),7)</f>
        <v>0.25510204081632654</v>
      </c>
      <c r="L110" s="175">
        <f>INDEX('ROTT TO AG'!$L$6:$U$23,MATCH(MAIN!I110,'ROTT TO AG'!$L$6:$L$23,0),9)</f>
        <v>0.25510204081632654</v>
      </c>
      <c r="M110" s="154"/>
    </row>
    <row r="111" spans="1:13" hidden="1" outlineLevel="1" x14ac:dyDescent="0.25">
      <c r="A111" s="154"/>
      <c r="B111" s="255" t="s">
        <v>128</v>
      </c>
      <c r="C111" s="449"/>
      <c r="D111" s="450"/>
      <c r="E111" s="6" t="s">
        <v>128</v>
      </c>
      <c r="F111" s="174">
        <f>INDEX('ROTT TO AG'!$A$6:$J$23,MATCH(MAIN!E111,'ROTT TO SING'!$J$8:$J$25,0),5)</f>
        <v>0.16666666666666666</v>
      </c>
      <c r="G111" s="177">
        <f>INDEX('ROTT TO AG'!$A$6:$J$23,MATCH(MAIN!E111,'ROTT TO SING'!$J$8:$J$25,0),7)</f>
        <v>0.16666666666666666</v>
      </c>
      <c r="H111" s="175">
        <f>INDEX('ROTT TO AG'!$A$6:$J$23,MATCH(MAIN!E111,'ROTT TO SING'!$J$8:$J$25,0),9)</f>
        <v>0.16666666666666666</v>
      </c>
      <c r="I111" s="6" t="s">
        <v>128</v>
      </c>
      <c r="J111" s="174">
        <f>INDEX('ROTT TO AG'!$L$6:$U$23,MATCH(MAIN!I111,'ROTT TO AG'!$L$6:$L$23,0),5)</f>
        <v>0.25510204081632654</v>
      </c>
      <c r="K111" s="177">
        <f>INDEX('ROTT TO AG'!$L$6:$U$23,MATCH(MAIN!I111,'ROTT TO AG'!$L$6:$L$23,0),7)</f>
        <v>0.25510204081632654</v>
      </c>
      <c r="L111" s="175">
        <f>INDEX('ROTT TO AG'!$L$6:$U$23,MATCH(MAIN!I111,'ROTT TO AG'!$L$6:$L$23,0),9)</f>
        <v>0.25510204081632654</v>
      </c>
      <c r="M111" s="154"/>
    </row>
    <row r="112" spans="1:13" hidden="1" outlineLevel="1" x14ac:dyDescent="0.25">
      <c r="A112" s="154"/>
      <c r="B112" s="255" t="s">
        <v>83</v>
      </c>
      <c r="C112" s="449"/>
      <c r="D112" s="450"/>
      <c r="E112" s="6" t="s">
        <v>83</v>
      </c>
      <c r="F112" s="174">
        <f ca="1">INDEX('ROTT TO AG'!$A$6:$J$23,MATCH(MAIN!E112,'ROTT TO SING'!$J$8:$J$25,0),5)</f>
        <v>3.4650000000000003</v>
      </c>
      <c r="G112" s="177">
        <f ca="1">INDEX('ROTT TO AG'!$A$6:$J$23,MATCH(MAIN!E112,'ROTT TO SING'!$J$8:$J$25,0),7)</f>
        <v>3.4650000000000003</v>
      </c>
      <c r="H112" s="175">
        <f ca="1">INDEX('ROTT TO AG'!$A$6:$J$23,MATCH(MAIN!E112,'ROTT TO SING'!$J$8:$J$25,0),9)</f>
        <v>3.4310958904109592</v>
      </c>
      <c r="I112" s="6" t="s">
        <v>83</v>
      </c>
      <c r="J112" s="174">
        <f ca="1">INDEX('ROTT TO AG'!$L$6:$U$23,MATCH(MAIN!I112,'ROTT TO AG'!$L$6:$L$23,0),5)</f>
        <v>3.4650000000000003</v>
      </c>
      <c r="K112" s="177">
        <f ca="1">INDEX('ROTT TO AG'!$L$6:$U$23,MATCH(MAIN!I112,'ROTT TO AG'!$L$6:$L$23,0),7)</f>
        <v>3.4650000000000003</v>
      </c>
      <c r="L112" s="175">
        <f ca="1">INDEX('ROTT TO AG'!$L$6:$U$23,MATCH(MAIN!I112,'ROTT TO AG'!$L$6:$L$23,0),9)</f>
        <v>3.4310958904109592</v>
      </c>
      <c r="M112" s="154"/>
    </row>
    <row r="113" spans="1:13" hidden="1" outlineLevel="1" x14ac:dyDescent="0.25">
      <c r="A113" s="154"/>
      <c r="B113" s="255" t="s">
        <v>59</v>
      </c>
      <c r="C113" s="449"/>
      <c r="D113" s="450"/>
      <c r="E113" s="6" t="s">
        <v>59</v>
      </c>
      <c r="F113" s="174">
        <f>INDEX('ROTT TO AG'!$A$6:$J$23,MATCH(MAIN!E113,'ROTT TO SING'!$J$8:$J$25,0),5)</f>
        <v>0</v>
      </c>
      <c r="G113" s="177">
        <f>INDEX('ROTT TO AG'!$A$6:$J$23,MATCH(MAIN!E113,'ROTT TO SING'!$J$8:$J$25,0),7)</f>
        <v>0</v>
      </c>
      <c r="H113" s="175">
        <f>INDEX('ROTT TO AG'!$A$6:$J$23,MATCH(MAIN!E113,'ROTT TO SING'!$J$8:$J$25,0),9)</f>
        <v>0</v>
      </c>
      <c r="I113" s="6" t="s">
        <v>59</v>
      </c>
      <c r="J113" s="174">
        <f>INDEX('ROTT TO AG'!$L$6:$U$23,MATCH(MAIN!I113,'ROTT TO AG'!$L$6:$L$23,0),5)</f>
        <v>0</v>
      </c>
      <c r="K113" s="177">
        <f>INDEX('ROTT TO AG'!$L$6:$U$23,MATCH(MAIN!I113,'ROTT TO AG'!$L$6:$L$23,0),7)</f>
        <v>0</v>
      </c>
      <c r="L113" s="175">
        <f>INDEX('ROTT TO AG'!$L$6:$U$23,MATCH(MAIN!I113,'ROTT TO AG'!$L$6:$L$23,0),9)</f>
        <v>0</v>
      </c>
      <c r="M113" s="154"/>
    </row>
    <row r="114" spans="1:13" hidden="1" outlineLevel="1" x14ac:dyDescent="0.25">
      <c r="A114" s="154"/>
      <c r="B114" s="255" t="s">
        <v>60</v>
      </c>
      <c r="C114" s="449"/>
      <c r="D114" s="450"/>
      <c r="E114" s="6" t="s">
        <v>60</v>
      </c>
      <c r="F114" s="174">
        <f ca="1">INDEX('ROTT TO AG'!$A$6:$J$23,MATCH(MAIN!E114,'ROTT TO SING'!$J$8:$J$25,0),5)</f>
        <v>0.28743750000000001</v>
      </c>
      <c r="G114" s="177">
        <f ca="1">INDEX('ROTT TO AG'!$A$6:$J$23,MATCH(MAIN!E114,'ROTT TO SING'!$J$8:$J$25,0),7)</f>
        <v>0.28743750000000001</v>
      </c>
      <c r="H114" s="175">
        <f ca="1">INDEX('ROTT TO AG'!$A$6:$J$23,MATCH(MAIN!E114,'ROTT TO SING'!$J$8:$J$25,0),9)</f>
        <v>0.28462500000000002</v>
      </c>
      <c r="I114" s="6" t="s">
        <v>60</v>
      </c>
      <c r="J114" s="174">
        <f ca="1">INDEX('ROTT TO AG'!$L$6:$U$23,MATCH(MAIN!I114,'ROTT TO AG'!$L$6:$L$23,0),5)</f>
        <v>0.28743750000000001</v>
      </c>
      <c r="K114" s="177">
        <f ca="1">INDEX('ROTT TO AG'!$L$6:$U$23,MATCH(MAIN!I114,'ROTT TO AG'!$L$6:$L$23,0),7)</f>
        <v>0.28743750000000001</v>
      </c>
      <c r="L114" s="175">
        <f ca="1">INDEX('ROTT TO AG'!$L$6:$U$23,MATCH(MAIN!I114,'ROTT TO AG'!$L$6:$L$23,0),9)</f>
        <v>0.28462500000000002</v>
      </c>
      <c r="M114" s="154"/>
    </row>
    <row r="115" spans="1:13" hidden="1" outlineLevel="1" x14ac:dyDescent="0.25">
      <c r="A115" s="154"/>
      <c r="B115" s="255" t="s">
        <v>61</v>
      </c>
      <c r="C115" s="449"/>
      <c r="D115" s="450"/>
      <c r="E115" s="6" t="s">
        <v>61</v>
      </c>
      <c r="F115" s="174">
        <f ca="1">INDEX('ROTT TO AG'!$A$6:$J$23,MATCH(MAIN!E115,'ROTT TO SING'!$J$8:$J$25,0),5)</f>
        <v>137.703</v>
      </c>
      <c r="G115" s="177">
        <f ca="1">INDEX('ROTT TO AG'!$A$6:$J$23,MATCH(MAIN!E115,'ROTT TO SING'!$J$8:$J$25,0),7)</f>
        <v>137.79300000000001</v>
      </c>
      <c r="H115" s="175">
        <f ca="1">INDEX('ROTT TO AG'!$A$6:$J$23,MATCH(MAIN!E115,'ROTT TO SING'!$J$8:$J$25,0),9)</f>
        <v>137.79300000000001</v>
      </c>
      <c r="I115" s="6" t="s">
        <v>61</v>
      </c>
      <c r="J115" s="174">
        <f ca="1">INDEX('ROTT TO AG'!$L$6:$U$23,MATCH(MAIN!I115,'ROTT TO AG'!$L$6:$L$23,0),5)</f>
        <v>137.703</v>
      </c>
      <c r="K115" s="177">
        <f ca="1">INDEX('ROTT TO AG'!$L$6:$U$23,MATCH(MAIN!I115,'ROTT TO AG'!$L$6:$L$23,0),7)</f>
        <v>137.79300000000001</v>
      </c>
      <c r="L115" s="175">
        <f ca="1">INDEX('ROTT TO AG'!$L$6:$U$23,MATCH(MAIN!I115,'ROTT TO AG'!$L$6:$L$23,0),9)</f>
        <v>137.79300000000001</v>
      </c>
      <c r="M115" s="154"/>
    </row>
    <row r="116" spans="1:13" hidden="1" outlineLevel="1" x14ac:dyDescent="0.25">
      <c r="A116" s="154"/>
      <c r="B116" s="255" t="s">
        <v>62</v>
      </c>
      <c r="C116" s="449"/>
      <c r="D116" s="450"/>
      <c r="E116" s="6" t="s">
        <v>62</v>
      </c>
      <c r="F116" s="174">
        <f>INDEX('ROTT TO AG'!$A$6:$J$23,MATCH(MAIN!E116,'ROTT TO SING'!$J$8:$J$25,0),5)</f>
        <v>8.3333333333333329E-2</v>
      </c>
      <c r="G116" s="177">
        <f>INDEX('ROTT TO AG'!$A$6:$J$23,MATCH(MAIN!E116,'ROTT TO SING'!$J$8:$J$25,0),7)</f>
        <v>8.3333333333333329E-2</v>
      </c>
      <c r="H116" s="175">
        <f>INDEX('ROTT TO AG'!$A$6:$J$23,MATCH(MAIN!E116,'ROTT TO SING'!$J$8:$J$25,0),9)</f>
        <v>8.3333333333333329E-2</v>
      </c>
      <c r="I116" s="6" t="s">
        <v>62</v>
      </c>
      <c r="J116" s="174">
        <f>INDEX('ROTT TO AG'!$L$6:$U$23,MATCH(MAIN!I116,'ROTT TO AG'!$L$6:$L$23,0),5)</f>
        <v>0.12755102040816327</v>
      </c>
      <c r="K116" s="177">
        <f>INDEX('ROTT TO AG'!$L$6:$U$23,MATCH(MAIN!I116,'ROTT TO AG'!$L$6:$L$23,0),7)</f>
        <v>0.12755102040816327</v>
      </c>
      <c r="L116" s="175">
        <f>INDEX('ROTT TO AG'!$L$6:$U$23,MATCH(MAIN!I116,'ROTT TO AG'!$L$6:$L$23,0),9)</f>
        <v>0.12755102040816327</v>
      </c>
      <c r="M116" s="154"/>
    </row>
    <row r="117" spans="1:13" hidden="1" outlineLevel="1" x14ac:dyDescent="0.25">
      <c r="A117" s="154"/>
      <c r="B117" s="255" t="s">
        <v>63</v>
      </c>
      <c r="C117" s="449"/>
      <c r="D117" s="450"/>
      <c r="E117" s="6" t="s">
        <v>63</v>
      </c>
      <c r="F117" s="174">
        <f>INDEX('ROTT TO AG'!$A$6:$J$23,MATCH(MAIN!E117,'ROTT TO SING'!$J$8:$J$25,0),5)</f>
        <v>8.3333333333333332E-3</v>
      </c>
      <c r="G117" s="177">
        <f>INDEX('ROTT TO AG'!$A$6:$J$23,MATCH(MAIN!E117,'ROTT TO SING'!$J$8:$J$25,0),7)</f>
        <v>8.3333333333333332E-3</v>
      </c>
      <c r="H117" s="175">
        <f>INDEX('ROTT TO AG'!$A$6:$J$23,MATCH(MAIN!E117,'ROTT TO SING'!$J$8:$J$25,0),9)</f>
        <v>8.3333333333333332E-3</v>
      </c>
      <c r="I117" s="6" t="s">
        <v>63</v>
      </c>
      <c r="J117" s="174">
        <f>INDEX('ROTT TO AG'!$L$6:$U$23,MATCH(MAIN!I117,'ROTT TO AG'!$L$6:$L$23,0),5)</f>
        <v>1.2755102040816327E-2</v>
      </c>
      <c r="K117" s="177">
        <f>INDEX('ROTT TO AG'!$L$6:$U$23,MATCH(MAIN!I117,'ROTT TO AG'!$L$6:$L$23,0),7)</f>
        <v>1.2755102040816327E-2</v>
      </c>
      <c r="L117" s="175">
        <f>INDEX('ROTT TO AG'!$L$6:$U$23,MATCH(MAIN!I117,'ROTT TO AG'!$L$6:$L$23,0),9)</f>
        <v>1.2755102040816327E-2</v>
      </c>
      <c r="M117" s="154"/>
    </row>
    <row r="118" spans="1:13" hidden="1" outlineLevel="1" x14ac:dyDescent="0.25">
      <c r="A118" s="154"/>
      <c r="B118" s="255" t="s">
        <v>64</v>
      </c>
      <c r="C118" s="449"/>
      <c r="D118" s="450"/>
      <c r="E118" s="6" t="s">
        <v>64</v>
      </c>
      <c r="F118" s="174">
        <f>INDEX('ROTT TO AG'!$A$6:$J$23,MATCH(MAIN!E118,'ROTT TO SING'!$J$8:$J$25,0),5)</f>
        <v>8.3333333333333332E-3</v>
      </c>
      <c r="G118" s="177">
        <f>INDEX('ROTT TO AG'!$A$6:$J$23,MATCH(MAIN!E118,'ROTT TO SING'!$J$8:$J$25,0),7)</f>
        <v>8.3333333333333332E-3</v>
      </c>
      <c r="H118" s="175">
        <f>INDEX('ROTT TO AG'!$A$6:$J$23,MATCH(MAIN!E118,'ROTT TO SING'!$J$8:$J$25,0),9)</f>
        <v>8.3333333333333332E-3</v>
      </c>
      <c r="I118" s="6" t="s">
        <v>64</v>
      </c>
      <c r="J118" s="174">
        <f>INDEX('ROTT TO AG'!$L$6:$U$23,MATCH(MAIN!I118,'ROTT TO AG'!$L$6:$L$23,0),5)</f>
        <v>1.2755102040816327E-2</v>
      </c>
      <c r="K118" s="177">
        <f>INDEX('ROTT TO AG'!$L$6:$U$23,MATCH(MAIN!I118,'ROTT TO AG'!$L$6:$L$23,0),7)</f>
        <v>1.2755102040816327E-2</v>
      </c>
      <c r="L118" s="175">
        <f>INDEX('ROTT TO AG'!$L$6:$U$23,MATCH(MAIN!I118,'ROTT TO AG'!$L$6:$L$23,0),9)</f>
        <v>1.2755102040816327E-2</v>
      </c>
      <c r="M118" s="154"/>
    </row>
    <row r="119" spans="1:13" hidden="1" outlineLevel="1" x14ac:dyDescent="0.25">
      <c r="A119" s="154"/>
      <c r="B119" s="255" t="s">
        <v>65</v>
      </c>
      <c r="C119" s="449"/>
      <c r="D119" s="450"/>
      <c r="E119" s="6" t="s">
        <v>65</v>
      </c>
      <c r="F119" s="174">
        <f>INDEX('ROTT TO AG'!$A$6:$J$23,MATCH(MAIN!E119,'ROTT TO SING'!$J$8:$J$25,0),5)</f>
        <v>0.1</v>
      </c>
      <c r="G119" s="177">
        <f>INDEX('ROTT TO AG'!$A$6:$J$23,MATCH(MAIN!E119,'ROTT TO SING'!$J$8:$J$25,0),7)</f>
        <v>0.1</v>
      </c>
      <c r="H119" s="175">
        <f>INDEX('ROTT TO AG'!$A$6:$J$23,MATCH(MAIN!E119,'ROTT TO SING'!$J$8:$J$25,0),9)</f>
        <v>0.1</v>
      </c>
      <c r="I119" s="6" t="s">
        <v>65</v>
      </c>
      <c r="J119" s="174">
        <f>INDEX('ROTT TO AG'!$L$6:$U$23,MATCH(MAIN!I119,'ROTT TO AG'!$L$6:$L$23,0),5)</f>
        <v>0.15306122448979592</v>
      </c>
      <c r="K119" s="177">
        <f>INDEX('ROTT TO AG'!$L$6:$U$23,MATCH(MAIN!I119,'ROTT TO AG'!$L$6:$L$23,0),7)</f>
        <v>0.15306122448979592</v>
      </c>
      <c r="L119" s="175">
        <f>INDEX('ROTT TO AG'!$L$6:$U$23,MATCH(MAIN!I119,'ROTT TO AG'!$L$6:$L$23,0),9)</f>
        <v>0.15306122448979592</v>
      </c>
      <c r="M119" s="154"/>
    </row>
    <row r="120" spans="1:13" hidden="1" outlineLevel="1" x14ac:dyDescent="0.25">
      <c r="A120" s="154"/>
      <c r="B120" s="255" t="s">
        <v>66</v>
      </c>
      <c r="C120" s="449"/>
      <c r="D120" s="450"/>
      <c r="E120" s="6" t="s">
        <v>66</v>
      </c>
      <c r="F120" s="174">
        <f>INDEX('ROTT TO AG'!$A$6:$J$23,MATCH(MAIN!E120,'ROTT TO SING'!$J$8:$J$25,0),5)</f>
        <v>6.6666666666666666E-2</v>
      </c>
      <c r="G120" s="177">
        <f>INDEX('ROTT TO AG'!$A$6:$J$23,MATCH(MAIN!E120,'ROTT TO SING'!$J$8:$J$25,0),7)</f>
        <v>6.6666666666666666E-2</v>
      </c>
      <c r="H120" s="175">
        <f>INDEX('ROTT TO AG'!$A$6:$J$23,MATCH(MAIN!E120,'ROTT TO SING'!$J$8:$J$25,0),9)</f>
        <v>6.6666666666666666E-2</v>
      </c>
      <c r="I120" s="6" t="s">
        <v>66</v>
      </c>
      <c r="J120" s="174">
        <f>INDEX('ROTT TO AG'!$L$6:$U$23,MATCH(MAIN!I120,'ROTT TO AG'!$L$6:$L$23,0),5)</f>
        <v>0.10204081632653061</v>
      </c>
      <c r="K120" s="177">
        <f>INDEX('ROTT TO AG'!$L$6:$U$23,MATCH(MAIN!I120,'ROTT TO AG'!$L$6:$L$23,0),7)</f>
        <v>0.10204081632653061</v>
      </c>
      <c r="L120" s="175">
        <f>INDEX('ROTT TO AG'!$L$6:$U$23,MATCH(MAIN!I120,'ROTT TO AG'!$L$6:$L$23,0),9)</f>
        <v>0.10204081632653061</v>
      </c>
      <c r="M120" s="154"/>
    </row>
    <row r="121" spans="1:13" hidden="1" outlineLevel="1" x14ac:dyDescent="0.25">
      <c r="A121" s="154"/>
      <c r="B121" s="255" t="s">
        <v>102</v>
      </c>
      <c r="C121" s="449"/>
      <c r="D121" s="450"/>
      <c r="E121" s="6" t="s">
        <v>102</v>
      </c>
      <c r="F121" s="174">
        <f ca="1">INDEX('ROTT TO AG'!$A$6:$J$23,MATCH(MAIN!E121,'ROTT TO SING'!$J$8:$J$25,0),5)</f>
        <v>178.65543750000001</v>
      </c>
      <c r="G121" s="177">
        <f ca="1">INDEX('ROTT TO AG'!$A$6:$J$23,MATCH(MAIN!E121,'ROTT TO SING'!$J$8:$J$25,0),7)</f>
        <v>178.74543749999998</v>
      </c>
      <c r="H121" s="175">
        <f ca="1">INDEX('ROTT TO AG'!$A$6:$J$23,MATCH(MAIN!E121,'ROTT TO SING'!$J$8:$J$25,0),9)</f>
        <v>178.70872089041094</v>
      </c>
      <c r="I121" s="6" t="s">
        <v>102</v>
      </c>
      <c r="J121" s="174">
        <f ca="1">INDEX('ROTT TO AG'!$L$6:$U$23,MATCH(MAIN!I121,'ROTT TO AG'!$L$6:$L$23,0),5)</f>
        <v>188.41972321428571</v>
      </c>
      <c r="K121" s="177">
        <f ca="1">INDEX('ROTT TO AG'!$L$6:$U$23,MATCH(MAIN!I121,'ROTT TO AG'!$L$6:$L$23,0),7)</f>
        <v>188.50972321428571</v>
      </c>
      <c r="L121" s="175">
        <f ca="1">INDEX('ROTT TO AG'!$L$6:$U$23,MATCH(MAIN!I121,'ROTT TO AG'!$L$6:$L$23,0),9)</f>
        <v>188.47300660469668</v>
      </c>
      <c r="M121" s="154"/>
    </row>
    <row r="122" spans="1:13" hidden="1" outlineLevel="1" x14ac:dyDescent="0.25">
      <c r="A122" s="154"/>
      <c r="B122" s="255" t="s">
        <v>103</v>
      </c>
      <c r="C122" s="449"/>
      <c r="D122" s="450"/>
      <c r="E122" s="6" t="s">
        <v>103</v>
      </c>
      <c r="F122" s="174">
        <f ca="1">INDEX('ROTT TO AG'!$A$6:$J$23,MATCH(MAIN!E122,'ROTT TO SING'!$J$8:$J$25,0),5)</f>
        <v>10</v>
      </c>
      <c r="G122" s="177">
        <f ca="1">INDEX('ROTT TO AG'!$A$6:$J$23,MATCH(MAIN!E122,'ROTT TO SING'!$J$8:$J$25,0),7)</f>
        <v>10.083333333333334</v>
      </c>
      <c r="H122" s="175">
        <f ca="1">INDEX('ROTT TO AG'!$A$6:$J$23,MATCH(MAIN!E122,'ROTT TO SING'!$J$8:$J$25,0),9)</f>
        <v>10.25</v>
      </c>
      <c r="I122" s="6" t="s">
        <v>103</v>
      </c>
      <c r="J122" s="174">
        <f ca="1">INDEX('ROTT TO AG'!$L$6:$U$23,MATCH(MAIN!I122,'ROTT TO AG'!$L$6:$L$23,0),5)</f>
        <v>10</v>
      </c>
      <c r="K122" s="177">
        <f ca="1">INDEX('ROTT TO AG'!$L$6:$U$23,MATCH(MAIN!I122,'ROTT TO AG'!$L$6:$L$23,0),7)</f>
        <v>10.083333333333334</v>
      </c>
      <c r="L122" s="175">
        <f ca="1">INDEX('ROTT TO AG'!$L$6:$U$23,MATCH(MAIN!I122,'ROTT TO AG'!$L$6:$L$23,0),9)</f>
        <v>10.25</v>
      </c>
      <c r="M122" s="154"/>
    </row>
    <row r="123" spans="1:13" hidden="1" outlineLevel="1" x14ac:dyDescent="0.25">
      <c r="A123" s="154"/>
      <c r="B123" s="255" t="s">
        <v>115</v>
      </c>
      <c r="C123" s="449"/>
      <c r="D123" s="450"/>
      <c r="E123" s="6" t="s">
        <v>115</v>
      </c>
      <c r="F123" s="174">
        <f ca="1">INDEX('ROTT TO AG'!$A$6:$J$23,MATCH(MAIN!E123,'ROTT TO SING'!$J$8:$J$25,0),5)</f>
        <v>-168.65543750000001</v>
      </c>
      <c r="G123" s="177">
        <f ca="1">INDEX('ROTT TO AG'!$A$6:$J$23,MATCH(MAIN!E123,'ROTT TO SING'!$J$8:$J$25,0),7)</f>
        <v>-168.66210416666664</v>
      </c>
      <c r="H123" s="175">
        <f ca="1">INDEX('ROTT TO AG'!$A$6:$J$23,MATCH(MAIN!E123,'ROTT TO SING'!$J$8:$J$25,0),9)</f>
        <v>-168.45872089041094</v>
      </c>
      <c r="I123" s="6" t="s">
        <v>115</v>
      </c>
      <c r="J123" s="174">
        <f ca="1">INDEX('ROTT TO AG'!$L$6:$U$23,MATCH(MAIN!I123,'ROTT TO AG'!$L$6:$L$23,0),5)</f>
        <v>-178.41972321428571</v>
      </c>
      <c r="K123" s="177">
        <f ca="1">INDEX('ROTT TO AG'!$L$6:$U$23,MATCH(MAIN!I123,'ROTT TO AG'!$L$6:$L$23,0),7)</f>
        <v>-178.42638988095237</v>
      </c>
      <c r="L123" s="175">
        <f ca="1">INDEX('ROTT TO AG'!$L$6:$U$23,MATCH(MAIN!I123,'ROTT TO AG'!$L$6:$L$23,0),9)</f>
        <v>-178.22300660469668</v>
      </c>
      <c r="M123" s="154"/>
    </row>
    <row r="124" spans="1:13" ht="15.75" hidden="1" outlineLevel="1" thickBot="1" x14ac:dyDescent="0.3">
      <c r="A124" s="154"/>
      <c r="B124" s="256" t="s">
        <v>129</v>
      </c>
      <c r="C124" s="449"/>
      <c r="D124" s="450"/>
      <c r="E124" s="6" t="s">
        <v>129</v>
      </c>
      <c r="F124" s="200">
        <f ca="1">'ROTT TO AG'!E4</f>
        <v>45903</v>
      </c>
      <c r="G124" s="201">
        <f ca="1">'ROTT TO AG'!G4</f>
        <v>45917</v>
      </c>
      <c r="H124" s="202">
        <f ca="1">'ROTT TO AG'!I4</f>
        <v>45931</v>
      </c>
      <c r="I124" s="6" t="s">
        <v>129</v>
      </c>
      <c r="J124" s="200">
        <f ca="1">F124</f>
        <v>45903</v>
      </c>
      <c r="K124" s="201">
        <f ca="1">G124</f>
        <v>45917</v>
      </c>
      <c r="L124" s="202">
        <f ca="1">H124</f>
        <v>45931</v>
      </c>
      <c r="M124" s="154"/>
    </row>
    <row r="125" spans="1:13" ht="15.75" hidden="1" collapsed="1" thickBot="1" x14ac:dyDescent="0.3">
      <c r="A125" s="198" t="s">
        <v>140</v>
      </c>
      <c r="B125" s="167"/>
      <c r="C125" s="259"/>
      <c r="D125" s="260"/>
      <c r="E125" s="10"/>
      <c r="F125" s="158">
        <f ca="1">F145+F126-F127</f>
        <v>-200.82543750000002</v>
      </c>
      <c r="G125" s="159">
        <f ca="1">G145+G126-G127</f>
        <v>-200.83210416666662</v>
      </c>
      <c r="H125" s="160">
        <f ca="1">H145+H126-H127</f>
        <v>-200.62872089041093</v>
      </c>
      <c r="I125" s="10"/>
      <c r="J125" s="158">
        <f ca="1">J145+J126-J127</f>
        <v>-210.5897232142857</v>
      </c>
      <c r="K125" s="159">
        <f ca="1">K145+K126-K127</f>
        <v>-210.59638988095236</v>
      </c>
      <c r="L125" s="160">
        <f ca="1">L145+L126-L127</f>
        <v>-210.39300660469667</v>
      </c>
      <c r="M125" s="154"/>
    </row>
    <row r="126" spans="1:13" ht="15.75" hidden="1" thickBot="1" x14ac:dyDescent="0.3">
      <c r="A126" s="154"/>
      <c r="B126" s="168" t="s">
        <v>131</v>
      </c>
      <c r="C126" s="449"/>
      <c r="D126" s="465"/>
      <c r="E126" s="176" t="s">
        <v>131</v>
      </c>
      <c r="F126" s="174">
        <f ca="1">INDEX(Premium!$A$2:$D$12,MATCH(MAIN!$A125,Premium!$A$2:$A$12,0),MATCH(EOMONTH(MAIN!F102,-1)+1,Premium!$A$2:$D$2,0))</f>
        <v>-34.17</v>
      </c>
      <c r="G126" s="177">
        <f ca="1">INDEX(Premium!$A$2:$D$12,MATCH(MAIN!$A125,Premium!$A$2:$A$12,0),MATCH(EOMONTH(MAIN!G102,-1)+1,Premium!$A$2:$D$2,0))</f>
        <v>-34.17</v>
      </c>
      <c r="H126" s="175">
        <f ca="1">INDEX(Premium!$A$2:$D$12,MATCH(MAIN!$A125,Premium!$A$2:$A$12,0),MATCH(EOMONTH(MAIN!H102,-1)+1,Premium!$A$2:$D$2,0))</f>
        <v>-34.17</v>
      </c>
      <c r="I126" s="176" t="s">
        <v>131</v>
      </c>
      <c r="J126" s="174">
        <f ca="1">INDEX(Premium!$A$2:$D$12,MATCH(MAIN!$A125,Premium!$A$2:$A$12,0),MATCH(EOMONTH(MAIN!J102,-1)+1,Premium!$A$2:$D$2,0))</f>
        <v>-34.17</v>
      </c>
      <c r="K126" s="177">
        <f ca="1">INDEX(Premium!$A$2:$D$12,MATCH(MAIN!$A125,Premium!$A$2:$A$12,0),MATCH(EOMONTH(MAIN!K102,-1)+1,Premium!$A$2:$D$2,0))</f>
        <v>-34.17</v>
      </c>
      <c r="L126" s="175">
        <f ca="1">INDEX(Premium!$A$2:$D$12,MATCH(MAIN!$A125,Premium!$A$2:$A$12,0),MATCH(EOMONTH(MAIN!L102,-1)+1,Premium!$A$2:$D$2,0))</f>
        <v>-34.17</v>
      </c>
      <c r="M126" s="154"/>
    </row>
    <row r="127" spans="1:13" ht="15.75" hidden="1" thickBot="1" x14ac:dyDescent="0.3">
      <c r="B127" s="169" t="s">
        <v>135</v>
      </c>
      <c r="C127" s="449"/>
      <c r="D127" s="465"/>
      <c r="E127" s="176" t="s">
        <v>130</v>
      </c>
      <c r="F127" s="174">
        <f ca="1">INDEX(Premium!$A$21:$D$29,MATCH(LEFT(MAIN!$A125,3),Premium!$A$21:$A$29,0),MATCH(EOMONTH(MAIN!F146,-1)+1,Premium!$A$21:$D$21,0))</f>
        <v>-2</v>
      </c>
      <c r="G127" s="177">
        <f ca="1">INDEX(Premium!$A$21:$D$29,MATCH(LEFT(MAIN!$A125,3),Premium!$A$21:$A$29,0),MATCH(EOMONTH(MAIN!G146,-1)+1,Premium!$A$21:$D$21,0))</f>
        <v>-2</v>
      </c>
      <c r="H127" s="175">
        <f ca="1">INDEX(Premium!$A$21:$D$29,MATCH(LEFT(MAIN!$A125,3),Premium!$A$21:$A$29,0),MATCH(EOMONTH(MAIN!H146,-1)+1,Premium!$A$21:$D$21,0))</f>
        <v>-2</v>
      </c>
      <c r="I127" s="176" t="e">
        <f>INDEX(Premium!$A$21:$D$29,MATCH(LEFT(MAIN!$A125,3),Premium!$A$21:$A$29,0),MATCH(EOMONTH(MAIN!I146,-1)+1,Premium!$A$21:$D$21,0))</f>
        <v>#VALUE!</v>
      </c>
      <c r="J127" s="174">
        <f ca="1">INDEX(Premium!$A$21:$D$29,MATCH(LEFT(MAIN!$A125,3),Premium!$A$21:$A$29,0),MATCH(EOMONTH(MAIN!J146,-1)+1,Premium!$A$21:$D$21,0))</f>
        <v>-2</v>
      </c>
      <c r="K127" s="177">
        <f ca="1">INDEX(Premium!$A$21:$D$29,MATCH(LEFT(MAIN!$A125,3),Premium!$A$21:$A$29,0),MATCH(EOMONTH(MAIN!K146,-1)+1,Premium!$A$21:$D$21,0))</f>
        <v>-2</v>
      </c>
      <c r="L127" s="175">
        <f ca="1">INDEX(Premium!$A$21:$D$29,MATCH(LEFT(MAIN!$A125,3),Premium!$A$21:$A$29,0),MATCH(EOMONTH(MAIN!L146,-1)+1,Premium!$A$21:$D$21,0))</f>
        <v>-2</v>
      </c>
      <c r="M127" s="154"/>
    </row>
    <row r="128" spans="1:13" hidden="1" outlineLevel="1" x14ac:dyDescent="0.25">
      <c r="A128" s="154"/>
      <c r="B128" s="254" t="s">
        <v>55</v>
      </c>
      <c r="C128" s="449"/>
      <c r="D128" s="465"/>
      <c r="E128" s="231" t="s">
        <v>55</v>
      </c>
      <c r="F128" s="233">
        <f>INDEX('ROTT TO AG'!$A$6:$J$23,MATCH(MAIN!E128,'ROTT TO AG'!$A$6:$A$23,0),5)</f>
        <v>32.666666666666664</v>
      </c>
      <c r="G128" s="234">
        <f>INDEX('ROTT TO AG'!$A$6:$J$23,MATCH(MAIN!E128,'ROTT TO AG'!$A$6:$A$23,0),7)</f>
        <v>32.666666666666664</v>
      </c>
      <c r="H128" s="235">
        <f>INDEX('ROTT TO AG'!$A$6:$J$23,MATCH(MAIN!E128,'ROTT TO AG'!$A$6:$A$23,0),9)</f>
        <v>32.666666666666664</v>
      </c>
      <c r="I128" s="231" t="s">
        <v>55</v>
      </c>
      <c r="J128" s="247">
        <f>INDEX('ROTT TO AG'!$L$6:$U$23,MATCH(MAIN!I128,'ROTT TO AG'!$L$6:$L$23,0),5)</f>
        <v>42.857142857142854</v>
      </c>
      <c r="K128" s="234">
        <f>INDEX('ROTT TO AG'!$L$6:$U$23,MATCH(MAIN!I128,'ROTT TO AG'!$L$6:$L$23,0),7)</f>
        <v>42.857142857142854</v>
      </c>
      <c r="L128" s="235">
        <f>INDEX('ROTT TO AG'!$L$6:$U$23,MATCH(MAIN!I128,'ROTT TO AG'!$L$6:$L$23,0),9)</f>
        <v>42.857142857142854</v>
      </c>
      <c r="M128" s="154"/>
    </row>
    <row r="129" spans="1:13" hidden="1" outlineLevel="1" x14ac:dyDescent="0.25">
      <c r="A129" s="154"/>
      <c r="B129" s="255" t="s">
        <v>56</v>
      </c>
      <c r="C129" s="449"/>
      <c r="D129" s="465"/>
      <c r="E129" s="176" t="s">
        <v>56</v>
      </c>
      <c r="F129" s="174">
        <f>INDEX('ROTT TO AG'!$A$6:$J$23,MATCH(MAIN!E129,'ROTT TO AG'!$A$6:$A$23,0),5)</f>
        <v>0</v>
      </c>
      <c r="G129" s="177">
        <f>INDEX('ROTT TO AG'!$A$6:$J$23,MATCH(MAIN!E129,'ROTT TO AG'!$A$6:$A$23,0),7)</f>
        <v>0</v>
      </c>
      <c r="H129" s="175">
        <f>INDEX('ROTT TO AG'!$A$6:$J$23,MATCH(MAIN!E129,'ROTT TO AG'!$A$6:$A$23,0),9)</f>
        <v>0</v>
      </c>
      <c r="I129" s="176" t="s">
        <v>56</v>
      </c>
      <c r="J129" s="248">
        <f>INDEX('ROTT TO AG'!$L$6:$U$23,MATCH(MAIN!I129,'ROTT TO AG'!$L$6:$L$23,0),5)</f>
        <v>0</v>
      </c>
      <c r="K129" s="177">
        <f>INDEX('ROTT TO AG'!$L$6:$U$23,MATCH(MAIN!I129,'ROTT TO AG'!$L$6:$L$23,0),7)</f>
        <v>0</v>
      </c>
      <c r="L129" s="175">
        <f>INDEX('ROTT TO AG'!$L$6:$U$23,MATCH(MAIN!I129,'ROTT TO AG'!$L$6:$L$23,0),9)</f>
        <v>0</v>
      </c>
      <c r="M129" s="154"/>
    </row>
    <row r="130" spans="1:13" hidden="1" outlineLevel="1" x14ac:dyDescent="0.25">
      <c r="A130" s="154"/>
      <c r="B130" s="255" t="s">
        <v>57</v>
      </c>
      <c r="C130" s="449"/>
      <c r="D130" s="465"/>
      <c r="E130" s="176" t="s">
        <v>57</v>
      </c>
      <c r="F130" s="174">
        <f>INDEX('ROTT TO AG'!$A$6:$J$23,MATCH(MAIN!E130,'ROTT TO AG'!$A$6:$A$23,0),5)</f>
        <v>3.8333333333333335</v>
      </c>
      <c r="G130" s="177">
        <f>INDEX('ROTT TO AG'!$A$6:$J$23,MATCH(MAIN!E130,'ROTT TO AG'!$A$6:$A$23,0),7)</f>
        <v>3.8333333333333335</v>
      </c>
      <c r="H130" s="175">
        <f>INDEX('ROTT TO AG'!$A$6:$J$23,MATCH(MAIN!E130,'ROTT TO AG'!$A$6:$A$23,0),9)</f>
        <v>3.8333333333333335</v>
      </c>
      <c r="I130" s="176" t="s">
        <v>57</v>
      </c>
      <c r="J130" s="248">
        <f>INDEX('ROTT TO AG'!$L$6:$U$23,MATCH(MAIN!I130,'ROTT TO AG'!$L$6:$L$23,0),5)</f>
        <v>3.0357142857142856</v>
      </c>
      <c r="K130" s="177">
        <f>INDEX('ROTT TO AG'!$L$6:$U$23,MATCH(MAIN!I130,'ROTT TO AG'!$L$6:$L$23,0),7)</f>
        <v>3.0357142857142856</v>
      </c>
      <c r="L130" s="175">
        <f>INDEX('ROTT TO AG'!$L$6:$U$23,MATCH(MAIN!I130,'ROTT TO AG'!$L$6:$L$23,0),9)</f>
        <v>3.0357142857142856</v>
      </c>
      <c r="M130" s="154"/>
    </row>
    <row r="131" spans="1:13" hidden="1" outlineLevel="1" x14ac:dyDescent="0.25">
      <c r="A131" s="154"/>
      <c r="B131" s="255" t="s">
        <v>58</v>
      </c>
      <c r="C131" s="449"/>
      <c r="D131" s="465"/>
      <c r="E131" s="176" t="s">
        <v>58</v>
      </c>
      <c r="F131" s="174">
        <f>INDEX('ROTT TO AG'!$A$6:$J$23,MATCH(MAIN!E131,'ROTT TO AG'!$A$6:$A$23,0),5)</f>
        <v>0.1</v>
      </c>
      <c r="G131" s="177">
        <f>INDEX('ROTT TO AG'!$A$6:$J$23,MATCH(MAIN!E131,'ROTT TO AG'!$A$6:$A$23,0),7)</f>
        <v>0.1</v>
      </c>
      <c r="H131" s="175">
        <f>INDEX('ROTT TO AG'!$A$6:$J$23,MATCH(MAIN!E131,'ROTT TO AG'!$A$6:$A$23,0),9)</f>
        <v>0.1</v>
      </c>
      <c r="I131" s="176" t="s">
        <v>58</v>
      </c>
      <c r="J131" s="248">
        <f>INDEX('ROTT TO AG'!$L$6:$U$23,MATCH(MAIN!I131,'ROTT TO AG'!$L$6:$L$23,0),5)</f>
        <v>0.15306122448979592</v>
      </c>
      <c r="K131" s="177">
        <f>INDEX('ROTT TO AG'!$L$6:$U$23,MATCH(MAIN!I131,'ROTT TO AG'!$L$6:$L$23,0),7)</f>
        <v>0.15306122448979592</v>
      </c>
      <c r="L131" s="175">
        <f>INDEX('ROTT TO AG'!$L$6:$U$23,MATCH(MAIN!I131,'ROTT TO AG'!$L$6:$L$23,0),9)</f>
        <v>0.15306122448979592</v>
      </c>
      <c r="M131" s="154"/>
    </row>
    <row r="132" spans="1:13" hidden="1" outlineLevel="1" x14ac:dyDescent="0.25">
      <c r="A132" s="154"/>
      <c r="B132" s="255" t="s">
        <v>127</v>
      </c>
      <c r="C132" s="449"/>
      <c r="D132" s="465"/>
      <c r="E132" s="176" t="s">
        <v>127</v>
      </c>
      <c r="F132" s="174">
        <f>INDEX('ROTT TO AG'!$A$6:$J$23,MATCH(MAIN!E132,'ROTT TO AG'!$A$6:$A$23,0),5)</f>
        <v>0.16666666666666666</v>
      </c>
      <c r="G132" s="177">
        <f>INDEX('ROTT TO AG'!$A$6:$J$23,MATCH(MAIN!E132,'ROTT TO AG'!$A$6:$A$23,0),7)</f>
        <v>0.16666666666666666</v>
      </c>
      <c r="H132" s="175">
        <f>INDEX('ROTT TO AG'!$A$6:$J$23,MATCH(MAIN!E132,'ROTT TO AG'!$A$6:$A$23,0),9)</f>
        <v>0.16666666666666666</v>
      </c>
      <c r="I132" s="176" t="s">
        <v>127</v>
      </c>
      <c r="J132" s="248">
        <f>INDEX('ROTT TO AG'!$L$6:$U$23,MATCH(MAIN!I132,'ROTT TO AG'!$L$6:$L$23,0),5)</f>
        <v>0.25510204081632654</v>
      </c>
      <c r="K132" s="177">
        <f>INDEX('ROTT TO AG'!$L$6:$U$23,MATCH(MAIN!I132,'ROTT TO AG'!$L$6:$L$23,0),7)</f>
        <v>0.25510204081632654</v>
      </c>
      <c r="L132" s="175">
        <f>INDEX('ROTT TO AG'!$L$6:$U$23,MATCH(MAIN!I132,'ROTT TO AG'!$L$6:$L$23,0),9)</f>
        <v>0.25510204081632654</v>
      </c>
      <c r="M132" s="154"/>
    </row>
    <row r="133" spans="1:13" hidden="1" outlineLevel="1" x14ac:dyDescent="0.25">
      <c r="A133" s="154"/>
      <c r="B133" s="255" t="s">
        <v>128</v>
      </c>
      <c r="C133" s="449"/>
      <c r="D133" s="465"/>
      <c r="E133" s="176" t="s">
        <v>128</v>
      </c>
      <c r="F133" s="174">
        <f>INDEX('ROTT TO AG'!$A$6:$J$23,MATCH(MAIN!E133,'ROTT TO AG'!$A$6:$A$23,0),5)</f>
        <v>0.16666666666666666</v>
      </c>
      <c r="G133" s="177">
        <f>INDEX('ROTT TO AG'!$A$6:$J$23,MATCH(MAIN!E133,'ROTT TO AG'!$A$6:$A$23,0),7)</f>
        <v>0.16666666666666666</v>
      </c>
      <c r="H133" s="175">
        <f>INDEX('ROTT TO AG'!$A$6:$J$23,MATCH(MAIN!E133,'ROTT TO AG'!$A$6:$A$23,0),9)</f>
        <v>0.16666666666666666</v>
      </c>
      <c r="I133" s="176" t="s">
        <v>128</v>
      </c>
      <c r="J133" s="248">
        <f>INDEX('ROTT TO AG'!$L$6:$U$23,MATCH(MAIN!I133,'ROTT TO AG'!$L$6:$L$23,0),5)</f>
        <v>0.25510204081632654</v>
      </c>
      <c r="K133" s="177">
        <f>INDEX('ROTT TO AG'!$L$6:$U$23,MATCH(MAIN!I133,'ROTT TO AG'!$L$6:$L$23,0),7)</f>
        <v>0.25510204081632654</v>
      </c>
      <c r="L133" s="175">
        <f>INDEX('ROTT TO AG'!$L$6:$U$23,MATCH(MAIN!I133,'ROTT TO AG'!$L$6:$L$23,0),9)</f>
        <v>0.25510204081632654</v>
      </c>
      <c r="M133" s="154"/>
    </row>
    <row r="134" spans="1:13" hidden="1" outlineLevel="1" x14ac:dyDescent="0.25">
      <c r="A134" s="154"/>
      <c r="B134" s="255" t="s">
        <v>83</v>
      </c>
      <c r="C134" s="449"/>
      <c r="D134" s="465"/>
      <c r="E134" s="176" t="s">
        <v>83</v>
      </c>
      <c r="F134" s="174">
        <f ca="1">INDEX('ROTT TO AG'!$A$6:$J$23,MATCH(MAIN!E134,'ROTT TO AG'!$A$6:$A$23,0),5)</f>
        <v>3.4650000000000003</v>
      </c>
      <c r="G134" s="177">
        <f ca="1">INDEX('ROTT TO AG'!$A$6:$J$23,MATCH(MAIN!E134,'ROTT TO AG'!$A$6:$A$23,0),7)</f>
        <v>3.4650000000000003</v>
      </c>
      <c r="H134" s="175">
        <f ca="1">INDEX('ROTT TO AG'!$A$6:$J$23,MATCH(MAIN!E134,'ROTT TO AG'!$A$6:$A$23,0),9)</f>
        <v>3.4310958904109592</v>
      </c>
      <c r="I134" s="176" t="s">
        <v>83</v>
      </c>
      <c r="J134" s="248">
        <f ca="1">INDEX('ROTT TO AG'!$L$6:$U$23,MATCH(MAIN!I134,'ROTT TO AG'!$L$6:$L$23,0),5)</f>
        <v>3.4650000000000003</v>
      </c>
      <c r="K134" s="177">
        <f ca="1">INDEX('ROTT TO AG'!$L$6:$U$23,MATCH(MAIN!I134,'ROTT TO AG'!$L$6:$L$23,0),7)</f>
        <v>3.4650000000000003</v>
      </c>
      <c r="L134" s="175">
        <f ca="1">INDEX('ROTT TO AG'!$L$6:$U$23,MATCH(MAIN!I134,'ROTT TO AG'!$L$6:$L$23,0),9)</f>
        <v>3.4310958904109592</v>
      </c>
      <c r="M134" s="154"/>
    </row>
    <row r="135" spans="1:13" hidden="1" outlineLevel="1" x14ac:dyDescent="0.25">
      <c r="A135" s="154"/>
      <c r="B135" s="255" t="s">
        <v>59</v>
      </c>
      <c r="C135" s="449"/>
      <c r="D135" s="465"/>
      <c r="E135" s="176" t="s">
        <v>59</v>
      </c>
      <c r="F135" s="174">
        <f>INDEX('ROTT TO AG'!$A$6:$J$23,MATCH(MAIN!E135,'ROTT TO AG'!$A$6:$A$23,0),5)</f>
        <v>0</v>
      </c>
      <c r="G135" s="177">
        <f>INDEX('ROTT TO AG'!$A$6:$J$23,MATCH(MAIN!E135,'ROTT TO AG'!$A$6:$A$23,0),7)</f>
        <v>0</v>
      </c>
      <c r="H135" s="175">
        <f>INDEX('ROTT TO AG'!$A$6:$J$23,MATCH(MAIN!E135,'ROTT TO AG'!$A$6:$A$23,0),9)</f>
        <v>0</v>
      </c>
      <c r="I135" s="176" t="s">
        <v>59</v>
      </c>
      <c r="J135" s="248">
        <f>INDEX('ROTT TO AG'!$L$6:$U$23,MATCH(MAIN!I135,'ROTT TO AG'!$L$6:$L$23,0),5)</f>
        <v>0</v>
      </c>
      <c r="K135" s="177">
        <f>INDEX('ROTT TO AG'!$L$6:$U$23,MATCH(MAIN!I135,'ROTT TO AG'!$L$6:$L$23,0),7)</f>
        <v>0</v>
      </c>
      <c r="L135" s="175">
        <f>INDEX('ROTT TO AG'!$L$6:$U$23,MATCH(MAIN!I135,'ROTT TO AG'!$L$6:$L$23,0),9)</f>
        <v>0</v>
      </c>
      <c r="M135" s="154"/>
    </row>
    <row r="136" spans="1:13" hidden="1" outlineLevel="1" x14ac:dyDescent="0.25">
      <c r="A136" s="154"/>
      <c r="B136" s="255" t="s">
        <v>60</v>
      </c>
      <c r="C136" s="449"/>
      <c r="D136" s="465"/>
      <c r="E136" s="176" t="s">
        <v>60</v>
      </c>
      <c r="F136" s="174">
        <f ca="1">INDEX('ROTT TO AG'!$A$6:$J$23,MATCH(MAIN!E136,'ROTT TO AG'!$A$6:$A$23,0),5)</f>
        <v>0.28743750000000001</v>
      </c>
      <c r="G136" s="177">
        <f ca="1">INDEX('ROTT TO AG'!$A$6:$J$23,MATCH(MAIN!E136,'ROTT TO AG'!$A$6:$A$23,0),7)</f>
        <v>0.28743750000000001</v>
      </c>
      <c r="H136" s="175">
        <f ca="1">INDEX('ROTT TO AG'!$A$6:$J$23,MATCH(MAIN!E136,'ROTT TO AG'!$A$6:$A$23,0),9)</f>
        <v>0.28462500000000002</v>
      </c>
      <c r="I136" s="176" t="s">
        <v>60</v>
      </c>
      <c r="J136" s="248">
        <f ca="1">INDEX('ROTT TO AG'!$L$6:$U$23,MATCH(MAIN!I136,'ROTT TO AG'!$L$6:$L$23,0),5)</f>
        <v>0.28743750000000001</v>
      </c>
      <c r="K136" s="177">
        <f ca="1">INDEX('ROTT TO AG'!$L$6:$U$23,MATCH(MAIN!I136,'ROTT TO AG'!$L$6:$L$23,0),7)</f>
        <v>0.28743750000000001</v>
      </c>
      <c r="L136" s="175">
        <f ca="1">INDEX('ROTT TO AG'!$L$6:$U$23,MATCH(MAIN!I136,'ROTT TO AG'!$L$6:$L$23,0),9)</f>
        <v>0.28462500000000002</v>
      </c>
      <c r="M136" s="154"/>
    </row>
    <row r="137" spans="1:13" hidden="1" outlineLevel="1" x14ac:dyDescent="0.25">
      <c r="A137" s="154"/>
      <c r="B137" s="255" t="s">
        <v>61</v>
      </c>
      <c r="C137" s="449"/>
      <c r="D137" s="465"/>
      <c r="E137" s="176" t="s">
        <v>61</v>
      </c>
      <c r="F137" s="174">
        <f ca="1">INDEX('ROTT TO AG'!$A$6:$J$23,MATCH(MAIN!E137,'ROTT TO AG'!$A$6:$A$23,0),5)</f>
        <v>137.703</v>
      </c>
      <c r="G137" s="177">
        <f ca="1">INDEX('ROTT TO AG'!$A$6:$J$23,MATCH(MAIN!E137,'ROTT TO AG'!$A$6:$A$23,0),7)</f>
        <v>137.79300000000001</v>
      </c>
      <c r="H137" s="175">
        <f ca="1">INDEX('ROTT TO AG'!$A$6:$J$23,MATCH(MAIN!E137,'ROTT TO AG'!$A$6:$A$23,0),9)</f>
        <v>137.79300000000001</v>
      </c>
      <c r="I137" s="176" t="s">
        <v>61</v>
      </c>
      <c r="J137" s="248">
        <f ca="1">INDEX('ROTT TO AG'!$L$6:$U$23,MATCH(MAIN!I137,'ROTT TO AG'!$L$6:$L$23,0),5)</f>
        <v>137.703</v>
      </c>
      <c r="K137" s="177">
        <f ca="1">INDEX('ROTT TO AG'!$L$6:$U$23,MATCH(MAIN!I137,'ROTT TO AG'!$L$6:$L$23,0),7)</f>
        <v>137.79300000000001</v>
      </c>
      <c r="L137" s="175">
        <f ca="1">INDEX('ROTT TO AG'!$L$6:$U$23,MATCH(MAIN!I137,'ROTT TO AG'!$L$6:$L$23,0),9)</f>
        <v>137.79300000000001</v>
      </c>
      <c r="M137" s="154"/>
    </row>
    <row r="138" spans="1:13" hidden="1" outlineLevel="1" x14ac:dyDescent="0.25">
      <c r="A138" s="154"/>
      <c r="B138" s="255" t="s">
        <v>62</v>
      </c>
      <c r="C138" s="449"/>
      <c r="D138" s="465"/>
      <c r="E138" s="176" t="s">
        <v>62</v>
      </c>
      <c r="F138" s="174">
        <f>INDEX('ROTT TO AG'!$A$6:$J$23,MATCH(MAIN!E138,'ROTT TO AG'!$A$6:$A$23,0),5)</f>
        <v>8.3333333333333329E-2</v>
      </c>
      <c r="G138" s="177">
        <f>INDEX('ROTT TO AG'!$A$6:$J$23,MATCH(MAIN!E138,'ROTT TO AG'!$A$6:$A$23,0),7)</f>
        <v>8.3333333333333329E-2</v>
      </c>
      <c r="H138" s="175">
        <f>INDEX('ROTT TO AG'!$A$6:$J$23,MATCH(MAIN!E138,'ROTT TO AG'!$A$6:$A$23,0),9)</f>
        <v>8.3333333333333329E-2</v>
      </c>
      <c r="I138" s="176" t="s">
        <v>62</v>
      </c>
      <c r="J138" s="248">
        <f>INDEX('ROTT TO AG'!$L$6:$U$23,MATCH(MAIN!I138,'ROTT TO AG'!$L$6:$L$23,0),5)</f>
        <v>0.12755102040816327</v>
      </c>
      <c r="K138" s="177">
        <f>INDEX('ROTT TO AG'!$L$6:$U$23,MATCH(MAIN!I138,'ROTT TO AG'!$L$6:$L$23,0),7)</f>
        <v>0.12755102040816327</v>
      </c>
      <c r="L138" s="175">
        <f>INDEX('ROTT TO AG'!$L$6:$U$23,MATCH(MAIN!I138,'ROTT TO AG'!$L$6:$L$23,0),9)</f>
        <v>0.12755102040816327</v>
      </c>
      <c r="M138" s="154"/>
    </row>
    <row r="139" spans="1:13" hidden="1" outlineLevel="1" x14ac:dyDescent="0.25">
      <c r="A139" s="154"/>
      <c r="B139" s="255" t="s">
        <v>63</v>
      </c>
      <c r="C139" s="449"/>
      <c r="D139" s="465"/>
      <c r="E139" s="176" t="s">
        <v>63</v>
      </c>
      <c r="F139" s="174">
        <f>INDEX('ROTT TO AG'!$A$6:$J$23,MATCH(MAIN!E139,'ROTT TO AG'!$A$6:$A$23,0),5)</f>
        <v>8.3333333333333332E-3</v>
      </c>
      <c r="G139" s="177">
        <f>INDEX('ROTT TO AG'!$A$6:$J$23,MATCH(MAIN!E139,'ROTT TO AG'!$A$6:$A$23,0),7)</f>
        <v>8.3333333333333332E-3</v>
      </c>
      <c r="H139" s="175">
        <f>INDEX('ROTT TO AG'!$A$6:$J$23,MATCH(MAIN!E139,'ROTT TO AG'!$A$6:$A$23,0),9)</f>
        <v>8.3333333333333332E-3</v>
      </c>
      <c r="I139" s="176" t="s">
        <v>63</v>
      </c>
      <c r="J139" s="248">
        <f>INDEX('ROTT TO AG'!$L$6:$U$23,MATCH(MAIN!I139,'ROTT TO AG'!$L$6:$L$23,0),5)</f>
        <v>1.2755102040816327E-2</v>
      </c>
      <c r="K139" s="177">
        <f>INDEX('ROTT TO AG'!$L$6:$U$23,MATCH(MAIN!I139,'ROTT TO AG'!$L$6:$L$23,0),7)</f>
        <v>1.2755102040816327E-2</v>
      </c>
      <c r="L139" s="175">
        <f>INDEX('ROTT TO AG'!$L$6:$U$23,MATCH(MAIN!I139,'ROTT TO AG'!$L$6:$L$23,0),9)</f>
        <v>1.2755102040816327E-2</v>
      </c>
      <c r="M139" s="154"/>
    </row>
    <row r="140" spans="1:13" hidden="1" outlineLevel="1" x14ac:dyDescent="0.25">
      <c r="A140" s="154"/>
      <c r="B140" s="255" t="s">
        <v>64</v>
      </c>
      <c r="C140" s="449"/>
      <c r="D140" s="465"/>
      <c r="E140" s="176" t="s">
        <v>64</v>
      </c>
      <c r="F140" s="174">
        <f>INDEX('ROTT TO AG'!$A$6:$J$23,MATCH(MAIN!E140,'ROTT TO AG'!$A$6:$A$23,0),5)</f>
        <v>8.3333333333333332E-3</v>
      </c>
      <c r="G140" s="177">
        <f>INDEX('ROTT TO AG'!$A$6:$J$23,MATCH(MAIN!E140,'ROTT TO AG'!$A$6:$A$23,0),7)</f>
        <v>8.3333333333333332E-3</v>
      </c>
      <c r="H140" s="175">
        <f>INDEX('ROTT TO AG'!$A$6:$J$23,MATCH(MAIN!E140,'ROTT TO AG'!$A$6:$A$23,0),9)</f>
        <v>8.3333333333333332E-3</v>
      </c>
      <c r="I140" s="176" t="s">
        <v>64</v>
      </c>
      <c r="J140" s="248">
        <f>INDEX('ROTT TO AG'!$L$6:$U$23,MATCH(MAIN!I140,'ROTT TO AG'!$L$6:$L$23,0),5)</f>
        <v>1.2755102040816327E-2</v>
      </c>
      <c r="K140" s="177">
        <f>INDEX('ROTT TO AG'!$L$6:$U$23,MATCH(MAIN!I140,'ROTT TO AG'!$L$6:$L$23,0),7)</f>
        <v>1.2755102040816327E-2</v>
      </c>
      <c r="L140" s="175">
        <f>INDEX('ROTT TO AG'!$L$6:$U$23,MATCH(MAIN!I140,'ROTT TO AG'!$L$6:$L$23,0),9)</f>
        <v>1.2755102040816327E-2</v>
      </c>
      <c r="M140" s="154"/>
    </row>
    <row r="141" spans="1:13" hidden="1" outlineLevel="1" x14ac:dyDescent="0.25">
      <c r="A141" s="154"/>
      <c r="B141" s="255" t="s">
        <v>65</v>
      </c>
      <c r="C141" s="449"/>
      <c r="D141" s="465"/>
      <c r="E141" s="176" t="s">
        <v>65</v>
      </c>
      <c r="F141" s="174">
        <f>INDEX('ROTT TO AG'!$A$6:$J$23,MATCH(MAIN!E141,'ROTT TO AG'!$A$6:$A$23,0),5)</f>
        <v>0.1</v>
      </c>
      <c r="G141" s="177">
        <f>INDEX('ROTT TO AG'!$A$6:$J$23,MATCH(MAIN!E141,'ROTT TO AG'!$A$6:$A$23,0),7)</f>
        <v>0.1</v>
      </c>
      <c r="H141" s="175">
        <f>INDEX('ROTT TO AG'!$A$6:$J$23,MATCH(MAIN!E141,'ROTT TO AG'!$A$6:$A$23,0),9)</f>
        <v>0.1</v>
      </c>
      <c r="I141" s="176" t="s">
        <v>65</v>
      </c>
      <c r="J141" s="248">
        <f>INDEX('ROTT TO AG'!$L$6:$U$23,MATCH(MAIN!I141,'ROTT TO AG'!$L$6:$L$23,0),5)</f>
        <v>0.15306122448979592</v>
      </c>
      <c r="K141" s="177">
        <f>INDEX('ROTT TO AG'!$L$6:$U$23,MATCH(MAIN!I141,'ROTT TO AG'!$L$6:$L$23,0),7)</f>
        <v>0.15306122448979592</v>
      </c>
      <c r="L141" s="175">
        <f>INDEX('ROTT TO AG'!$L$6:$U$23,MATCH(MAIN!I141,'ROTT TO AG'!$L$6:$L$23,0),9)</f>
        <v>0.15306122448979592</v>
      </c>
      <c r="M141" s="154"/>
    </row>
    <row r="142" spans="1:13" hidden="1" outlineLevel="1" x14ac:dyDescent="0.25">
      <c r="A142" s="154"/>
      <c r="B142" s="255" t="s">
        <v>66</v>
      </c>
      <c r="C142" s="449"/>
      <c r="D142" s="465"/>
      <c r="E142" s="176" t="s">
        <v>66</v>
      </c>
      <c r="F142" s="174">
        <f>INDEX('ROTT TO AG'!$A$6:$J$23,MATCH(MAIN!E142,'ROTT TO AG'!$A$6:$A$23,0),5)</f>
        <v>6.6666666666666666E-2</v>
      </c>
      <c r="G142" s="177">
        <f>INDEX('ROTT TO AG'!$A$6:$J$23,MATCH(MAIN!E142,'ROTT TO AG'!$A$6:$A$23,0),7)</f>
        <v>6.6666666666666666E-2</v>
      </c>
      <c r="H142" s="175">
        <f>INDEX('ROTT TO AG'!$A$6:$J$23,MATCH(MAIN!E142,'ROTT TO AG'!$A$6:$A$23,0),9)</f>
        <v>6.6666666666666666E-2</v>
      </c>
      <c r="I142" s="176" t="s">
        <v>66</v>
      </c>
      <c r="J142" s="248">
        <f>INDEX('ROTT TO AG'!$L$6:$U$23,MATCH(MAIN!I142,'ROTT TO AG'!$L$6:$L$23,0),5)</f>
        <v>0.10204081632653061</v>
      </c>
      <c r="K142" s="177">
        <f>INDEX('ROTT TO AG'!$L$6:$U$23,MATCH(MAIN!I142,'ROTT TO AG'!$L$6:$L$23,0),7)</f>
        <v>0.10204081632653061</v>
      </c>
      <c r="L142" s="175">
        <f>INDEX('ROTT TO AG'!$L$6:$U$23,MATCH(MAIN!I142,'ROTT TO AG'!$L$6:$L$23,0),9)</f>
        <v>0.10204081632653061</v>
      </c>
      <c r="M142" s="154"/>
    </row>
    <row r="143" spans="1:13" hidden="1" outlineLevel="1" x14ac:dyDescent="0.25">
      <c r="A143" s="154"/>
      <c r="B143" s="255" t="s">
        <v>102</v>
      </c>
      <c r="C143" s="449"/>
      <c r="D143" s="465"/>
      <c r="E143" s="176" t="s">
        <v>102</v>
      </c>
      <c r="F143" s="174">
        <f ca="1">INDEX('ROTT TO AG'!$A$6:$J$23,MATCH(MAIN!E143,'ROTT TO AG'!$A$6:$A$23,0),5)</f>
        <v>178.65543750000001</v>
      </c>
      <c r="G143" s="177">
        <f ca="1">INDEX('ROTT TO AG'!$A$6:$J$23,MATCH(MAIN!E143,'ROTT TO AG'!$A$6:$A$23,0),7)</f>
        <v>178.74543749999998</v>
      </c>
      <c r="H143" s="175">
        <f ca="1">INDEX('ROTT TO AG'!$A$6:$J$23,MATCH(MAIN!E143,'ROTT TO AG'!$A$6:$A$23,0),9)</f>
        <v>178.70872089041094</v>
      </c>
      <c r="I143" s="176" t="s">
        <v>102</v>
      </c>
      <c r="J143" s="248">
        <f ca="1">INDEX('ROTT TO AG'!$L$6:$U$23,MATCH(MAIN!I143,'ROTT TO AG'!$L$6:$L$23,0),5)</f>
        <v>188.41972321428571</v>
      </c>
      <c r="K143" s="177">
        <f ca="1">INDEX('ROTT TO AG'!$L$6:$U$23,MATCH(MAIN!I143,'ROTT TO AG'!$L$6:$L$23,0),7)</f>
        <v>188.50972321428571</v>
      </c>
      <c r="L143" s="175">
        <f ca="1">INDEX('ROTT TO AG'!$L$6:$U$23,MATCH(MAIN!I143,'ROTT TO AG'!$L$6:$L$23,0),9)</f>
        <v>188.47300660469668</v>
      </c>
      <c r="M143" s="154"/>
    </row>
    <row r="144" spans="1:13" hidden="1" outlineLevel="1" x14ac:dyDescent="0.25">
      <c r="A144" s="154"/>
      <c r="B144" s="255" t="s">
        <v>103</v>
      </c>
      <c r="C144" s="449"/>
      <c r="D144" s="465"/>
      <c r="E144" s="176" t="s">
        <v>103</v>
      </c>
      <c r="F144" s="174">
        <f ca="1">INDEX('ROTT TO AG'!$A$6:$J$23,MATCH(MAIN!E144,'ROTT TO AG'!$A$6:$A$23,0),5)</f>
        <v>10</v>
      </c>
      <c r="G144" s="177">
        <f ca="1">INDEX('ROTT TO AG'!$A$6:$J$23,MATCH(MAIN!E144,'ROTT TO AG'!$A$6:$A$23,0),7)</f>
        <v>10.083333333333334</v>
      </c>
      <c r="H144" s="175">
        <f ca="1">INDEX('ROTT TO AG'!$A$6:$J$23,MATCH(MAIN!E144,'ROTT TO AG'!$A$6:$A$23,0),9)</f>
        <v>10.25</v>
      </c>
      <c r="I144" s="176" t="s">
        <v>103</v>
      </c>
      <c r="J144" s="248">
        <f ca="1">INDEX('ROTT TO AG'!$L$6:$U$23,MATCH(MAIN!I144,'ROTT TO AG'!$L$6:$L$23,0),5)</f>
        <v>10</v>
      </c>
      <c r="K144" s="177">
        <f ca="1">INDEX('ROTT TO AG'!$L$6:$U$23,MATCH(MAIN!I144,'ROTT TO AG'!$L$6:$L$23,0),7)</f>
        <v>10.083333333333334</v>
      </c>
      <c r="L144" s="175">
        <f ca="1">INDEX('ROTT TO AG'!$L$6:$U$23,MATCH(MAIN!I144,'ROTT TO AG'!$L$6:$L$23,0),9)</f>
        <v>10.25</v>
      </c>
      <c r="M144" s="154"/>
    </row>
    <row r="145" spans="1:22" hidden="1" outlineLevel="1" x14ac:dyDescent="0.25">
      <c r="A145" s="154"/>
      <c r="B145" s="255" t="s">
        <v>115</v>
      </c>
      <c r="C145" s="449"/>
      <c r="D145" s="465"/>
      <c r="E145" s="176" t="s">
        <v>115</v>
      </c>
      <c r="F145" s="174">
        <f ca="1">INDEX('ROTT TO AG'!$A$6:$J$23,MATCH(MAIN!E145,'ROTT TO AG'!$A$6:$A$23,0),5)</f>
        <v>-168.65543750000001</v>
      </c>
      <c r="G145" s="177">
        <f ca="1">INDEX('ROTT TO AG'!$A$6:$J$23,MATCH(MAIN!E145,'ROTT TO AG'!$A$6:$A$23,0),7)</f>
        <v>-168.66210416666664</v>
      </c>
      <c r="H145" s="175">
        <f ca="1">INDEX('ROTT TO AG'!$A$6:$J$23,MATCH(MAIN!E145,'ROTT TO AG'!$A$6:$A$23,0),9)</f>
        <v>-168.45872089041094</v>
      </c>
      <c r="I145" s="176" t="s">
        <v>115</v>
      </c>
      <c r="J145" s="248">
        <f ca="1">INDEX('ROTT TO AG'!$L$6:$U$23,MATCH(MAIN!I145,'ROTT TO AG'!$L$6:$L$23,0),5)</f>
        <v>-178.41972321428571</v>
      </c>
      <c r="K145" s="177">
        <f ca="1">INDEX('ROTT TO AG'!$L$6:$U$23,MATCH(MAIN!I145,'ROTT TO AG'!$L$6:$L$23,0),7)</f>
        <v>-178.42638988095237</v>
      </c>
      <c r="L145" s="175">
        <f ca="1">INDEX('ROTT TO AG'!$L$6:$U$23,MATCH(MAIN!I145,'ROTT TO AG'!$L$6:$L$23,0),9)</f>
        <v>-178.22300660469668</v>
      </c>
      <c r="M145" s="154"/>
    </row>
    <row r="146" spans="1:22" ht="15.75" hidden="1" outlineLevel="1" thickBot="1" x14ac:dyDescent="0.3">
      <c r="A146" s="154"/>
      <c r="B146" s="255" t="s">
        <v>129</v>
      </c>
      <c r="C146" s="463"/>
      <c r="D146" s="466"/>
      <c r="E146" s="232" t="s">
        <v>129</v>
      </c>
      <c r="F146" s="216">
        <f ca="1">F124</f>
        <v>45903</v>
      </c>
      <c r="G146" s="217">
        <f ca="1">G124</f>
        <v>45917</v>
      </c>
      <c r="H146" s="218">
        <f ca="1">H124</f>
        <v>45931</v>
      </c>
      <c r="I146" s="232" t="s">
        <v>129</v>
      </c>
      <c r="J146" s="249">
        <f ca="1">J124</f>
        <v>45903</v>
      </c>
      <c r="K146" s="217">
        <f ca="1">K124</f>
        <v>45917</v>
      </c>
      <c r="L146" s="218">
        <f ca="1">L124</f>
        <v>45931</v>
      </c>
      <c r="M146" s="154"/>
    </row>
    <row r="147" spans="1:22" collapsed="1" x14ac:dyDescent="0.25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</row>
    <row r="148" spans="1:22" ht="18" thickBot="1" x14ac:dyDescent="0.3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U148" s="435"/>
    </row>
    <row r="149" spans="1:22" ht="15.75" thickBot="1" x14ac:dyDescent="0.3">
      <c r="A149" s="456" t="s">
        <v>141</v>
      </c>
      <c r="B149" s="154"/>
      <c r="C149" s="451"/>
      <c r="D149" s="452"/>
      <c r="E149" s="156"/>
      <c r="F149" s="453" t="s">
        <v>132</v>
      </c>
      <c r="G149" s="454"/>
      <c r="H149" s="455"/>
      <c r="I149" s="156"/>
      <c r="J149" s="453" t="s">
        <v>133</v>
      </c>
      <c r="K149" s="454"/>
      <c r="L149" s="455"/>
      <c r="M149" s="154"/>
    </row>
    <row r="150" spans="1:22" ht="15.75" thickBot="1" x14ac:dyDescent="0.3">
      <c r="A150" s="456"/>
      <c r="B150" s="198" t="s">
        <v>134</v>
      </c>
      <c r="C150" s="182"/>
      <c r="D150" s="183"/>
      <c r="E150" s="156"/>
      <c r="F150" s="172" t="str">
        <f ca="1">IF(DAY(F151)&lt;15,"1H-"&amp;VLOOKUP(MONTH(F151),Mapping!$A$1:$B$12,2,0),"2H-"&amp;VLOOKUP(MONTH(F151),Mapping!$A$1:$B$12,2,0))</f>
        <v>2H-SEP</v>
      </c>
      <c r="G150" s="185" t="str">
        <f ca="1">IF(DAY(G151)&lt;15,"1H-"&amp;VLOOKUP(MONTH(G151),Mapping!$A$1:$B$12,2,0),"2H-"&amp;VLOOKUP(MONTH(G151),Mapping!$A$1:$B$12,2,0))</f>
        <v>1H-OCT</v>
      </c>
      <c r="H150" s="173" t="str">
        <f ca="1">IF(DAY(H151)&lt;15,"1H-"&amp;VLOOKUP(MONTH(H151),Mapping!$A$1:$B$12,2,0),"2H-"&amp;VLOOKUP(MONTH(H151),Mapping!$A$1:$B$12,2,0))</f>
        <v>2H-OCT</v>
      </c>
      <c r="I150" s="199" t="str">
        <f>IF(DAY(I151)&lt;15,"1H-"&amp;VLOOKUP(MONTH(I151),Mapping!$A$1:$B$12,2,0),"2H-"&amp;VLOOKUP(MONTH(I151),Mapping!$A$1:$B$12,2,0))</f>
        <v>1H-JAN</v>
      </c>
      <c r="J150" s="172" t="str">
        <f ca="1">IF(DAY(J151)&lt;15,"1H-"&amp;VLOOKUP(MONTH(J151),Mapping!$A$1:$B$12,2,0),"2H-"&amp;VLOOKUP(MONTH(J151),Mapping!$A$1:$B$12,2,0))</f>
        <v>2H-SEP</v>
      </c>
      <c r="K150" s="185" t="str">
        <f ca="1">IF(DAY(K151)&lt;15,"1H-"&amp;VLOOKUP(MONTH(K151),Mapping!$A$1:$B$12,2,0),"2H-"&amp;VLOOKUP(MONTH(K151),Mapping!$A$1:$B$12,2,0))</f>
        <v>1H-OCT</v>
      </c>
      <c r="L150" s="173" t="str">
        <f ca="1">IF(DAY(L151)&lt;15,"1H-"&amp;VLOOKUP(MONTH(L151),Mapping!$A$1:$B$12,2,0),"2H-"&amp;VLOOKUP(MONTH(L151),Mapping!$A$1:$B$12,2,0))</f>
        <v>2H-OCT</v>
      </c>
      <c r="M150" s="154"/>
    </row>
    <row r="151" spans="1:22" x14ac:dyDescent="0.25">
      <c r="A151" s="154"/>
      <c r="B151" s="153" t="s">
        <v>134</v>
      </c>
      <c r="C151" s="447"/>
      <c r="D151" s="448"/>
      <c r="E151" s="6"/>
      <c r="F151" s="157">
        <f ca="1">'Loading Arrival'!B26</f>
        <v>45922</v>
      </c>
      <c r="G151" s="193">
        <f ca="1">'Loading Arrival'!C26</f>
        <v>45936</v>
      </c>
      <c r="H151" s="194">
        <f ca="1">'Loading Arrival'!D26</f>
        <v>45950</v>
      </c>
      <c r="I151" s="163">
        <f>I102</f>
        <v>0</v>
      </c>
      <c r="J151" s="193">
        <f ca="1">F151</f>
        <v>45922</v>
      </c>
      <c r="K151" s="193">
        <f t="shared" ref="K151:L151" ca="1" si="1">G151</f>
        <v>45936</v>
      </c>
      <c r="L151" s="193">
        <f t="shared" ca="1" si="1"/>
        <v>45950</v>
      </c>
      <c r="M151" s="154"/>
    </row>
    <row r="152" spans="1:22" x14ac:dyDescent="0.25">
      <c r="A152" s="198" t="s">
        <v>235</v>
      </c>
      <c r="B152" s="167"/>
      <c r="C152" s="449"/>
      <c r="D152" s="450"/>
      <c r="E152" s="10"/>
      <c r="F152" s="158">
        <f ca="1">F172+F153-F154</f>
        <v>-23.317020833333338</v>
      </c>
      <c r="G152" s="159">
        <f ca="1">G172+G153-G154</f>
        <v>-23.244092261904768</v>
      </c>
      <c r="H152" s="160">
        <f ca="1">H172+H153-H154</f>
        <v>-23.778804223744288</v>
      </c>
      <c r="I152" s="164"/>
      <c r="J152" s="159">
        <f ca="1">J172+J153-J154</f>
        <v>-45.543687500000011</v>
      </c>
      <c r="K152" s="159">
        <f ca="1">K172+K153-K154</f>
        <v>-45.470758928571442</v>
      </c>
      <c r="L152" s="160">
        <f ca="1">L172+L153-L154</f>
        <v>-45.255470890410962</v>
      </c>
      <c r="M152" s="154"/>
      <c r="V152" t="s">
        <v>229</v>
      </c>
    </row>
    <row r="153" spans="1:22" x14ac:dyDescent="0.25">
      <c r="A153" s="154"/>
      <c r="B153" s="168" t="s">
        <v>136</v>
      </c>
      <c r="C153" s="449"/>
      <c r="D153" s="450"/>
      <c r="E153" s="176" t="s">
        <v>131</v>
      </c>
      <c r="F153" s="174">
        <f ca="1">INDEX(Premium!$A$2:$D$12,MATCH(MAIN!$A7,Premium!$A$2:$A$12,0),MATCH(EOMONTH(MAIN!F151,-1)+1,Premium!$A$2:$D$2,0))</f>
        <v>-1.5</v>
      </c>
      <c r="G153" s="177">
        <f ca="1">INDEX(Premium!$A$2:$D$12,MATCH(MAIN!$A7,Premium!$A$2:$A$12,0),MATCH(EOMONTH(MAIN!G151,-1)+1,Premium!$A$2:$D$2,0))</f>
        <v>-1.5</v>
      </c>
      <c r="H153" s="175">
        <f ca="1">INDEX(Premium!$A$2:$D$12,MATCH(MAIN!$A7,Premium!$A$2:$A$12,0),MATCH(EOMONTH(MAIN!H151,-1)+1,Premium!$A$2:$D$2,0))</f>
        <v>-1.5</v>
      </c>
      <c r="I153" s="178" t="s">
        <v>131</v>
      </c>
      <c r="J153" s="177">
        <f ca="1">INDEX(Premium!$A$2:$D$12,MATCH(MAIN!$A7,Premium!$A$2:$A$12,0),MATCH(EOMONTH(MAIN!J151,-1)+1,Premium!$A$2:$D$2,0))</f>
        <v>-1.5</v>
      </c>
      <c r="K153" s="177">
        <f ca="1">INDEX(Premium!$A$2:$D$12,MATCH(MAIN!$A7,Premium!$A$2:$A$12,0),MATCH(EOMONTH(MAIN!K151,-1)+1,Premium!$A$2:$D$2,0))</f>
        <v>-1.5</v>
      </c>
      <c r="L153" s="175">
        <f ca="1">INDEX(Premium!$A$2:$D$12,MATCH(MAIN!$A7,Premium!$A$2:$A$12,0),MATCH(EOMONTH(MAIN!L151,-1)+1,Premium!$A$2:$D$2,0))</f>
        <v>-1.5</v>
      </c>
      <c r="M153" s="154"/>
      <c r="V153" t="s">
        <v>230</v>
      </c>
    </row>
    <row r="154" spans="1:22" ht="15.75" thickBot="1" x14ac:dyDescent="0.3">
      <c r="A154" s="154"/>
      <c r="B154" s="169" t="s">
        <v>135</v>
      </c>
      <c r="C154" s="449"/>
      <c r="D154" s="450"/>
      <c r="E154" s="176" t="s">
        <v>130</v>
      </c>
      <c r="F154" s="179">
        <f ca="1">INDEX(Premium!$A$21:$D$34,MATCH(A152,Premium!$A$21:$A$34,0),MATCH(EOMONTH(MAIN!F173,-1)+1,Premium!$A$21:$D$21,0))</f>
        <v>-8.5</v>
      </c>
      <c r="G154" s="179">
        <f ca="1">INDEX(Premium!$A$21:$D$34,MATCH(A152,Premium!$A$21:$A$34,0),MATCH(EOMONTH(MAIN!G173,-1)+1,Premium!$A$21:$D$21,0))</f>
        <v>-8.5</v>
      </c>
      <c r="H154" s="179">
        <f ca="1">INDEX(Premium!$A$21:$D$34,MATCH(A152,Premium!$A$21:$A$34,0),MATCH(EOMONTH(MAIN!H173,-1)+1,Premium!$A$21:$D$21,0))</f>
        <v>-7.75</v>
      </c>
      <c r="I154" s="178" t="s">
        <v>130</v>
      </c>
      <c r="J154" s="179">
        <f ca="1">INDEX(Premium!$A$21:$D$29,MATCH(LEFT(MAIN!$A152,3),Premium!$A$21:$A$29,0),MATCH(EOMONTH(MAIN!J173,-1)+1,Premium!$A$21:$D$21,0))</f>
        <v>3</v>
      </c>
      <c r="K154" s="179">
        <f ca="1">INDEX(Premium!$A$21:$D$29,MATCH(LEFT(MAIN!$A152,3),Premium!$A$21:$A$29,0),MATCH(EOMONTH(MAIN!K173,-1)+1,Premium!$A$21:$D$21,0))</f>
        <v>3</v>
      </c>
      <c r="L154" s="179">
        <f ca="1">INDEX(Premium!$A$21:$D$29,MATCH(LEFT(MAIN!$A152,3),Premium!$A$21:$A$29,0),MATCH(EOMONTH(MAIN!L173,-1)+1,Premium!$A$21:$D$21,0))</f>
        <v>3</v>
      </c>
      <c r="M154" s="154"/>
    </row>
    <row r="155" spans="1:22" hidden="1" outlineLevel="1" x14ac:dyDescent="0.25">
      <c r="A155" s="154"/>
      <c r="B155" s="254" t="s">
        <v>55</v>
      </c>
      <c r="C155" s="449"/>
      <c r="D155" s="450"/>
      <c r="E155" s="6" t="s">
        <v>55</v>
      </c>
      <c r="F155" s="233">
        <f>INDEX('MED TO SING'!$A$6:$J$23,MATCH(MAIN!E155,'MED TO SING'!$A$6:$A$23,0),5)</f>
        <v>32</v>
      </c>
      <c r="G155" s="240">
        <f>INDEX('MED TO SING'!$A$6:$J$23,MATCH(MAIN!E155,'MED TO SING'!$A$6:$A$23,0),7)</f>
        <v>32</v>
      </c>
      <c r="H155" s="241">
        <f>INDEX('MED TO SING'!$A$6:$J$23,MATCH(MAIN!E155,'MED TO SING'!$A$6:$A$23,0),9)</f>
        <v>32</v>
      </c>
      <c r="I155" s="250" t="s">
        <v>55</v>
      </c>
      <c r="J155" s="233">
        <f>INDEX('MED TO SING'!$L$6:$U$23,MATCH(MAIN!I155,'MED TO SING'!$L$6:$L$23,0),5)</f>
        <v>43</v>
      </c>
      <c r="K155" s="240">
        <f>INDEX('MED TO SING'!$L$6:$U$23,MATCH(MAIN!I155,'MED TO SING'!$L$6:$L$23,0),7)</f>
        <v>43</v>
      </c>
      <c r="L155" s="241">
        <f>INDEX('MED TO SING'!$L$6:$U$23,MATCH(MAIN!I155,'MED TO SING'!$L$6:$L$23,0),9)</f>
        <v>43</v>
      </c>
      <c r="M155" s="154"/>
    </row>
    <row r="156" spans="1:22" hidden="1" outlineLevel="1" x14ac:dyDescent="0.25">
      <c r="A156" s="154"/>
      <c r="B156" s="255" t="s">
        <v>56</v>
      </c>
      <c r="C156" s="449"/>
      <c r="D156" s="450"/>
      <c r="E156" s="6" t="s">
        <v>56</v>
      </c>
      <c r="F156" s="174">
        <f>INDEX('MED TO SING'!$A$6:$J$23,MATCH(MAIN!E156,'MED TO SING'!$A$6:$A$23,0),5)</f>
        <v>0</v>
      </c>
      <c r="G156" s="177">
        <f>INDEX('MED TO SING'!$A$6:$J$23,MATCH(MAIN!E156,'MED TO SING'!$A$6:$A$23,0),7)</f>
        <v>0</v>
      </c>
      <c r="H156" s="175">
        <f>INDEX('MED TO SING'!$A$6:$J$23,MATCH(MAIN!E156,'MED TO SING'!$A$6:$A$23,0),9)</f>
        <v>0</v>
      </c>
      <c r="I156" s="178" t="s">
        <v>56</v>
      </c>
      <c r="J156" s="174">
        <f>INDEX('MED TO SING'!$L$6:$U$23,MATCH(MAIN!I156,'MED TO SING'!$L$6:$L$23,0),5)</f>
        <v>0</v>
      </c>
      <c r="K156" s="177">
        <f>INDEX('MED TO SING'!$L$6:$U$23,MATCH(MAIN!I156,'MED TO SING'!$L$6:$L$23,0),7)</f>
        <v>0</v>
      </c>
      <c r="L156" s="175">
        <f>INDEX('MED TO SING'!$L$6:$U$23,MATCH(MAIN!I156,'MED TO SING'!$L$6:$L$23,0),9)</f>
        <v>0</v>
      </c>
      <c r="M156" s="154"/>
    </row>
    <row r="157" spans="1:22" hidden="1" outlineLevel="1" x14ac:dyDescent="0.25">
      <c r="A157" s="154"/>
      <c r="B157" s="255" t="s">
        <v>57</v>
      </c>
      <c r="C157" s="449"/>
      <c r="D157" s="450"/>
      <c r="E157" s="6" t="s">
        <v>57</v>
      </c>
      <c r="F157" s="174">
        <f>INDEX('MED TO SING'!$A$6:$J$23,MATCH(MAIN!E157,'MED TO SING'!$A$6:$A$23,0),5)</f>
        <v>2.6833333333333331</v>
      </c>
      <c r="G157" s="177">
        <f>INDEX('MED TO SING'!$A$6:$J$23,MATCH(MAIN!E157,'MED TO SING'!$A$6:$A$23,0),7)</f>
        <v>2.6833333333333331</v>
      </c>
      <c r="H157" s="175">
        <f>INDEX('MED TO SING'!$A$6:$J$23,MATCH(MAIN!E157,'MED TO SING'!$A$6:$A$23,0),9)</f>
        <v>2.6833333333333331</v>
      </c>
      <c r="I157" s="178" t="s">
        <v>57</v>
      </c>
      <c r="J157" s="174">
        <f>INDEX('MED TO SING'!$L$6:$U$23,MATCH(MAIN!I157,'MED TO SING'!$L$6:$L$23,0),5)</f>
        <v>2.125</v>
      </c>
      <c r="K157" s="177">
        <f>INDEX('MED TO SING'!$L$6:$U$23,MATCH(MAIN!I157,'MED TO SING'!$L$6:$L$23,0),7)</f>
        <v>2.125</v>
      </c>
      <c r="L157" s="175">
        <f>INDEX('MED TO SING'!$L$6:$U$23,MATCH(MAIN!I157,'MED TO SING'!$L$6:$L$23,0),9)</f>
        <v>2.125</v>
      </c>
      <c r="M157" s="154"/>
    </row>
    <row r="158" spans="1:22" hidden="1" outlineLevel="1" x14ac:dyDescent="0.25">
      <c r="A158" s="154"/>
      <c r="B158" s="255" t="s">
        <v>58</v>
      </c>
      <c r="C158" s="449"/>
      <c r="D158" s="450"/>
      <c r="E158" s="6" t="s">
        <v>58</v>
      </c>
      <c r="F158" s="174">
        <f>INDEX('MED TO SING'!$A$6:$J$23,MATCH(MAIN!E158,'MED TO SING'!$A$6:$A$23,0),5)</f>
        <v>0.1</v>
      </c>
      <c r="G158" s="177">
        <f>INDEX('MED TO SING'!$A$6:$J$23,MATCH(MAIN!E158,'MED TO SING'!$A$6:$A$23,0),7)</f>
        <v>0.1</v>
      </c>
      <c r="H158" s="175">
        <f>INDEX('MED TO SING'!$A$6:$J$23,MATCH(MAIN!E158,'MED TO SING'!$A$6:$A$23,0),9)</f>
        <v>0.1</v>
      </c>
      <c r="I158" s="178" t="s">
        <v>58</v>
      </c>
      <c r="J158" s="174">
        <f>INDEX('MED TO SING'!$L$6:$U$23,MATCH(MAIN!I158,'MED TO SING'!$L$6:$L$23,0),5)</f>
        <v>8.5000000000000006E-2</v>
      </c>
      <c r="K158" s="177">
        <f>INDEX('MED TO SING'!$L$6:$U$23,MATCH(MAIN!I158,'MED TO SING'!$L$6:$L$23,0),7)</f>
        <v>8.5000000000000006E-2</v>
      </c>
      <c r="L158" s="175">
        <f>INDEX('MED TO SING'!$L$6:$U$23,MATCH(MAIN!I158,'MED TO SING'!$L$6:$L$23,0),9)</f>
        <v>8.5000000000000006E-2</v>
      </c>
      <c r="M158" s="154"/>
    </row>
    <row r="159" spans="1:22" hidden="1" outlineLevel="1" x14ac:dyDescent="0.25">
      <c r="A159" s="154"/>
      <c r="B159" s="255" t="s">
        <v>127</v>
      </c>
      <c r="C159" s="449"/>
      <c r="D159" s="450"/>
      <c r="E159" s="6" t="s">
        <v>127</v>
      </c>
      <c r="F159" s="174">
        <f>INDEX('MED TO SING'!$A$6:$J$23,MATCH(MAIN!E159,'MED TO SING'!$A$6:$A$23,0),5)</f>
        <v>0.16666666666666666</v>
      </c>
      <c r="G159" s="177">
        <f>INDEX('MED TO SING'!$A$6:$J$23,MATCH(MAIN!E159,'MED TO SING'!$A$6:$A$23,0),7)</f>
        <v>0.16666666666666666</v>
      </c>
      <c r="H159" s="175">
        <f>INDEX('MED TO SING'!$A$6:$J$23,MATCH(MAIN!E159,'MED TO SING'!$A$6:$A$23,0),9)</f>
        <v>0.16666666666666666</v>
      </c>
      <c r="I159" s="178" t="s">
        <v>127</v>
      </c>
      <c r="J159" s="174">
        <f>INDEX('MED TO SING'!$L$6:$U$23,MATCH(MAIN!I159,'MED TO SING'!$L$6:$L$23,0),5)</f>
        <v>0.25</v>
      </c>
      <c r="K159" s="177">
        <f>INDEX('MED TO SING'!$L$6:$U$23,MATCH(MAIN!I159,'MED TO SING'!$L$6:$L$23,0),7)</f>
        <v>0.25</v>
      </c>
      <c r="L159" s="175">
        <f>INDEX('MED TO SING'!$L$6:$U$23,MATCH(MAIN!I159,'MED TO SING'!$L$6:$L$23,0),9)</f>
        <v>0.25</v>
      </c>
      <c r="M159" s="154"/>
    </row>
    <row r="160" spans="1:22" hidden="1" outlineLevel="1" x14ac:dyDescent="0.25">
      <c r="A160" s="154"/>
      <c r="B160" s="255" t="s">
        <v>128</v>
      </c>
      <c r="C160" s="449"/>
      <c r="D160" s="450"/>
      <c r="E160" s="6" t="s">
        <v>128</v>
      </c>
      <c r="F160" s="174">
        <f>INDEX('MED TO SING'!$A$6:$J$23,MATCH(MAIN!E160,'MED TO SING'!$A$6:$A$23,0),5)</f>
        <v>0.16666666666666666</v>
      </c>
      <c r="G160" s="177">
        <f>INDEX('MED TO SING'!$A$6:$J$23,MATCH(MAIN!E160,'MED TO SING'!$A$6:$A$23,0),7)</f>
        <v>0.16666666666666666</v>
      </c>
      <c r="H160" s="175">
        <f>INDEX('MED TO SING'!$A$6:$J$23,MATCH(MAIN!E160,'MED TO SING'!$A$6:$A$23,0),9)</f>
        <v>0.16666666666666666</v>
      </c>
      <c r="I160" s="178" t="s">
        <v>128</v>
      </c>
      <c r="J160" s="174">
        <f>INDEX('MED TO SING'!$L$6:$U$23,MATCH(MAIN!I160,'MED TO SING'!$L$6:$L$23,0),5)</f>
        <v>0.25</v>
      </c>
      <c r="K160" s="177">
        <f>INDEX('MED TO SING'!$L$6:$U$23,MATCH(MAIN!I160,'MED TO SING'!$L$6:$L$23,0),7)</f>
        <v>0.25</v>
      </c>
      <c r="L160" s="175">
        <f>INDEX('MED TO SING'!$L$6:$U$23,MATCH(MAIN!I160,'MED TO SING'!$L$6:$L$23,0),9)</f>
        <v>0.25</v>
      </c>
      <c r="M160" s="154"/>
    </row>
    <row r="161" spans="1:13" hidden="1" outlineLevel="1" x14ac:dyDescent="0.25">
      <c r="A161" s="154"/>
      <c r="B161" s="255" t="s">
        <v>83</v>
      </c>
      <c r="C161" s="449"/>
      <c r="D161" s="450"/>
      <c r="E161" s="6" t="s">
        <v>83</v>
      </c>
      <c r="F161" s="174">
        <f ca="1">INDEX('MED TO SING'!$A$6:$J$23,MATCH(MAIN!E161,'MED TO SING'!$A$6:$A$23,0),5)</f>
        <v>3.4650000000000003</v>
      </c>
      <c r="G161" s="177">
        <f ca="1">INDEX('MED TO SING'!$A$6:$J$23,MATCH(MAIN!E161,'MED TO SING'!$A$6:$A$23,0),7)</f>
        <v>3.4650000000000003</v>
      </c>
      <c r="H161" s="175">
        <f ca="1">INDEX('MED TO SING'!$A$6:$J$23,MATCH(MAIN!E161,'MED TO SING'!$A$6:$A$23,0),9)</f>
        <v>3.4310958904109592</v>
      </c>
      <c r="I161" s="178" t="s">
        <v>83</v>
      </c>
      <c r="J161" s="174">
        <f ca="1">INDEX('MED TO SING'!$L$6:$U$23,MATCH(MAIN!I161,'MED TO SING'!$L$6:$L$23,0),5)</f>
        <v>3.4650000000000003</v>
      </c>
      <c r="K161" s="177">
        <f ca="1">INDEX('MED TO SING'!$L$6:$U$23,MATCH(MAIN!I161,'MED TO SING'!$L$6:$L$23,0),7)</f>
        <v>3.4650000000000003</v>
      </c>
      <c r="L161" s="175">
        <f ca="1">INDEX('MED TO SING'!$L$6:$U$23,MATCH(MAIN!I161,'MED TO SING'!$L$6:$L$23,0),9)</f>
        <v>3.4310958904109592</v>
      </c>
      <c r="M161" s="154"/>
    </row>
    <row r="162" spans="1:13" hidden="1" outlineLevel="1" x14ac:dyDescent="0.25">
      <c r="A162" s="154"/>
      <c r="B162" s="255" t="s">
        <v>59</v>
      </c>
      <c r="C162" s="449"/>
      <c r="D162" s="450"/>
      <c r="E162" s="6" t="s">
        <v>59</v>
      </c>
      <c r="F162" s="174">
        <f>INDEX('MED TO SING'!$A$6:$J$23,MATCH(MAIN!E162,'MED TO SING'!$A$6:$A$23,0),5)</f>
        <v>0</v>
      </c>
      <c r="G162" s="177">
        <f>INDEX('MED TO SING'!$A$6:$J$23,MATCH(MAIN!E162,'MED TO SING'!$A$6:$A$23,0),7)</f>
        <v>0</v>
      </c>
      <c r="H162" s="175">
        <f>INDEX('MED TO SING'!$A$6:$J$23,MATCH(MAIN!E162,'MED TO SING'!$A$6:$A$23,0),9)</f>
        <v>0</v>
      </c>
      <c r="I162" s="178" t="s">
        <v>59</v>
      </c>
      <c r="J162" s="174">
        <f>INDEX('MED TO SING'!$L$6:$U$23,MATCH(MAIN!I162,'MED TO SING'!$L$6:$L$23,0),5)</f>
        <v>0</v>
      </c>
      <c r="K162" s="177">
        <f>INDEX('MED TO SING'!$L$6:$U$23,MATCH(MAIN!I162,'MED TO SING'!$L$6:$L$23,0),7)</f>
        <v>0</v>
      </c>
      <c r="L162" s="175">
        <f>INDEX('MED TO SING'!$L$6:$U$23,MATCH(MAIN!I162,'MED TO SING'!$L$6:$L$23,0),9)</f>
        <v>0</v>
      </c>
      <c r="M162" s="154"/>
    </row>
    <row r="163" spans="1:13" hidden="1" outlineLevel="1" x14ac:dyDescent="0.25">
      <c r="A163" s="154"/>
      <c r="B163" s="255" t="s">
        <v>60</v>
      </c>
      <c r="C163" s="449"/>
      <c r="D163" s="450"/>
      <c r="E163" s="6" t="s">
        <v>60</v>
      </c>
      <c r="F163" s="174">
        <f ca="1">INDEX('MED TO SING'!$A$6:$J$23,MATCH(MAIN!E163,'MED TO SING'!$A$6:$A$23,0),5)</f>
        <v>0.28743750000000001</v>
      </c>
      <c r="G163" s="177">
        <f ca="1">INDEX('MED TO SING'!$A$6:$J$23,MATCH(MAIN!E163,'MED TO SING'!$A$6:$A$23,0),7)</f>
        <v>0.28743750000000001</v>
      </c>
      <c r="H163" s="175">
        <f ca="1">INDEX('MED TO SING'!$A$6:$J$23,MATCH(MAIN!E163,'MED TO SING'!$A$6:$A$23,0),9)</f>
        <v>0.28462500000000002</v>
      </c>
      <c r="I163" s="178" t="s">
        <v>60</v>
      </c>
      <c r="J163" s="174">
        <f ca="1">INDEX('MED TO SING'!$L$6:$U$23,MATCH(MAIN!I163,'MED TO SING'!$L$6:$L$23,0),5)</f>
        <v>0.28743750000000001</v>
      </c>
      <c r="K163" s="177">
        <f ca="1">INDEX('MED TO SING'!$L$6:$U$23,MATCH(MAIN!I163,'MED TO SING'!$L$6:$L$23,0),7)</f>
        <v>0.28743750000000001</v>
      </c>
      <c r="L163" s="175">
        <f ca="1">INDEX('MED TO SING'!$L$6:$U$23,MATCH(MAIN!I163,'MED TO SING'!$L$6:$L$23,0),9)</f>
        <v>0.28462500000000002</v>
      </c>
      <c r="M163" s="154"/>
    </row>
    <row r="164" spans="1:13" hidden="1" outlineLevel="1" x14ac:dyDescent="0.25">
      <c r="A164" s="154"/>
      <c r="B164" s="255" t="s">
        <v>61</v>
      </c>
      <c r="C164" s="449"/>
      <c r="D164" s="450"/>
      <c r="E164" s="6" t="s">
        <v>61</v>
      </c>
      <c r="F164" s="174">
        <f ca="1">INDEX('MED TO SING'!$A$6:$J$23,MATCH(MAIN!E164,'MED TO SING'!$A$6:$A$23,0),5)</f>
        <v>1.1812500000000001</v>
      </c>
      <c r="G164" s="177">
        <f ca="1">INDEX('MED TO SING'!$A$6:$J$23,MATCH(MAIN!E164,'MED TO SING'!$A$6:$A$23,0),7)</f>
        <v>1.1797500000000001</v>
      </c>
      <c r="H164" s="175">
        <f ca="1">INDEX('MED TO SING'!$A$6:$J$23,MATCH(MAIN!E164,'MED TO SING'!$A$6:$A$23,0),9)</f>
        <v>1.1797500000000001</v>
      </c>
      <c r="I164" s="178" t="s">
        <v>61</v>
      </c>
      <c r="J164" s="174">
        <f ca="1">INDEX('MED TO SING'!$L$6:$U$23,MATCH(MAIN!I164,'MED TO SING'!$L$6:$L$23,0),5)</f>
        <v>1.1812500000000001</v>
      </c>
      <c r="K164" s="177">
        <f ca="1">INDEX('MED TO SING'!$L$6:$U$23,MATCH(MAIN!I164,'MED TO SING'!$L$6:$L$23,0),7)</f>
        <v>1.1797500000000001</v>
      </c>
      <c r="L164" s="175">
        <f ca="1">INDEX('MED TO SING'!$L$6:$U$23,MATCH(MAIN!I164,'MED TO SING'!$L$6:$L$23,0),9)</f>
        <v>1.1797500000000001</v>
      </c>
      <c r="M164" s="154"/>
    </row>
    <row r="165" spans="1:13" hidden="1" outlineLevel="1" x14ac:dyDescent="0.25">
      <c r="A165" s="154"/>
      <c r="B165" s="255" t="s">
        <v>62</v>
      </c>
      <c r="C165" s="449"/>
      <c r="D165" s="450"/>
      <c r="E165" s="6" t="s">
        <v>62</v>
      </c>
      <c r="F165" s="174">
        <f>INDEX('MED TO SING'!$A$6:$J$23,MATCH(MAIN!E165,'MED TO SING'!$A$6:$A$23,0),5)</f>
        <v>8.3333333333333329E-2</v>
      </c>
      <c r="G165" s="177">
        <f>INDEX('MED TO SING'!$A$6:$J$23,MATCH(MAIN!E165,'MED TO SING'!$A$6:$A$23,0),7)</f>
        <v>8.3333333333333329E-2</v>
      </c>
      <c r="H165" s="175">
        <f>INDEX('MED TO SING'!$A$6:$J$23,MATCH(MAIN!E165,'MED TO SING'!$A$6:$A$23,0),9)</f>
        <v>8.3333333333333329E-2</v>
      </c>
      <c r="I165" s="178" t="s">
        <v>62</v>
      </c>
      <c r="J165" s="174">
        <f>INDEX('MED TO SING'!$L$6:$U$23,MATCH(MAIN!I165,'MED TO SING'!$L$6:$L$23,0),5)</f>
        <v>0.125</v>
      </c>
      <c r="K165" s="177">
        <f>INDEX('MED TO SING'!$L$6:$U$23,MATCH(MAIN!I165,'MED TO SING'!$L$6:$L$23,0),7)</f>
        <v>0.125</v>
      </c>
      <c r="L165" s="175">
        <f>INDEX('MED TO SING'!$L$6:$U$23,MATCH(MAIN!I165,'MED TO SING'!$L$6:$L$23,0),9)</f>
        <v>0.125</v>
      </c>
      <c r="M165" s="154"/>
    </row>
    <row r="166" spans="1:13" hidden="1" outlineLevel="1" x14ac:dyDescent="0.25">
      <c r="A166" s="154"/>
      <c r="B166" s="255" t="s">
        <v>63</v>
      </c>
      <c r="C166" s="449"/>
      <c r="D166" s="450"/>
      <c r="E166" s="6" t="s">
        <v>63</v>
      </c>
      <c r="F166" s="174">
        <f>INDEX('MED TO SING'!$A$6:$J$23,MATCH(MAIN!E166,'MED TO SING'!$A$6:$A$23,0),5)</f>
        <v>8.3333333333333332E-3</v>
      </c>
      <c r="G166" s="177">
        <f>INDEX('MED TO SING'!$A$6:$J$23,MATCH(MAIN!E166,'MED TO SING'!$A$6:$A$23,0),7)</f>
        <v>8.3333333333333332E-3</v>
      </c>
      <c r="H166" s="175">
        <f>INDEX('MED TO SING'!$A$6:$J$23,MATCH(MAIN!E166,'MED TO SING'!$A$6:$A$23,0),9)</f>
        <v>8.3333333333333332E-3</v>
      </c>
      <c r="I166" s="178" t="s">
        <v>63</v>
      </c>
      <c r="J166" s="174">
        <f>INDEX('MED TO SING'!$L$6:$U$23,MATCH(MAIN!I166,'MED TO SING'!$L$6:$L$23,0),5)</f>
        <v>1.2500000000000001E-2</v>
      </c>
      <c r="K166" s="177">
        <f>INDEX('MED TO SING'!$L$6:$U$23,MATCH(MAIN!I166,'MED TO SING'!$L$6:$L$23,0),7)</f>
        <v>1.2500000000000001E-2</v>
      </c>
      <c r="L166" s="175">
        <f>INDEX('MED TO SING'!$L$6:$U$23,MATCH(MAIN!I166,'MED TO SING'!$L$6:$L$23,0),9)</f>
        <v>1.2500000000000001E-2</v>
      </c>
      <c r="M166" s="154"/>
    </row>
    <row r="167" spans="1:13" hidden="1" outlineLevel="1" x14ac:dyDescent="0.25">
      <c r="A167" s="154"/>
      <c r="B167" s="255" t="s">
        <v>64</v>
      </c>
      <c r="C167" s="449"/>
      <c r="D167" s="450"/>
      <c r="E167" s="6" t="s">
        <v>64</v>
      </c>
      <c r="F167" s="174">
        <f>INDEX('MED TO SING'!$A$6:$J$23,MATCH(MAIN!E167,'MED TO SING'!$A$6:$A$23,0),5)</f>
        <v>8.3333333333333332E-3</v>
      </c>
      <c r="G167" s="177">
        <f>INDEX('MED TO SING'!$A$6:$J$23,MATCH(MAIN!E167,'MED TO SING'!$A$6:$A$23,0),7)</f>
        <v>8.3333333333333332E-3</v>
      </c>
      <c r="H167" s="175">
        <f>INDEX('MED TO SING'!$A$6:$J$23,MATCH(MAIN!E167,'MED TO SING'!$A$6:$A$23,0),9)</f>
        <v>8.3333333333333332E-3</v>
      </c>
      <c r="I167" s="178" t="s">
        <v>64</v>
      </c>
      <c r="J167" s="174">
        <f>INDEX('MED TO SING'!$L$6:$U$23,MATCH(MAIN!I167,'MED TO SING'!$L$6:$L$23,0),5)</f>
        <v>1.2500000000000001E-2</v>
      </c>
      <c r="K167" s="177">
        <f>INDEX('MED TO SING'!$L$6:$U$23,MATCH(MAIN!I167,'MED TO SING'!$L$6:$L$23,0),7)</f>
        <v>1.2500000000000001E-2</v>
      </c>
      <c r="L167" s="175">
        <f>INDEX('MED TO SING'!$L$6:$U$23,MATCH(MAIN!I167,'MED TO SING'!$L$6:$L$23,0),9)</f>
        <v>1.2500000000000001E-2</v>
      </c>
      <c r="M167" s="154"/>
    </row>
    <row r="168" spans="1:13" hidden="1" outlineLevel="1" x14ac:dyDescent="0.25">
      <c r="A168" s="154"/>
      <c r="B168" s="255" t="s">
        <v>65</v>
      </c>
      <c r="C168" s="449"/>
      <c r="D168" s="450"/>
      <c r="E168" s="6" t="s">
        <v>65</v>
      </c>
      <c r="F168" s="174">
        <f>INDEX('MED TO SING'!$A$6:$J$23,MATCH(MAIN!E168,'MED TO SING'!$A$6:$A$23,0),5)</f>
        <v>0.1</v>
      </c>
      <c r="G168" s="177">
        <f>INDEX('MED TO SING'!$A$6:$J$23,MATCH(MAIN!E168,'MED TO SING'!$A$6:$A$23,0),7)</f>
        <v>0.1</v>
      </c>
      <c r="H168" s="175">
        <f>INDEX('MED TO SING'!$A$6:$J$23,MATCH(MAIN!E168,'MED TO SING'!$A$6:$A$23,0),9)</f>
        <v>0.1</v>
      </c>
      <c r="I168" s="178" t="s">
        <v>65</v>
      </c>
      <c r="J168" s="174">
        <f>INDEX('MED TO SING'!$L$6:$U$23,MATCH(MAIN!I168,'MED TO SING'!$L$6:$L$23,0),5)</f>
        <v>0.15</v>
      </c>
      <c r="K168" s="177">
        <f>INDEX('MED TO SING'!$L$6:$U$23,MATCH(MAIN!I168,'MED TO SING'!$L$6:$L$23,0),7)</f>
        <v>0.15</v>
      </c>
      <c r="L168" s="175">
        <f>INDEX('MED TO SING'!$L$6:$U$23,MATCH(MAIN!I168,'MED TO SING'!$L$6:$L$23,0),9)</f>
        <v>0.15</v>
      </c>
      <c r="M168" s="154"/>
    </row>
    <row r="169" spans="1:13" hidden="1" outlineLevel="1" x14ac:dyDescent="0.25">
      <c r="A169" s="154"/>
      <c r="B169" s="255" t="s">
        <v>66</v>
      </c>
      <c r="C169" s="449"/>
      <c r="D169" s="450"/>
      <c r="E169" s="6" t="s">
        <v>66</v>
      </c>
      <c r="F169" s="174">
        <f>INDEX('MED TO SING'!$A$6:$J$23,MATCH(MAIN!E169,'MED TO SING'!$A$6:$A$23,0),5)</f>
        <v>6.6666666666666666E-2</v>
      </c>
      <c r="G169" s="177">
        <f>INDEX('MED TO SING'!$A$6:$J$23,MATCH(MAIN!E169,'MED TO SING'!$A$6:$A$23,0),7)</f>
        <v>6.6666666666666666E-2</v>
      </c>
      <c r="H169" s="175">
        <f>INDEX('MED TO SING'!$A$6:$J$23,MATCH(MAIN!E169,'MED TO SING'!$A$6:$A$23,0),9)</f>
        <v>6.6666666666666666E-2</v>
      </c>
      <c r="I169" s="178" t="s">
        <v>66</v>
      </c>
      <c r="J169" s="174">
        <f>INDEX('MED TO SING'!$L$6:$U$23,MATCH(MAIN!I169,'MED TO SING'!$L$6:$L$23,0),5)</f>
        <v>0.1</v>
      </c>
      <c r="K169" s="177">
        <f>INDEX('MED TO SING'!$L$6:$U$23,MATCH(MAIN!I169,'MED TO SING'!$L$6:$L$23,0),7)</f>
        <v>0.1</v>
      </c>
      <c r="L169" s="175">
        <f>INDEX('MED TO SING'!$L$6:$U$23,MATCH(MAIN!I169,'MED TO SING'!$L$6:$L$23,0),9)</f>
        <v>0.1</v>
      </c>
      <c r="M169" s="154"/>
    </row>
    <row r="170" spans="1:13" hidden="1" outlineLevel="1" x14ac:dyDescent="0.25">
      <c r="A170" s="154"/>
      <c r="B170" s="255" t="s">
        <v>102</v>
      </c>
      <c r="C170" s="449"/>
      <c r="D170" s="450"/>
      <c r="E170" s="6" t="s">
        <v>102</v>
      </c>
      <c r="F170" s="174">
        <f ca="1">INDEX('MED TO SING'!$A$6:$J$23,MATCH(MAIN!E170,'MED TO SING'!$A$6:$A$23,0),5)</f>
        <v>40.317020833333338</v>
      </c>
      <c r="G170" s="177">
        <f ca="1">INDEX('MED TO SING'!$A$6:$J$23,MATCH(MAIN!E170,'MED TO SING'!$A$6:$A$23,0),7)</f>
        <v>40.315520833333338</v>
      </c>
      <c r="H170" s="175">
        <f ca="1">INDEX('MED TO SING'!$A$6:$J$23,MATCH(MAIN!E170,'MED TO SING'!$A$6:$A$23,0),9)</f>
        <v>40.278804223744288</v>
      </c>
      <c r="I170" s="178" t="s">
        <v>102</v>
      </c>
      <c r="J170" s="174">
        <f ca="1">INDEX('MED TO SING'!$L$6:$U$23,MATCH(MAIN!I170,'MED TO SING'!$L$6:$L$23,0),5)</f>
        <v>51.043687500000011</v>
      </c>
      <c r="K170" s="177">
        <f ca="1">INDEX('MED TO SING'!$L$6:$U$23,MATCH(MAIN!I170,'MED TO SING'!$L$6:$L$23,0),7)</f>
        <v>51.042187500000011</v>
      </c>
      <c r="L170" s="175">
        <f ca="1">INDEX('MED TO SING'!$L$6:$U$23,MATCH(MAIN!I170,'MED TO SING'!$L$6:$L$23,0),9)</f>
        <v>51.005470890410962</v>
      </c>
      <c r="M170" s="154"/>
    </row>
    <row r="171" spans="1:13" hidden="1" outlineLevel="1" x14ac:dyDescent="0.25">
      <c r="A171" s="154"/>
      <c r="B171" s="255" t="s">
        <v>103</v>
      </c>
      <c r="C171" s="449"/>
      <c r="D171" s="450"/>
      <c r="E171" s="6" t="s">
        <v>103</v>
      </c>
      <c r="F171" s="174">
        <f ca="1">INDEX('MED TO SING'!$A$6:$J$23,MATCH(MAIN!E171,'MED TO SING'!$A$6:$A$23,0),5)</f>
        <v>10</v>
      </c>
      <c r="G171" s="177">
        <f ca="1">INDEX('MED TO SING'!$A$6:$J$23,MATCH(MAIN!E171,'MED TO SING'!$A$6:$A$23,0),7)</f>
        <v>10.071428571428571</v>
      </c>
      <c r="H171" s="175">
        <f ca="1">INDEX('MED TO SING'!$A$6:$J$23,MATCH(MAIN!E171,'MED TO SING'!$A$6:$A$23,0),9)</f>
        <v>10.25</v>
      </c>
      <c r="I171" s="178" t="s">
        <v>103</v>
      </c>
      <c r="J171" s="174">
        <f ca="1">INDEX('MED TO SING'!$L$6:$U$23,MATCH(MAIN!I171,'MED TO SING'!$L$6:$L$23,0),5)</f>
        <v>10</v>
      </c>
      <c r="K171" s="177">
        <f ca="1">INDEX('MED TO SING'!$L$6:$U$23,MATCH(MAIN!I171,'MED TO SING'!$L$6:$L$23,0),7)</f>
        <v>10.071428571428571</v>
      </c>
      <c r="L171" s="175">
        <f ca="1">INDEX('MED TO SING'!$L$6:$U$23,MATCH(MAIN!I171,'MED TO SING'!$L$6:$L$23,0),9)</f>
        <v>10.25</v>
      </c>
      <c r="M171" s="154"/>
    </row>
    <row r="172" spans="1:13" hidden="1" outlineLevel="1" x14ac:dyDescent="0.25">
      <c r="A172" s="154"/>
      <c r="B172" s="255" t="s">
        <v>115</v>
      </c>
      <c r="C172" s="449"/>
      <c r="D172" s="450"/>
      <c r="E172" s="6" t="s">
        <v>115</v>
      </c>
      <c r="F172" s="174">
        <f ca="1">INDEX('MED TO SING'!$A$6:$J$23,MATCH(MAIN!E172,'MED TO SING'!$A$6:$A$23,0),5)</f>
        <v>-30.317020833333338</v>
      </c>
      <c r="G172" s="177">
        <f ca="1">INDEX('MED TO SING'!$A$6:$J$23,MATCH(MAIN!E172,'MED TO SING'!$A$6:$A$23,0),7)</f>
        <v>-30.244092261904768</v>
      </c>
      <c r="H172" s="175">
        <f ca="1">INDEX('MED TO SING'!$A$6:$J$23,MATCH(MAIN!E172,'MED TO SING'!$A$6:$A$23,0),9)</f>
        <v>-30.028804223744288</v>
      </c>
      <c r="I172" s="178" t="s">
        <v>115</v>
      </c>
      <c r="J172" s="174">
        <f ca="1">INDEX('MED TO SING'!$L$6:$U$23,MATCH(MAIN!I172,'MED TO SING'!$L$6:$L$23,0),5)</f>
        <v>-41.043687500000011</v>
      </c>
      <c r="K172" s="177">
        <f ca="1">INDEX('MED TO SING'!$L$6:$U$23,MATCH(MAIN!I172,'MED TO SING'!$L$6:$L$23,0),7)</f>
        <v>-40.970758928571442</v>
      </c>
      <c r="L172" s="175">
        <f ca="1">INDEX('MED TO SING'!$L$6:$U$23,MATCH(MAIN!I172,'MED TO SING'!$L$6:$L$23,0),9)</f>
        <v>-40.755470890410962</v>
      </c>
      <c r="M172" s="154"/>
    </row>
    <row r="173" spans="1:13" ht="15.75" hidden="1" outlineLevel="1" thickBot="1" x14ac:dyDescent="0.3">
      <c r="A173" s="154"/>
      <c r="B173" s="255" t="s">
        <v>129</v>
      </c>
      <c r="C173" s="449"/>
      <c r="D173" s="450"/>
      <c r="E173" s="6" t="s">
        <v>129</v>
      </c>
      <c r="F173" s="216">
        <f ca="1">F146</f>
        <v>45903</v>
      </c>
      <c r="G173" s="217">
        <f ca="1">G146</f>
        <v>45917</v>
      </c>
      <c r="H173" s="218">
        <f ca="1">H146</f>
        <v>45931</v>
      </c>
      <c r="I173" s="219" t="str">
        <f>I146</f>
        <v>Loading Month</v>
      </c>
      <c r="J173" s="216">
        <f ca="1">F173</f>
        <v>45903</v>
      </c>
      <c r="K173" s="217">
        <f ca="1">K146</f>
        <v>45917</v>
      </c>
      <c r="L173" s="218">
        <f ca="1">L146</f>
        <v>45931</v>
      </c>
      <c r="M173" s="154"/>
    </row>
    <row r="174" spans="1:13" ht="15.75" hidden="1" collapsed="1" thickBot="1" x14ac:dyDescent="0.3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</row>
    <row r="175" spans="1:13" ht="15.75" hidden="1" thickBot="1" x14ac:dyDescent="0.3">
      <c r="A175" s="457" t="s">
        <v>142</v>
      </c>
      <c r="B175" s="154"/>
      <c r="C175" s="458"/>
      <c r="D175" s="459"/>
      <c r="E175" s="213"/>
      <c r="F175" s="460" t="s">
        <v>132</v>
      </c>
      <c r="G175" s="461"/>
      <c r="H175" s="462"/>
      <c r="I175" s="213"/>
      <c r="J175" s="460" t="s">
        <v>133</v>
      </c>
      <c r="K175" s="461"/>
      <c r="L175" s="462"/>
      <c r="M175" s="154"/>
    </row>
    <row r="176" spans="1:13" ht="15.75" hidden="1" thickBot="1" x14ac:dyDescent="0.3">
      <c r="A176" s="457"/>
      <c r="B176" s="198" t="s">
        <v>134</v>
      </c>
      <c r="C176" s="205"/>
      <c r="D176" s="206"/>
      <c r="E176" s="214"/>
      <c r="F176" s="203" t="str">
        <f ca="1">IF(DAY(F177)&lt;15,"1H-"&amp;VLOOKUP(MONTH(F177),Mapping!$A$1:$B$12,2,0),"2H-"&amp;VLOOKUP(MONTH(F177),Mapping!$A$1:$B$12,2,0))</f>
        <v>2H-SEP</v>
      </c>
      <c r="G176" s="188" t="str">
        <f ca="1">IF(DAY(G177)&lt;15,"1H-"&amp;VLOOKUP(MONTH(G177),Mapping!$A$1:$B$12,2,0),"2H-"&amp;VLOOKUP(MONTH(G177),Mapping!$A$1:$B$12,2,0))</f>
        <v>2H-SEP</v>
      </c>
      <c r="H176" s="204" t="str">
        <f ca="1">IF(DAY(H177)&lt;15,"1H-"&amp;VLOOKUP(MONTH(H177),Mapping!$A$1:$B$12,2,0),"2H-"&amp;VLOOKUP(MONTH(H177),Mapping!$A$1:$B$12,2,0))</f>
        <v>1H-OCT</v>
      </c>
      <c r="I176" s="197" t="e">
        <f>IF(DAY(I177)&lt;15,"1H-"&amp;VLOOKUP(MONTH(I177),Mapping!$A$1:$B$12,2,0),"2H-"&amp;VLOOKUP(MONTH(I177),Mapping!$A$1:$B$12,2,0))</f>
        <v>#VALUE!</v>
      </c>
      <c r="J176" s="203" t="str">
        <f ca="1">IF(DAY(J177)&lt;15,"1H-"&amp;VLOOKUP(MONTH(J177),Mapping!$A$1:$B$12,2,0),"2H-"&amp;VLOOKUP(MONTH(J177),Mapping!$A$1:$B$12,2,0))</f>
        <v>2H-SEP</v>
      </c>
      <c r="K176" s="188" t="str">
        <f ca="1">IF(DAY(K177)&lt;15,"1H-"&amp;VLOOKUP(MONTH(K177),Mapping!$A$1:$B$12,2,0),"2H-"&amp;VLOOKUP(MONTH(K177),Mapping!$A$1:$B$12,2,0))</f>
        <v>2H-SEP</v>
      </c>
      <c r="L176" s="204" t="str">
        <f ca="1">IF(DAY(L177)&lt;15,"1H-"&amp;VLOOKUP(MONTH(L177),Mapping!$A$1:$B$12,2,0),"2H-"&amp;VLOOKUP(MONTH(L177),Mapping!$A$1:$B$12,2,0))</f>
        <v>1H-OCT</v>
      </c>
      <c r="M176" s="154"/>
    </row>
    <row r="177" spans="1:13" hidden="1" x14ac:dyDescent="0.25">
      <c r="A177" s="154"/>
      <c r="B177" s="153" t="s">
        <v>134</v>
      </c>
      <c r="C177" s="447"/>
      <c r="D177" s="448"/>
      <c r="E177" s="6"/>
      <c r="F177" s="251">
        <f ca="1">'Loading Arrival'!B44</f>
        <v>45915</v>
      </c>
      <c r="G177" s="252">
        <f ca="1">'Loading Arrival'!C44</f>
        <v>45929</v>
      </c>
      <c r="H177" s="253">
        <f ca="1">'Loading Arrival'!D38</f>
        <v>45931</v>
      </c>
      <c r="I177" s="250" t="str">
        <f>I128</f>
        <v>Freight</v>
      </c>
      <c r="J177" s="252">
        <f ca="1">F177</f>
        <v>45915</v>
      </c>
      <c r="K177" s="252">
        <f t="shared" ref="K177:L177" ca="1" si="2">G177</f>
        <v>45929</v>
      </c>
      <c r="L177" s="253">
        <f t="shared" ca="1" si="2"/>
        <v>45931</v>
      </c>
      <c r="M177" s="154"/>
    </row>
    <row r="178" spans="1:13" hidden="1" x14ac:dyDescent="0.25">
      <c r="A178" s="198" t="s">
        <v>139</v>
      </c>
      <c r="B178" s="167"/>
      <c r="C178" s="449"/>
      <c r="D178" s="450"/>
      <c r="E178" s="10"/>
      <c r="F178" s="158">
        <f ca="1">F198+F179-F180</f>
        <v>-198.82543749999996</v>
      </c>
      <c r="G178" s="159">
        <f ca="1">G198+G179-G180</f>
        <v>-198.84400892857138</v>
      </c>
      <c r="H178" s="160">
        <f ca="1">H198+H179-H180</f>
        <v>-198.62872089041093</v>
      </c>
      <c r="I178" s="164"/>
      <c r="J178" s="159">
        <f ca="1">J198+J179-J180</f>
        <v>-210.86043749999999</v>
      </c>
      <c r="K178" s="159">
        <f ca="1">K198+K179-K180</f>
        <v>-210.87900892857141</v>
      </c>
      <c r="L178" s="160">
        <f ca="1">L198+L179-L180</f>
        <v>-210.66372089041096</v>
      </c>
      <c r="M178" s="154"/>
    </row>
    <row r="179" spans="1:13" hidden="1" x14ac:dyDescent="0.25">
      <c r="A179" s="154"/>
      <c r="B179" s="168" t="s">
        <v>136</v>
      </c>
      <c r="C179" s="449"/>
      <c r="D179" s="450"/>
      <c r="E179" s="176" t="s">
        <v>131</v>
      </c>
      <c r="F179" s="174">
        <f ca="1">INDEX(Premium!$A$2:$D$12,MATCH(MAIN!$A178,Premium!$A$2:$A$12,0),MATCH(EOMONTH(MAIN!F177,-1)+1,Premium!$A$2:$D$2,0))</f>
        <v>-29.17</v>
      </c>
      <c r="G179" s="177">
        <f ca="1">INDEX(Premium!$A$2:$D$12,MATCH(MAIN!$A178,Premium!$A$2:$A$12,0),MATCH(EOMONTH(MAIN!G177,-1)+1,Premium!$A$2:$D$2,0))</f>
        <v>-29.17</v>
      </c>
      <c r="H179" s="175">
        <f ca="1">INDEX(Premium!$A$2:$D$12,MATCH(MAIN!$A178,Premium!$A$2:$A$12,0),MATCH(EOMONTH(MAIN!H177,-1)+1,Premium!$A$2:$D$2,0))</f>
        <v>-29.17</v>
      </c>
      <c r="I179" s="178" t="s">
        <v>131</v>
      </c>
      <c r="J179" s="177">
        <f ca="1">INDEX(Premium!$A$2:$D$12,MATCH(MAIN!$A178,Premium!$A$2:$A$12,0),MATCH(EOMONTH(MAIN!J177,-1)+1,Premium!$A$2:$D$2,0))</f>
        <v>-29.17</v>
      </c>
      <c r="K179" s="177">
        <f ca="1">INDEX(Premium!$A$2:$D$12,MATCH(MAIN!$A178,Premium!$A$2:$A$12,0),MATCH(EOMONTH(MAIN!K177,-1)+1,Premium!$A$2:$D$2,0))</f>
        <v>-29.17</v>
      </c>
      <c r="L179" s="175">
        <f ca="1">INDEX(Premium!$A$2:$D$12,MATCH(MAIN!$A178,Premium!$A$2:$A$12,0),MATCH(EOMONTH(MAIN!L177,-1)+1,Premium!$A$2:$D$2,0))</f>
        <v>-29.17</v>
      </c>
      <c r="M179" s="154"/>
    </row>
    <row r="180" spans="1:13" ht="15.75" hidden="1" thickBot="1" x14ac:dyDescent="0.3">
      <c r="A180" s="154"/>
      <c r="B180" s="169" t="s">
        <v>135</v>
      </c>
      <c r="C180" s="449"/>
      <c r="D180" s="450"/>
      <c r="E180" s="176" t="s">
        <v>130</v>
      </c>
      <c r="F180" s="179">
        <f ca="1">INDEX(Premium!$A$21:$D$29,MATCH(LEFT(MAIN!$A178,3),Premium!$A$21:$A$29,0),MATCH(EOMONTH(MAIN!F199,-1)+1,Premium!$A$21:$D$21,0))</f>
        <v>3</v>
      </c>
      <c r="G180" s="181">
        <f ca="1">INDEX(Premium!$A$21:$D$29,MATCH(LEFT(MAIN!$A178,3),Premium!$A$21:$A$29,0),MATCH(EOMONTH(MAIN!G199,-1)+1,Premium!$A$21:$D$21,0))</f>
        <v>3</v>
      </c>
      <c r="H180" s="180">
        <f ca="1">INDEX(Premium!$A$21:$D$29,MATCH(LEFT(MAIN!$A178,3),Premium!$A$21:$A$29,0),MATCH(EOMONTH(MAIN!H199,-1)+1,Premium!$A$21:$D$21,0))</f>
        <v>3</v>
      </c>
      <c r="I180" s="219" t="s">
        <v>130</v>
      </c>
      <c r="J180" s="181">
        <f ca="1">INDEX(Premium!$A$21:$D$29,MATCH(LEFT(MAIN!$A178,3),Premium!$A$21:$A$29,0),MATCH(EOMONTH(MAIN!J199,-1)+1,Premium!$A$21:$D$21,0))</f>
        <v>3</v>
      </c>
      <c r="K180" s="181">
        <f ca="1">INDEX(Premium!$A$21:$D$29,MATCH(LEFT(MAIN!$A178,3),Premium!$A$21:$A$29,0),MATCH(EOMONTH(MAIN!K199,-1)+1,Premium!$A$21:$D$21,0))</f>
        <v>3</v>
      </c>
      <c r="L180" s="180">
        <f ca="1">INDEX(Premium!$A$21:$D$29,MATCH(LEFT(MAIN!$A178,3),Premium!$A$21:$A$29,0),MATCH(EOMONTH(MAIN!L199,-1)+1,Premium!$A$21:$D$21,0))</f>
        <v>3</v>
      </c>
      <c r="M180" s="154"/>
    </row>
    <row r="181" spans="1:13" hidden="1" outlineLevel="1" x14ac:dyDescent="0.25">
      <c r="A181" s="154"/>
      <c r="B181" s="254" t="s">
        <v>55</v>
      </c>
      <c r="C181" s="449"/>
      <c r="D181" s="450"/>
      <c r="E181" s="6" t="s">
        <v>55</v>
      </c>
      <c r="F181" s="174">
        <f>INDEX('MED TO AG'!$A$6:$J$23,MATCH(MAIN!E181,'MED TO AG'!$A$6:$A$23,0),5)</f>
        <v>31.724137931034484</v>
      </c>
      <c r="G181" s="161">
        <f>INDEX('MED TO AG'!$A$6:$J$23,MATCH(MAIN!E181,'MED TO AG'!$A$6:$A$23,0),7)</f>
        <v>31.724137931034484</v>
      </c>
      <c r="H181" s="162">
        <f>INDEX('MED TO AG'!$A$6:$J$23,MATCH(MAIN!E181,'MED TO AG'!$A$6:$A$23,0),9)</f>
        <v>31.724137931034484</v>
      </c>
      <c r="I181" s="163" t="s">
        <v>55</v>
      </c>
      <c r="J181" s="212">
        <f>INDEX('MED TO AG'!$L$6:$U$23,MATCH(MAIN!I181,'MED TO AG'!$L$6:$L$23,0),5)</f>
        <v>42</v>
      </c>
      <c r="K181" s="212">
        <f>INDEX('MED TO AG'!$L$6:$U$23,MATCH(MAIN!I181,'MED TO AG'!$L$6:$L$23,0),7)</f>
        <v>42</v>
      </c>
      <c r="L181" s="215">
        <f>INDEX('MED TO AG'!$L$6:$U$23,MATCH(MAIN!I181,'MED TO AG'!$L$6:$L$23,0),9)</f>
        <v>42</v>
      </c>
    </row>
    <row r="182" spans="1:13" hidden="1" outlineLevel="1" x14ac:dyDescent="0.25">
      <c r="A182" s="154"/>
      <c r="B182" s="255" t="s">
        <v>56</v>
      </c>
      <c r="C182" s="449"/>
      <c r="D182" s="450"/>
      <c r="E182" s="6" t="s">
        <v>56</v>
      </c>
      <c r="F182" s="174">
        <f>INDEX('MED TO AG'!$A$6:$J$23,MATCH(MAIN!E182,'MED TO AG'!$A$6:$A$23,0),5)</f>
        <v>0</v>
      </c>
      <c r="G182" s="177">
        <f>INDEX('MED TO AG'!$A$6:$J$23,MATCH(MAIN!E182,'MED TO AG'!$A$6:$A$23,0),7)</f>
        <v>0</v>
      </c>
      <c r="H182" s="175">
        <f>INDEX('MED TO AG'!$A$6:$J$23,MATCH(MAIN!E182,'MED TO AG'!$A$6:$A$23,0),9)</f>
        <v>0</v>
      </c>
      <c r="I182" s="178" t="s">
        <v>56</v>
      </c>
      <c r="J182" s="212">
        <f>INDEX('MED TO AG'!$L$6:$U$23,MATCH(MAIN!I182,'MED TO AG'!$L$6:$L$23,0),5)</f>
        <v>0</v>
      </c>
      <c r="K182" s="212">
        <f>INDEX('MED TO AG'!$L$6:$U$23,MATCH(MAIN!I182,'MED TO AG'!$L$6:$L$23,0),7)</f>
        <v>0</v>
      </c>
      <c r="L182" s="215">
        <f>INDEX('MED TO AG'!$L$6:$U$23,MATCH(MAIN!I182,'MED TO AG'!$L$6:$L$23,0),9)</f>
        <v>0</v>
      </c>
    </row>
    <row r="183" spans="1:13" hidden="1" outlineLevel="1" x14ac:dyDescent="0.25">
      <c r="A183" s="154"/>
      <c r="B183" s="255" t="s">
        <v>57</v>
      </c>
      <c r="C183" s="449"/>
      <c r="D183" s="450"/>
      <c r="E183" s="6" t="s">
        <v>57</v>
      </c>
      <c r="F183" s="174">
        <f>INDEX('MED TO AG'!$A$6:$J$23,MATCH(MAIN!E183,'MED TO AG'!$A$6:$A$23,0),5)</f>
        <v>2.7517241379310344</v>
      </c>
      <c r="G183" s="177">
        <f>INDEX('MED TO AG'!$A$6:$J$23,MATCH(MAIN!E183,'MED TO AG'!$A$6:$A$23,0),7)</f>
        <v>2.7517241379310344</v>
      </c>
      <c r="H183" s="175">
        <f>INDEX('MED TO AG'!$A$6:$J$23,MATCH(MAIN!E183,'MED TO AG'!$A$6:$A$23,0),9)</f>
        <v>2.7517241379310344</v>
      </c>
      <c r="I183" s="178" t="s">
        <v>57</v>
      </c>
      <c r="J183" s="212">
        <f>INDEX('MED TO AG'!$L$6:$U$23,MATCH(MAIN!I183,'MED TO AG'!$L$6:$L$23,0),5)</f>
        <v>4.25</v>
      </c>
      <c r="K183" s="212">
        <f>INDEX('MED TO AG'!$L$6:$U$23,MATCH(MAIN!I183,'MED TO AG'!$L$6:$L$23,0),7)</f>
        <v>4.25</v>
      </c>
      <c r="L183" s="215">
        <f>INDEX('MED TO AG'!$L$6:$U$23,MATCH(MAIN!I183,'MED TO AG'!$L$6:$L$23,0),9)</f>
        <v>4.25</v>
      </c>
    </row>
    <row r="184" spans="1:13" hidden="1" outlineLevel="1" x14ac:dyDescent="0.25">
      <c r="A184" s="154"/>
      <c r="B184" s="255" t="s">
        <v>58</v>
      </c>
      <c r="C184" s="449"/>
      <c r="D184" s="450"/>
      <c r="E184" s="6" t="s">
        <v>58</v>
      </c>
      <c r="F184" s="174">
        <f>INDEX('MED TO AG'!$A$6:$J$23,MATCH(MAIN!E184,'MED TO AG'!$A$6:$A$23,0),5)</f>
        <v>0.10344827586206896</v>
      </c>
      <c r="G184" s="177">
        <f>INDEX('MED TO AG'!$A$6:$J$23,MATCH(MAIN!E184,'MED TO AG'!$A$6:$A$23,0),7)</f>
        <v>0.10344827586206896</v>
      </c>
      <c r="H184" s="175">
        <f>INDEX('MED TO AG'!$A$6:$J$23,MATCH(MAIN!E184,'MED TO AG'!$A$6:$A$23,0),9)</f>
        <v>0.10344827586206896</v>
      </c>
      <c r="I184" s="178" t="s">
        <v>58</v>
      </c>
      <c r="J184" s="212">
        <f>INDEX('MED TO AG'!$L$6:$U$23,MATCH(MAIN!I184,'MED TO AG'!$L$6:$L$23,0),5)</f>
        <v>8.5000000000000006E-2</v>
      </c>
      <c r="K184" s="212">
        <f>INDEX('MED TO AG'!$L$6:$U$23,MATCH(MAIN!I184,'MED TO AG'!$L$6:$L$23,0),7)</f>
        <v>8.5000000000000006E-2</v>
      </c>
      <c r="L184" s="215">
        <f>INDEX('MED TO AG'!$L$6:$U$23,MATCH(MAIN!I184,'MED TO AG'!$L$6:$L$23,0),9)</f>
        <v>8.5000000000000006E-2</v>
      </c>
    </row>
    <row r="185" spans="1:13" hidden="1" outlineLevel="1" x14ac:dyDescent="0.25">
      <c r="A185" s="154"/>
      <c r="B185" s="255" t="s">
        <v>127</v>
      </c>
      <c r="C185" s="449"/>
      <c r="D185" s="450"/>
      <c r="E185" s="6" t="s">
        <v>127</v>
      </c>
      <c r="F185" s="174">
        <f>INDEX('MED TO AG'!$A$6:$J$23,MATCH(MAIN!E185,'MED TO AG'!$A$6:$A$23,0),5)</f>
        <v>0.17241379310344829</v>
      </c>
      <c r="G185" s="177">
        <f>INDEX('MED TO AG'!$A$6:$J$23,MATCH(MAIN!E185,'MED TO AG'!$A$6:$A$23,0),7)</f>
        <v>0.17241379310344829</v>
      </c>
      <c r="H185" s="175">
        <f>INDEX('MED TO AG'!$A$6:$J$23,MATCH(MAIN!E185,'MED TO AG'!$A$6:$A$23,0),9)</f>
        <v>0.17241379310344829</v>
      </c>
      <c r="I185" s="178" t="s">
        <v>127</v>
      </c>
      <c r="J185" s="212">
        <f>INDEX('MED TO AG'!$L$6:$U$23,MATCH(MAIN!I185,'MED TO AG'!$L$6:$L$23,0),5)</f>
        <v>0.25</v>
      </c>
      <c r="K185" s="212">
        <f>INDEX('MED TO AG'!$L$6:$U$23,MATCH(MAIN!I185,'MED TO AG'!$L$6:$L$23,0),7)</f>
        <v>0.25</v>
      </c>
      <c r="L185" s="215">
        <f>INDEX('MED TO AG'!$L$6:$U$23,MATCH(MAIN!I185,'MED TO AG'!$L$6:$L$23,0),9)</f>
        <v>0.25</v>
      </c>
    </row>
    <row r="186" spans="1:13" hidden="1" outlineLevel="1" x14ac:dyDescent="0.25">
      <c r="A186" s="154"/>
      <c r="B186" s="255" t="s">
        <v>128</v>
      </c>
      <c r="C186" s="449"/>
      <c r="D186" s="450"/>
      <c r="E186" s="6" t="s">
        <v>128</v>
      </c>
      <c r="F186" s="174">
        <f>INDEX('MED TO AG'!$A$6:$J$23,MATCH(MAIN!E186,'MED TO AG'!$A$6:$A$23,0),5)</f>
        <v>0.17241379310344829</v>
      </c>
      <c r="G186" s="177">
        <f>INDEX('MED TO AG'!$A$6:$J$23,MATCH(MAIN!E186,'MED TO AG'!$A$6:$A$23,0),7)</f>
        <v>0.17241379310344829</v>
      </c>
      <c r="H186" s="175">
        <f>INDEX('MED TO AG'!$A$6:$J$23,MATCH(MAIN!E186,'MED TO AG'!$A$6:$A$23,0),9)</f>
        <v>0.17241379310344829</v>
      </c>
      <c r="I186" s="178" t="s">
        <v>128</v>
      </c>
      <c r="J186" s="212">
        <f>INDEX('MED TO AG'!$L$6:$U$23,MATCH(MAIN!I186,'MED TO AG'!$L$6:$L$23,0),5)</f>
        <v>0.25</v>
      </c>
      <c r="K186" s="212">
        <f>INDEX('MED TO AG'!$L$6:$U$23,MATCH(MAIN!I186,'MED TO AG'!$L$6:$L$23,0),7)</f>
        <v>0.25</v>
      </c>
      <c r="L186" s="215">
        <f>INDEX('MED TO AG'!$L$6:$U$23,MATCH(MAIN!I186,'MED TO AG'!$L$6:$L$23,0),9)</f>
        <v>0.25</v>
      </c>
    </row>
    <row r="187" spans="1:13" hidden="1" outlineLevel="1" x14ac:dyDescent="0.25">
      <c r="A187" s="154"/>
      <c r="B187" s="255" t="s">
        <v>83</v>
      </c>
      <c r="C187" s="449"/>
      <c r="D187" s="450"/>
      <c r="E187" s="6" t="s">
        <v>83</v>
      </c>
      <c r="F187" s="174">
        <f ca="1">INDEX('MED TO AG'!$A$6:$J$23,MATCH(MAIN!E187,'MED TO AG'!$A$6:$A$23,0),5)</f>
        <v>3.4650000000000003</v>
      </c>
      <c r="G187" s="177">
        <f ca="1">INDEX('MED TO AG'!$A$6:$J$23,MATCH(MAIN!E187,'MED TO AG'!$A$6:$A$23,0),7)</f>
        <v>3.4650000000000003</v>
      </c>
      <c r="H187" s="175">
        <f ca="1">INDEX('MED TO AG'!$A$6:$J$23,MATCH(MAIN!E187,'MED TO AG'!$A$6:$A$23,0),9)</f>
        <v>3.4310958904109592</v>
      </c>
      <c r="I187" s="178" t="s">
        <v>83</v>
      </c>
      <c r="J187" s="212">
        <f ca="1">INDEX('MED TO AG'!$L$6:$U$23,MATCH(MAIN!I187,'MED TO AG'!$L$6:$L$23,0),5)</f>
        <v>3.4650000000000003</v>
      </c>
      <c r="K187" s="212">
        <f ca="1">INDEX('MED TO AG'!$L$6:$U$23,MATCH(MAIN!I187,'MED TO AG'!$L$6:$L$23,0),7)</f>
        <v>3.4650000000000003</v>
      </c>
      <c r="L187" s="215">
        <f ca="1">INDEX('MED TO AG'!$L$6:$U$23,MATCH(MAIN!I187,'MED TO AG'!$L$6:$L$23,0),9)</f>
        <v>3.4310958904109592</v>
      </c>
    </row>
    <row r="188" spans="1:13" hidden="1" outlineLevel="1" x14ac:dyDescent="0.25">
      <c r="A188" s="154"/>
      <c r="B188" s="255" t="s">
        <v>59</v>
      </c>
      <c r="C188" s="449"/>
      <c r="D188" s="450"/>
      <c r="E188" s="6" t="s">
        <v>59</v>
      </c>
      <c r="F188" s="174">
        <f>INDEX('MED TO AG'!$A$6:$J$23,MATCH(MAIN!E188,'MED TO AG'!$A$6:$A$23,0),5)</f>
        <v>0</v>
      </c>
      <c r="G188" s="177">
        <f>INDEX('MED TO AG'!$A$6:$J$23,MATCH(MAIN!E188,'MED TO AG'!$A$6:$A$23,0),7)</f>
        <v>0</v>
      </c>
      <c r="H188" s="175">
        <f>INDEX('MED TO AG'!$A$6:$J$23,MATCH(MAIN!E188,'MED TO AG'!$A$6:$A$23,0),9)</f>
        <v>0</v>
      </c>
      <c r="I188" s="178" t="s">
        <v>59</v>
      </c>
      <c r="J188" s="212">
        <f>INDEX('MED TO AG'!$L$6:$U$23,MATCH(MAIN!I188,'MED TO AG'!$L$6:$L$23,0),5)</f>
        <v>0</v>
      </c>
      <c r="K188" s="212">
        <f>INDEX('MED TO AG'!$L$6:$U$23,MATCH(MAIN!I188,'MED TO AG'!$L$6:$L$23,0),7)</f>
        <v>0</v>
      </c>
      <c r="L188" s="215">
        <f>INDEX('MED TO AG'!$L$6:$U$23,MATCH(MAIN!I188,'MED TO AG'!$L$6:$L$23,0),9)</f>
        <v>0</v>
      </c>
    </row>
    <row r="189" spans="1:13" hidden="1" outlineLevel="1" x14ac:dyDescent="0.25">
      <c r="A189" s="154"/>
      <c r="B189" s="255" t="s">
        <v>60</v>
      </c>
      <c r="C189" s="449"/>
      <c r="D189" s="450"/>
      <c r="E189" s="6" t="s">
        <v>60</v>
      </c>
      <c r="F189" s="174">
        <f ca="1">INDEX('MED TO AG'!$A$6:$J$23,MATCH(MAIN!E189,'MED TO AG'!$A$6:$A$23,0),5)</f>
        <v>0.28743750000000001</v>
      </c>
      <c r="G189" s="177">
        <f ca="1">INDEX('MED TO AG'!$A$6:$J$23,MATCH(MAIN!E189,'MED TO AG'!$A$6:$A$23,0),7)</f>
        <v>0.28743750000000001</v>
      </c>
      <c r="H189" s="175">
        <f ca="1">INDEX('MED TO AG'!$A$6:$J$23,MATCH(MAIN!E189,'MED TO AG'!$A$6:$A$23,0),9)</f>
        <v>0.28462500000000002</v>
      </c>
      <c r="I189" s="178" t="s">
        <v>60</v>
      </c>
      <c r="J189" s="212">
        <f ca="1">INDEX('MED TO AG'!$L$6:$U$23,MATCH(MAIN!I189,'MED TO AG'!$L$6:$L$23,0),5)</f>
        <v>0.28743750000000001</v>
      </c>
      <c r="K189" s="212">
        <f ca="1">INDEX('MED TO AG'!$L$6:$U$23,MATCH(MAIN!I189,'MED TO AG'!$L$6:$L$23,0),7)</f>
        <v>0.28743750000000001</v>
      </c>
      <c r="L189" s="215">
        <f ca="1">INDEX('MED TO AG'!$L$6:$U$23,MATCH(MAIN!I189,'MED TO AG'!$L$6:$L$23,0),9)</f>
        <v>0.28462500000000002</v>
      </c>
    </row>
    <row r="190" spans="1:13" hidden="1" outlineLevel="1" x14ac:dyDescent="0.25">
      <c r="A190" s="154"/>
      <c r="B190" s="255" t="s">
        <v>61</v>
      </c>
      <c r="C190" s="449"/>
      <c r="D190" s="450"/>
      <c r="E190" s="6" t="s">
        <v>61</v>
      </c>
      <c r="F190" s="174">
        <f ca="1">INDEX('MED TO AG'!$A$6:$J$23,MATCH(MAIN!E190,'MED TO AG'!$A$6:$A$23,0),5)</f>
        <v>137.703</v>
      </c>
      <c r="G190" s="177">
        <f ca="1">INDEX('MED TO AG'!$A$6:$J$23,MATCH(MAIN!E190,'MED TO AG'!$A$6:$A$23,0),7)</f>
        <v>137.79300000000001</v>
      </c>
      <c r="H190" s="175">
        <f ca="1">INDEX('MED TO AG'!$A$6:$J$23,MATCH(MAIN!E190,'MED TO AG'!$A$6:$A$23,0),9)</f>
        <v>137.79300000000001</v>
      </c>
      <c r="I190" s="178" t="s">
        <v>61</v>
      </c>
      <c r="J190" s="212">
        <f ca="1">INDEX('MED TO AG'!$L$6:$U$23,MATCH(MAIN!I190,'MED TO AG'!$L$6:$L$23,0),5)</f>
        <v>137.703</v>
      </c>
      <c r="K190" s="212">
        <f ca="1">INDEX('MED TO AG'!$L$6:$U$23,MATCH(MAIN!I190,'MED TO AG'!$L$6:$L$23,0),7)</f>
        <v>137.79300000000001</v>
      </c>
      <c r="L190" s="215">
        <f ca="1">INDEX('MED TO AG'!$L$6:$U$23,MATCH(MAIN!I190,'MED TO AG'!$L$6:$L$23,0),9)</f>
        <v>137.79300000000001</v>
      </c>
    </row>
    <row r="191" spans="1:13" hidden="1" outlineLevel="1" x14ac:dyDescent="0.25">
      <c r="A191" s="154"/>
      <c r="B191" s="255" t="s">
        <v>62</v>
      </c>
      <c r="C191" s="449"/>
      <c r="D191" s="450"/>
      <c r="E191" s="6" t="s">
        <v>62</v>
      </c>
      <c r="F191" s="174">
        <f>INDEX('MED TO AG'!$A$6:$J$23,MATCH(MAIN!E191,'MED TO AG'!$A$6:$A$23,0),5)</f>
        <v>8.6206896551724144E-2</v>
      </c>
      <c r="G191" s="177">
        <f>INDEX('MED TO AG'!$A$6:$J$23,MATCH(MAIN!E191,'MED TO AG'!$A$6:$A$23,0),7)</f>
        <v>8.6206896551724144E-2</v>
      </c>
      <c r="H191" s="175">
        <f>INDEX('MED TO AG'!$A$6:$J$23,MATCH(MAIN!E191,'MED TO AG'!$A$6:$A$23,0),9)</f>
        <v>8.6206896551724144E-2</v>
      </c>
      <c r="I191" s="178" t="s">
        <v>62</v>
      </c>
      <c r="J191" s="212">
        <f>INDEX('MED TO AG'!$L$6:$U$23,MATCH(MAIN!I191,'MED TO AG'!$L$6:$L$23,0),5)</f>
        <v>0.125</v>
      </c>
      <c r="K191" s="212">
        <f>INDEX('MED TO AG'!$L$6:$U$23,MATCH(MAIN!I191,'MED TO AG'!$L$6:$L$23,0),7)</f>
        <v>0.125</v>
      </c>
      <c r="L191" s="215">
        <f>INDEX('MED TO AG'!$L$6:$U$23,MATCH(MAIN!I191,'MED TO AG'!$L$6:$L$23,0),9)</f>
        <v>0.125</v>
      </c>
    </row>
    <row r="192" spans="1:13" hidden="1" outlineLevel="1" x14ac:dyDescent="0.25">
      <c r="A192" s="154"/>
      <c r="B192" s="255" t="s">
        <v>63</v>
      </c>
      <c r="C192" s="449"/>
      <c r="D192" s="450"/>
      <c r="E192" s="6" t="s">
        <v>63</v>
      </c>
      <c r="F192" s="174">
        <f>INDEX('MED TO AG'!$A$6:$J$23,MATCH(MAIN!E192,'MED TO AG'!$A$6:$A$23,0),5)</f>
        <v>8.6206896551724137E-3</v>
      </c>
      <c r="G192" s="177">
        <f>INDEX('MED TO AG'!$A$6:$J$23,MATCH(MAIN!E192,'MED TO AG'!$A$6:$A$23,0),7)</f>
        <v>8.6206896551724137E-3</v>
      </c>
      <c r="H192" s="175">
        <f>INDEX('MED TO AG'!$A$6:$J$23,MATCH(MAIN!E192,'MED TO AG'!$A$6:$A$23,0),9)</f>
        <v>8.6206896551724137E-3</v>
      </c>
      <c r="I192" s="178" t="s">
        <v>63</v>
      </c>
      <c r="J192" s="212">
        <f>INDEX('MED TO AG'!$L$6:$U$23,MATCH(MAIN!I192,'MED TO AG'!$L$6:$L$23,0),5)</f>
        <v>1.2500000000000001E-2</v>
      </c>
      <c r="K192" s="212">
        <f>INDEX('MED TO AG'!$L$6:$U$23,MATCH(MAIN!I192,'MED TO AG'!$L$6:$L$23,0),7)</f>
        <v>1.2500000000000001E-2</v>
      </c>
      <c r="L192" s="215">
        <f>INDEX('MED TO AG'!$L$6:$U$23,MATCH(MAIN!I192,'MED TO AG'!$L$6:$L$23,0),9)</f>
        <v>1.2500000000000001E-2</v>
      </c>
    </row>
    <row r="193" spans="1:13" hidden="1" outlineLevel="1" x14ac:dyDescent="0.25">
      <c r="A193" s="154"/>
      <c r="B193" s="255" t="s">
        <v>64</v>
      </c>
      <c r="C193" s="449"/>
      <c r="D193" s="450"/>
      <c r="E193" s="6" t="s">
        <v>64</v>
      </c>
      <c r="F193" s="174">
        <f>INDEX('MED TO AG'!$A$6:$J$23,MATCH(MAIN!E193,'MED TO AG'!$A$6:$A$23,0),5)</f>
        <v>8.6206896551724137E-3</v>
      </c>
      <c r="G193" s="177">
        <f>INDEX('MED TO AG'!$A$6:$J$23,MATCH(MAIN!E193,'MED TO AG'!$A$6:$A$23,0),7)</f>
        <v>8.6206896551724137E-3</v>
      </c>
      <c r="H193" s="175">
        <f>INDEX('MED TO AG'!$A$6:$J$23,MATCH(MAIN!E193,'MED TO AG'!$A$6:$A$23,0),9)</f>
        <v>8.6206896551724137E-3</v>
      </c>
      <c r="I193" s="178" t="s">
        <v>64</v>
      </c>
      <c r="J193" s="212">
        <f>INDEX('MED TO AG'!$L$6:$U$23,MATCH(MAIN!I193,'MED TO AG'!$L$6:$L$23,0),5)</f>
        <v>1.2500000000000001E-2</v>
      </c>
      <c r="K193" s="212">
        <f>INDEX('MED TO AG'!$L$6:$U$23,MATCH(MAIN!I193,'MED TO AG'!$L$6:$L$23,0),7)</f>
        <v>1.2500000000000001E-2</v>
      </c>
      <c r="L193" s="215">
        <f>INDEX('MED TO AG'!$L$6:$U$23,MATCH(MAIN!I193,'MED TO AG'!$L$6:$L$23,0),9)</f>
        <v>1.2500000000000001E-2</v>
      </c>
    </row>
    <row r="194" spans="1:13" hidden="1" outlineLevel="1" x14ac:dyDescent="0.25">
      <c r="A194" s="154"/>
      <c r="B194" s="255" t="s">
        <v>65</v>
      </c>
      <c r="C194" s="449"/>
      <c r="D194" s="450"/>
      <c r="E194" s="6" t="s">
        <v>65</v>
      </c>
      <c r="F194" s="174">
        <f>INDEX('MED TO AG'!$A$6:$J$23,MATCH(MAIN!E194,'MED TO AG'!$A$6:$A$23,0),5)</f>
        <v>0.10344827586206896</v>
      </c>
      <c r="G194" s="177">
        <f>INDEX('MED TO AG'!$A$6:$J$23,MATCH(MAIN!E194,'MED TO AG'!$A$6:$A$23,0),7)</f>
        <v>0.10344827586206896</v>
      </c>
      <c r="H194" s="175">
        <f>INDEX('MED TO AG'!$A$6:$J$23,MATCH(MAIN!E194,'MED TO AG'!$A$6:$A$23,0),9)</f>
        <v>0.10344827586206896</v>
      </c>
      <c r="I194" s="178" t="s">
        <v>65</v>
      </c>
      <c r="J194" s="212">
        <f>INDEX('MED TO AG'!$L$6:$U$23,MATCH(MAIN!I194,'MED TO AG'!$L$6:$L$23,0),5)</f>
        <v>0.15</v>
      </c>
      <c r="K194" s="212">
        <f>INDEX('MED TO AG'!$L$6:$U$23,MATCH(MAIN!I194,'MED TO AG'!$L$6:$L$23,0),7)</f>
        <v>0.15</v>
      </c>
      <c r="L194" s="215">
        <f>INDEX('MED TO AG'!$L$6:$U$23,MATCH(MAIN!I194,'MED TO AG'!$L$6:$L$23,0),9)</f>
        <v>0.15</v>
      </c>
    </row>
    <row r="195" spans="1:13" hidden="1" outlineLevel="1" x14ac:dyDescent="0.25">
      <c r="A195" s="154"/>
      <c r="B195" s="255" t="s">
        <v>66</v>
      </c>
      <c r="C195" s="449"/>
      <c r="D195" s="450"/>
      <c r="E195" s="6" t="s">
        <v>66</v>
      </c>
      <c r="F195" s="174">
        <f>INDEX('MED TO AG'!$A$6:$J$23,MATCH(MAIN!E195,'MED TO AG'!$A$6:$A$23,0),5)</f>
        <v>6.8965517241379309E-2</v>
      </c>
      <c r="G195" s="177">
        <f>INDEX('MED TO AG'!$A$6:$J$23,MATCH(MAIN!E195,'MED TO AG'!$A$6:$A$23,0),7)</f>
        <v>6.8965517241379309E-2</v>
      </c>
      <c r="H195" s="175">
        <f>INDEX('MED TO AG'!$A$6:$J$23,MATCH(MAIN!E195,'MED TO AG'!$A$6:$A$23,0),9)</f>
        <v>6.8965517241379309E-2</v>
      </c>
      <c r="I195" s="178" t="s">
        <v>66</v>
      </c>
      <c r="J195" s="212">
        <f>INDEX('MED TO AG'!$L$6:$U$23,MATCH(MAIN!I195,'MED TO AG'!$L$6:$L$23,0),5)</f>
        <v>0.1</v>
      </c>
      <c r="K195" s="212">
        <f>INDEX('MED TO AG'!$L$6:$U$23,MATCH(MAIN!I195,'MED TO AG'!$L$6:$L$23,0),7)</f>
        <v>0.1</v>
      </c>
      <c r="L195" s="215">
        <f>INDEX('MED TO AG'!$L$6:$U$23,MATCH(MAIN!I195,'MED TO AG'!$L$6:$L$23,0),9)</f>
        <v>0.1</v>
      </c>
    </row>
    <row r="196" spans="1:13" hidden="1" outlineLevel="1" x14ac:dyDescent="0.25">
      <c r="A196" s="154"/>
      <c r="B196" s="255" t="s">
        <v>102</v>
      </c>
      <c r="C196" s="449"/>
      <c r="D196" s="450"/>
      <c r="E196" s="6" t="s">
        <v>102</v>
      </c>
      <c r="F196" s="174">
        <f ca="1">INDEX('MED TO AG'!$A$6:$J$23,MATCH(MAIN!E196,'MED TO AG'!$A$6:$A$23,0),5)</f>
        <v>176.65543749999998</v>
      </c>
      <c r="G196" s="177">
        <f ca="1">INDEX('MED TO AG'!$A$6:$J$23,MATCH(MAIN!E196,'MED TO AG'!$A$6:$A$23,0),7)</f>
        <v>176.74543749999998</v>
      </c>
      <c r="H196" s="175">
        <f ca="1">INDEX('MED TO AG'!$A$6:$J$23,MATCH(MAIN!E196,'MED TO AG'!$A$6:$A$23,0),9)</f>
        <v>176.70872089041094</v>
      </c>
      <c r="I196" s="178" t="s">
        <v>102</v>
      </c>
      <c r="J196" s="212">
        <f ca="1">INDEX('MED TO AG'!$L$6:$U$23,MATCH(MAIN!I196,'MED TO AG'!$L$6:$L$23,0),5)</f>
        <v>188.69043749999997</v>
      </c>
      <c r="K196" s="212">
        <f ca="1">INDEX('MED TO AG'!$L$6:$U$23,MATCH(MAIN!I196,'MED TO AG'!$L$6:$L$23,0),7)</f>
        <v>188.78043750000001</v>
      </c>
      <c r="L196" s="215">
        <f ca="1">INDEX('MED TO AG'!$L$6:$U$23,MATCH(MAIN!I196,'MED TO AG'!$L$6:$L$23,0),9)</f>
        <v>188.74372089041094</v>
      </c>
    </row>
    <row r="197" spans="1:13" hidden="1" outlineLevel="1" x14ac:dyDescent="0.25">
      <c r="A197" s="154"/>
      <c r="B197" s="255" t="s">
        <v>103</v>
      </c>
      <c r="C197" s="449"/>
      <c r="D197" s="450"/>
      <c r="E197" s="6" t="s">
        <v>103</v>
      </c>
      <c r="F197" s="174">
        <f ca="1">INDEX('MED TO AG'!$A$6:$J$23,MATCH(MAIN!E197,'MED TO AG'!$A$6:$A$23,0),5)</f>
        <v>10</v>
      </c>
      <c r="G197" s="177">
        <f ca="1">INDEX('MED TO AG'!$A$6:$J$23,MATCH(MAIN!E197,'MED TO AG'!$A$6:$A$23,0),7)</f>
        <v>10.071428571428571</v>
      </c>
      <c r="H197" s="175">
        <f ca="1">INDEX('MED TO AG'!$A$6:$J$23,MATCH(MAIN!E197,'MED TO AG'!$A$6:$A$23,0),9)</f>
        <v>10.25</v>
      </c>
      <c r="I197" s="178" t="s">
        <v>103</v>
      </c>
      <c r="J197" s="212">
        <f ca="1">INDEX('MED TO AG'!$L$6:$U$23,MATCH(MAIN!I197,'MED TO AG'!$L$6:$L$23,0),5)</f>
        <v>10</v>
      </c>
      <c r="K197" s="212">
        <f ca="1">INDEX('MED TO AG'!$L$6:$U$23,MATCH(MAIN!I197,'MED TO AG'!$L$6:$L$23,0),7)</f>
        <v>10.071428571428571</v>
      </c>
      <c r="L197" s="215">
        <f ca="1">INDEX('MED TO AG'!$L$6:$U$23,MATCH(MAIN!I197,'MED TO AG'!$L$6:$L$23,0),9)</f>
        <v>10.25</v>
      </c>
    </row>
    <row r="198" spans="1:13" hidden="1" outlineLevel="1" x14ac:dyDescent="0.25">
      <c r="A198" s="154"/>
      <c r="B198" s="255" t="s">
        <v>115</v>
      </c>
      <c r="C198" s="449"/>
      <c r="D198" s="450"/>
      <c r="E198" s="6" t="s">
        <v>115</v>
      </c>
      <c r="F198" s="174">
        <f ca="1">INDEX('MED TO AG'!$A$6:$J$23,MATCH(MAIN!E198,'MED TO AG'!$A$6:$A$23,0),5)</f>
        <v>-166.65543749999998</v>
      </c>
      <c r="G198" s="177">
        <f ca="1">INDEX('MED TO AG'!$A$6:$J$23,MATCH(MAIN!E198,'MED TO AG'!$A$6:$A$23,0),7)</f>
        <v>-166.6740089285714</v>
      </c>
      <c r="H198" s="175">
        <f ca="1">INDEX('MED TO AG'!$A$6:$J$23,MATCH(MAIN!E198,'MED TO AG'!$A$6:$A$23,0),9)</f>
        <v>-166.45872089041094</v>
      </c>
      <c r="I198" s="178" t="s">
        <v>115</v>
      </c>
      <c r="J198" s="212">
        <f ca="1">INDEX('MED TO AG'!$L$6:$U$23,MATCH(MAIN!I198,'MED TO AG'!$L$6:$L$23,0),5)</f>
        <v>-178.69043749999997</v>
      </c>
      <c r="K198" s="212">
        <f ca="1">INDEX('MED TO AG'!$L$6:$U$23,MATCH(MAIN!I198,'MED TO AG'!$L$6:$L$23,0),7)</f>
        <v>-178.70900892857142</v>
      </c>
      <c r="L198" s="215">
        <f ca="1">INDEX('MED TO AG'!$L$6:$U$23,MATCH(MAIN!I198,'MED TO AG'!$L$6:$L$23,0),9)</f>
        <v>-178.49372089041094</v>
      </c>
    </row>
    <row r="199" spans="1:13" ht="15.75" hidden="1" outlineLevel="1" thickBot="1" x14ac:dyDescent="0.3">
      <c r="A199" s="154"/>
      <c r="B199" s="255" t="s">
        <v>129</v>
      </c>
      <c r="C199" s="463"/>
      <c r="D199" s="464"/>
      <c r="E199" s="105" t="s">
        <v>129</v>
      </c>
      <c r="F199" s="216">
        <f ca="1">F173</f>
        <v>45903</v>
      </c>
      <c r="G199" s="217">
        <f t="shared" ref="G199:L199" ca="1" si="3">G173</f>
        <v>45917</v>
      </c>
      <c r="H199" s="218">
        <f t="shared" ca="1" si="3"/>
        <v>45931</v>
      </c>
      <c r="I199" s="219" t="str">
        <f t="shared" si="3"/>
        <v>Loading Month</v>
      </c>
      <c r="J199" s="220">
        <f t="shared" ca="1" si="3"/>
        <v>45903</v>
      </c>
      <c r="K199" s="220">
        <f t="shared" ca="1" si="3"/>
        <v>45917</v>
      </c>
      <c r="L199" s="221">
        <f t="shared" ca="1" si="3"/>
        <v>45931</v>
      </c>
    </row>
    <row r="200" spans="1:13" hidden="1" outlineLevel="1" x14ac:dyDescent="0.25"/>
    <row r="201" spans="1:13" hidden="1" collapsed="1" x14ac:dyDescent="0.25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</row>
    <row r="202" spans="1:13" hidden="1" x14ac:dyDescent="0.25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</row>
    <row r="203" spans="1:13" ht="15.75" hidden="1" thickBot="1" x14ac:dyDescent="0.3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</row>
    <row r="204" spans="1:13" ht="15.75" hidden="1" thickBot="1" x14ac:dyDescent="0.3">
      <c r="A204" s="154"/>
      <c r="B204" s="154"/>
      <c r="C204" s="451"/>
      <c r="D204" s="452"/>
      <c r="E204" s="156"/>
      <c r="F204" s="453" t="s">
        <v>132</v>
      </c>
      <c r="G204" s="454"/>
      <c r="H204" s="455"/>
      <c r="I204" s="156"/>
      <c r="J204" s="453" t="s">
        <v>133</v>
      </c>
      <c r="K204" s="454"/>
      <c r="L204" s="455"/>
      <c r="M204" s="154"/>
    </row>
    <row r="205" spans="1:13" ht="15.75" hidden="1" thickBot="1" x14ac:dyDescent="0.3">
      <c r="A205" s="366">
        <v>5.0000000000000001E-3</v>
      </c>
      <c r="B205" s="170"/>
      <c r="C205" s="451"/>
      <c r="D205" s="452">
        <f>D227+D208-D209</f>
        <v>0</v>
      </c>
      <c r="E205" s="10"/>
      <c r="F205" s="367" t="str">
        <f ca="1">IF(DAY(F206)&lt;15,"1H-"&amp;VLOOKUP(MONTH(F206),Mapping!$A$1:$B$12,2,0),"2H-"&amp;VLOOKUP(MONTH(F206),Mapping!$A$1:$B$12,2,0))</f>
        <v>2H-SEP</v>
      </c>
      <c r="G205" s="367" t="str">
        <f ca="1">IF(DAY(G206)&lt;15,"1H-"&amp;VLOOKUP(MONTH(G206),Mapping!$A$1:$B$12,2,0),"2H-"&amp;VLOOKUP(MONTH(G206),Mapping!$A$1:$B$12,2,0))</f>
        <v>1H-OCT</v>
      </c>
      <c r="H205" s="367" t="str">
        <f ca="1">IF(DAY(H206)&lt;15,"1H-"&amp;VLOOKUP(MONTH(H206),Mapping!$A$1:$B$12,2,0),"2H-"&amp;VLOOKUP(MONTH(H206),Mapping!$A$1:$B$12,2,0))</f>
        <v>2H-OCT</v>
      </c>
      <c r="I205" s="164"/>
      <c r="J205" s="367" t="str">
        <f ca="1">IF(DAY(J206)&lt;15,"1H-"&amp;VLOOKUP(MONTH(J206),Mapping!$A$1:$B$12,2,0),"2H-"&amp;VLOOKUP(MONTH(J206),Mapping!$A$1:$B$12,2,0))</f>
        <v>2H-SEP</v>
      </c>
      <c r="K205" s="185" t="str">
        <f ca="1">IF(DAY(K206)&lt;15,"1H-"&amp;VLOOKUP(MONTH(K206),Mapping!$A$1:$B$12,2,0),"2H-"&amp;VLOOKUP(MONTH(K206),Mapping!$A$1:$B$12,2,0))</f>
        <v>1H-OCT</v>
      </c>
      <c r="L205" s="368" t="str">
        <f ca="1">IF(DAY(L206)&lt;15,"1H-"&amp;VLOOKUP(MONTH(L206),Mapping!$A$1:$B$12,2,0),"2H-"&amp;VLOOKUP(MONTH(L206),Mapping!$A$1:$B$12,2,0))</f>
        <v>2H-OCT</v>
      </c>
      <c r="M205" s="154"/>
    </row>
    <row r="206" spans="1:13" ht="15.75" thickBot="1" x14ac:dyDescent="0.3">
      <c r="A206" s="416"/>
      <c r="B206" s="166"/>
      <c r="C206" s="369"/>
      <c r="D206" s="370"/>
      <c r="E206" s="6"/>
      <c r="F206" s="157">
        <f ca="1">F151</f>
        <v>45922</v>
      </c>
      <c r="G206" s="157">
        <f t="shared" ref="G206:H206" ca="1" si="4">G151</f>
        <v>45936</v>
      </c>
      <c r="H206" s="157">
        <f t="shared" ca="1" si="4"/>
        <v>45950</v>
      </c>
      <c r="I206" s="163"/>
      <c r="J206" s="157">
        <f ca="1">F206</f>
        <v>45922</v>
      </c>
      <c r="K206" s="157">
        <f t="shared" ref="K206" ca="1" si="5">G206</f>
        <v>45936</v>
      </c>
      <c r="L206" s="157">
        <f t="shared" ref="L206" ca="1" si="6">H206</f>
        <v>45950</v>
      </c>
      <c r="M206" s="154"/>
    </row>
    <row r="207" spans="1:13" ht="15.75" thickBot="1" x14ac:dyDescent="0.3">
      <c r="A207" s="366" t="s">
        <v>236</v>
      </c>
      <c r="B207" s="166"/>
      <c r="C207" s="369"/>
      <c r="D207" s="370"/>
      <c r="E207" s="6"/>
      <c r="F207" s="158" t="e">
        <f ca="1">F227+F208-F209</f>
        <v>#N/A</v>
      </c>
      <c r="G207" s="159" t="e">
        <f ca="1">G227+G208-G209</f>
        <v>#N/A</v>
      </c>
      <c r="H207" s="160" t="e">
        <f ca="1">H227+H208-H209</f>
        <v>#N/A</v>
      </c>
      <c r="I207" s="164"/>
      <c r="J207" s="159" t="e">
        <f ca="1">J227+J208-J209</f>
        <v>#N/A</v>
      </c>
      <c r="K207" s="159" t="e">
        <f ca="1">K227+K208-K209</f>
        <v>#N/A</v>
      </c>
      <c r="L207" s="160" t="e">
        <f ca="1">L227+L208-L209</f>
        <v>#N/A</v>
      </c>
      <c r="M207" s="154"/>
    </row>
    <row r="208" spans="1:13" x14ac:dyDescent="0.25">
      <c r="A208" s="154"/>
      <c r="B208" s="166" t="s">
        <v>131</v>
      </c>
      <c r="C208" s="447"/>
      <c r="D208" s="448"/>
      <c r="E208" s="176" t="s">
        <v>131</v>
      </c>
      <c r="F208" s="174" t="e">
        <f ca="1">INDEX(Premium!$A$2:$D$12,MATCH(MAIN!$A205,Premium!$A$2:$A$12,0),MATCH(EOMONTH(MAIN!F206,-1)+1,Premium!$A$2:$D$2,0))</f>
        <v>#N/A</v>
      </c>
      <c r="G208" s="174" t="e">
        <f ca="1">INDEX(Premium!$A$2:$D$12,MATCH(MAIN!$A205,Premium!$A$2:$A$12,0),MATCH(EOMONTH(MAIN!G206,-1)+1,Premium!$A$2:$D$2,0))</f>
        <v>#N/A</v>
      </c>
      <c r="H208" s="174" t="e">
        <f ca="1">INDEX(Premium!$A$2:$D$12,MATCH(MAIN!$A205,Premium!$A$2:$A$12,0),MATCH(EOMONTH(MAIN!H206,-1)+1,Premium!$A$2:$D$2,0))</f>
        <v>#N/A</v>
      </c>
      <c r="I208" s="178" t="e">
        <f>INDEX(Premium!$A$2:$D$12,MATCH(MAIN!$A205,Premium!$A$2:$A$12,0),MATCH(EOMONTH(MAIN!I179,-1)+1,Premium!$A$2:$D$2,0))</f>
        <v>#N/A</v>
      </c>
      <c r="J208" s="174" t="e">
        <f ca="1">INDEX(Premium!$A$2:$D$12,MATCH(MAIN!$A205,Premium!$A$2:$A$12,0),MATCH(EOMONTH(MAIN!J206,-1)+1,Premium!$A$2:$D$2,0))</f>
        <v>#N/A</v>
      </c>
      <c r="K208" s="174" t="e">
        <f ca="1">INDEX(Premium!$A$2:$D$12,MATCH(MAIN!$A205,Premium!$A$2:$A$12,0),MATCH(EOMONTH(MAIN!K206,-1)+1,Premium!$A$2:$D$2,0))</f>
        <v>#N/A</v>
      </c>
      <c r="L208" s="174" t="e">
        <f ca="1">INDEX(Premium!$A$2:$D$12,MATCH(MAIN!$A205,Premium!$A$2:$A$12,0),MATCH(EOMONTH(MAIN!L206,-1)+1,Premium!$A$2:$D$2,0))</f>
        <v>#N/A</v>
      </c>
      <c r="M208" s="154"/>
    </row>
    <row r="209" spans="1:13" ht="15.75" thickBot="1" x14ac:dyDescent="0.3">
      <c r="A209" s="154"/>
      <c r="B209" s="171" t="s">
        <v>130</v>
      </c>
      <c r="C209" s="449"/>
      <c r="D209" s="450"/>
      <c r="E209" s="176" t="s">
        <v>130</v>
      </c>
      <c r="F209" s="179">
        <f ca="1">INDEX(Premium!$A$21:$D$34,MATCH(MAIN!$A207,Premium!$A$21:$A$34,0),MATCH(EOMONTH(MAIN!F228,-1)+1,Premium!$A$21:$D$21,0))</f>
        <v>0</v>
      </c>
      <c r="G209" s="179">
        <f ca="1">INDEX(Premium!$A$21:$D$34,MATCH(MAIN!$A207,Premium!$A$21:$A$34,0),MATCH(EOMONTH(MAIN!G228,-1)+1,Premium!$A$21:$D$21,0))</f>
        <v>0</v>
      </c>
      <c r="H209" s="179">
        <f ca="1">INDEX(Premium!$A$21:$D$34,MATCH(MAIN!$A207,Premium!$A$21:$A$34,0),MATCH(EOMONTH(MAIN!H228,-1)+1,Premium!$A$21:$D$21,0))</f>
        <v>0</v>
      </c>
      <c r="I209" s="178" t="s">
        <v>130</v>
      </c>
      <c r="J209" s="179">
        <f ca="1">INDEX(Premium!$A$21:$D$34,MATCH(MAIN!$A207,Premium!$A$21:$A$34,0),MATCH(EOMONTH(MAIN!J228,-1)+1,Premium!$A$21:$D$21,0))</f>
        <v>0</v>
      </c>
      <c r="K209" s="179">
        <f ca="1">INDEX(Premium!$A$21:$D$34,MATCH(MAIN!$A207,Premium!$A$21:$A$34,0),MATCH(EOMONTH(MAIN!K228,-1)+1,Premium!$A$21:$D$21,0))</f>
        <v>0</v>
      </c>
      <c r="L209" s="179">
        <f ca="1">INDEX(Premium!$A$21:$D$34,MATCH(MAIN!$A207,Premium!$A$21:$A$34,0),MATCH(EOMONTH(MAIN!L228,-1)+1,Premium!$A$21:$D$21,0))</f>
        <v>0</v>
      </c>
      <c r="M209" s="154"/>
    </row>
    <row r="210" spans="1:13" hidden="1" outlineLevel="1" x14ac:dyDescent="0.25">
      <c r="A210" s="154"/>
      <c r="B210" s="154" t="s">
        <v>55</v>
      </c>
      <c r="C210" s="447"/>
      <c r="D210" s="448"/>
      <c r="E210" s="6" t="s">
        <v>55</v>
      </c>
      <c r="F210" s="233">
        <f>INDEX('MED TO SING'!$A$6:$J$23,MATCH(MAIN!E210,'MED TO SING'!$A$6:$A$23,0),6)</f>
        <v>32</v>
      </c>
      <c r="G210" s="240">
        <f>INDEX('MED TO SING'!$A$6:$J$23,MATCH(MAIN!E210,'MED TO SING'!$A$6:$A$23,0),8)</f>
        <v>32</v>
      </c>
      <c r="H210" s="241">
        <f>INDEX('MED TO SING'!$A$6:$J$23,MATCH(MAIN!E210,'MED TO SING'!$A$6:$A$23,0),10)</f>
        <v>32</v>
      </c>
      <c r="I210" s="250" t="s">
        <v>55</v>
      </c>
      <c r="J210" s="233">
        <f>INDEX('MED TO SING'!$L$6:$U$23,MATCH(MAIN!I210,'MED TO SING'!$L$6:$L$23,0),6)</f>
        <v>43</v>
      </c>
      <c r="K210" s="240">
        <f>INDEX('MED TO SING'!$L$6:$U$23,MATCH(MAIN!I210,'MED TO SING'!$L$6:$L$23,0),8)</f>
        <v>43</v>
      </c>
      <c r="L210" s="241">
        <f>INDEX('MED TO SING'!$L$6:$U$23,MATCH(MAIN!I210,'MED TO SING'!$L$6:$L$23,0),10)</f>
        <v>43</v>
      </c>
      <c r="M210" s="154"/>
    </row>
    <row r="211" spans="1:13" hidden="1" outlineLevel="1" x14ac:dyDescent="0.25">
      <c r="A211" s="154"/>
      <c r="B211" s="154" t="s">
        <v>56</v>
      </c>
      <c r="C211" s="449"/>
      <c r="D211" s="450"/>
      <c r="E211" t="s">
        <v>56</v>
      </c>
      <c r="F211" s="174">
        <f>INDEX('MED TO SING'!$A$6:$J$23,MATCH(MAIN!E211,'MED TO SING'!$A$6:$A$23,0),6)</f>
        <v>0</v>
      </c>
      <c r="G211" s="177">
        <f>INDEX('MED TO SING'!$A$6:$J$23,MATCH(MAIN!E211,'MED TO SING'!$A$6:$A$23,0),8)</f>
        <v>0</v>
      </c>
      <c r="H211" s="175">
        <f>INDEX('MED TO SING'!$A$6:$J$23,MATCH(MAIN!E211,'MED TO SING'!$A$6:$A$23,0),10)</f>
        <v>0</v>
      </c>
      <c r="I211" s="178" t="s">
        <v>56</v>
      </c>
      <c r="J211" s="174">
        <f>INDEX('MED TO SING'!$L$6:$U$23,MATCH(MAIN!I211,'MED TO SING'!$L$6:$L$23,0),6)</f>
        <v>0</v>
      </c>
      <c r="K211" s="177">
        <f>INDEX('MED TO SING'!$L$6:$U$23,MATCH(MAIN!I211,'MED TO SING'!$L$6:$L$23,0),8)</f>
        <v>0</v>
      </c>
      <c r="L211" s="175">
        <f>INDEX('MED TO SING'!$L$6:$U$23,MATCH(MAIN!I211,'MED TO SING'!$L$6:$L$23,0),10)</f>
        <v>0</v>
      </c>
      <c r="M211" s="154"/>
    </row>
    <row r="212" spans="1:13" hidden="1" outlineLevel="1" x14ac:dyDescent="0.25">
      <c r="A212" s="154"/>
      <c r="B212" s="154" t="s">
        <v>57</v>
      </c>
      <c r="C212" s="449"/>
      <c r="D212" s="450"/>
      <c r="E212" t="s">
        <v>57</v>
      </c>
      <c r="F212" s="174">
        <f>INDEX('MED TO SING'!$A$6:$J$23,MATCH(MAIN!E212,'MED TO SING'!$A$6:$A$23,0),6)</f>
        <v>2.6833333333333331</v>
      </c>
      <c r="G212" s="177">
        <f>INDEX('MED TO SING'!$A$6:$J$23,MATCH(MAIN!E212,'MED TO SING'!$A$6:$A$23,0),8)</f>
        <v>2.6833333333333331</v>
      </c>
      <c r="H212" s="175">
        <f>INDEX('MED TO SING'!$A$6:$J$23,MATCH(MAIN!E212,'MED TO SING'!$A$6:$A$23,0),10)</f>
        <v>2.6833333333333331</v>
      </c>
      <c r="I212" s="178" t="s">
        <v>57</v>
      </c>
      <c r="J212" s="174">
        <f>INDEX('MED TO SING'!$L$6:$U$23,MATCH(MAIN!I212,'MED TO SING'!$L$6:$L$23,0),6)</f>
        <v>2.125</v>
      </c>
      <c r="K212" s="177">
        <f>INDEX('MED TO SING'!$L$6:$U$23,MATCH(MAIN!I212,'MED TO SING'!$L$6:$L$23,0),8)</f>
        <v>2.125</v>
      </c>
      <c r="L212" s="175">
        <f>INDEX('MED TO SING'!$L$6:$U$23,MATCH(MAIN!I212,'MED TO SING'!$L$6:$L$23,0),10)</f>
        <v>2.125</v>
      </c>
      <c r="M212" s="154"/>
    </row>
    <row r="213" spans="1:13" hidden="1" outlineLevel="1" x14ac:dyDescent="0.25">
      <c r="A213" s="154"/>
      <c r="B213" s="154" t="s">
        <v>58</v>
      </c>
      <c r="C213" s="449"/>
      <c r="D213" s="450"/>
      <c r="E213" t="s">
        <v>58</v>
      </c>
      <c r="F213" s="174">
        <f>INDEX('MED TO SING'!$A$6:$J$23,MATCH(MAIN!E213,'MED TO SING'!$A$6:$A$23,0),6)</f>
        <v>0.1</v>
      </c>
      <c r="G213" s="177">
        <f>INDEX('MED TO SING'!$A$6:$J$23,MATCH(MAIN!E213,'MED TO SING'!$A$6:$A$23,0),8)</f>
        <v>0.1</v>
      </c>
      <c r="H213" s="175">
        <f>INDEX('MED TO SING'!$A$6:$J$23,MATCH(MAIN!E213,'MED TO SING'!$A$6:$A$23,0),10)</f>
        <v>0.1</v>
      </c>
      <c r="I213" s="178" t="s">
        <v>58</v>
      </c>
      <c r="J213" s="174">
        <f>INDEX('MED TO SING'!$L$6:$U$23,MATCH(MAIN!I213,'MED TO SING'!$L$6:$L$23,0),6)</f>
        <v>8.5000000000000006E-2</v>
      </c>
      <c r="K213" s="177">
        <f>INDEX('MED TO SING'!$L$6:$U$23,MATCH(MAIN!I213,'MED TO SING'!$L$6:$L$23,0),8)</f>
        <v>8.5000000000000006E-2</v>
      </c>
      <c r="L213" s="175">
        <f>INDEX('MED TO SING'!$L$6:$U$23,MATCH(MAIN!I213,'MED TO SING'!$L$6:$L$23,0),10)</f>
        <v>8.5000000000000006E-2</v>
      </c>
      <c r="M213" s="154"/>
    </row>
    <row r="214" spans="1:13" hidden="1" outlineLevel="1" x14ac:dyDescent="0.25">
      <c r="A214" s="154"/>
      <c r="B214" s="154" t="s">
        <v>127</v>
      </c>
      <c r="C214" s="449"/>
      <c r="D214" s="450"/>
      <c r="E214" t="s">
        <v>127</v>
      </c>
      <c r="F214" s="174">
        <f>INDEX('MED TO SING'!$A$6:$J$23,MATCH(MAIN!E214,'MED TO SING'!$A$6:$A$23,0),6)</f>
        <v>0.16666666666666666</v>
      </c>
      <c r="G214" s="177">
        <f>INDEX('MED TO SING'!$A$6:$J$23,MATCH(MAIN!E214,'MED TO SING'!$A$6:$A$23,0),8)</f>
        <v>0.16666666666666666</v>
      </c>
      <c r="H214" s="175">
        <f>INDEX('MED TO SING'!$A$6:$J$23,MATCH(MAIN!E214,'MED TO SING'!$A$6:$A$23,0),10)</f>
        <v>0.16666666666666666</v>
      </c>
      <c r="I214" s="178" t="s">
        <v>127</v>
      </c>
      <c r="J214" s="174">
        <f>INDEX('MED TO SING'!$L$6:$U$23,MATCH(MAIN!I214,'MED TO SING'!$L$6:$L$23,0),6)</f>
        <v>0.25</v>
      </c>
      <c r="K214" s="177">
        <f>INDEX('MED TO SING'!$L$6:$U$23,MATCH(MAIN!I214,'MED TO SING'!$L$6:$L$23,0),8)</f>
        <v>0.25</v>
      </c>
      <c r="L214" s="175">
        <f>INDEX('MED TO SING'!$L$6:$U$23,MATCH(MAIN!I214,'MED TO SING'!$L$6:$L$23,0),10)</f>
        <v>0.25</v>
      </c>
    </row>
    <row r="215" spans="1:13" hidden="1" outlineLevel="1" x14ac:dyDescent="0.25">
      <c r="A215" s="154"/>
      <c r="B215" s="154" t="s">
        <v>128</v>
      </c>
      <c r="C215" s="449"/>
      <c r="D215" s="450"/>
      <c r="E215" t="s">
        <v>128</v>
      </c>
      <c r="F215" s="174">
        <f>INDEX('MED TO SING'!$A$6:$J$23,MATCH(MAIN!E215,'MED TO SING'!$A$6:$A$23,0),6)</f>
        <v>0.16666666666666666</v>
      </c>
      <c r="G215" s="177">
        <f>INDEX('MED TO SING'!$A$6:$J$23,MATCH(MAIN!E215,'MED TO SING'!$A$6:$A$23,0),8)</f>
        <v>0.16666666666666666</v>
      </c>
      <c r="H215" s="175">
        <f>INDEX('MED TO SING'!$A$6:$J$23,MATCH(MAIN!E215,'MED TO SING'!$A$6:$A$23,0),10)</f>
        <v>0.16666666666666666</v>
      </c>
      <c r="I215" s="178" t="s">
        <v>128</v>
      </c>
      <c r="J215" s="174">
        <f>INDEX('MED TO SING'!$L$6:$U$23,MATCH(MAIN!I215,'MED TO SING'!$L$6:$L$23,0),6)</f>
        <v>0.25</v>
      </c>
      <c r="K215" s="177">
        <f>INDEX('MED TO SING'!$L$6:$U$23,MATCH(MAIN!I215,'MED TO SING'!$L$6:$L$23,0),8)</f>
        <v>0.25</v>
      </c>
      <c r="L215" s="175">
        <f>INDEX('MED TO SING'!$L$6:$U$23,MATCH(MAIN!I215,'MED TO SING'!$L$6:$L$23,0),10)</f>
        <v>0.25</v>
      </c>
    </row>
    <row r="216" spans="1:13" hidden="1" outlineLevel="1" x14ac:dyDescent="0.25">
      <c r="A216" s="154"/>
      <c r="B216" s="154" t="s">
        <v>83</v>
      </c>
      <c r="C216" s="449"/>
      <c r="D216" s="450"/>
      <c r="E216" t="s">
        <v>83</v>
      </c>
      <c r="F216" s="174">
        <f ca="1">INDEX('MED TO SING'!$A$6:$J$23,MATCH(MAIN!E216,'MED TO SING'!$A$6:$A$23,0),6)</f>
        <v>4.0907787328767116</v>
      </c>
      <c r="G216" s="177">
        <f ca="1">INDEX('MED TO SING'!$A$6:$J$23,MATCH(MAIN!E216,'MED TO SING'!$A$6:$A$23,0),8)</f>
        <v>4.0907787328767116</v>
      </c>
      <c r="H216" s="175">
        <f ca="1">INDEX('MED TO SING'!$A$6:$J$23,MATCH(MAIN!E216,'MED TO SING'!$A$6:$A$23,0),10)</f>
        <v>4.0500938013698624</v>
      </c>
      <c r="I216" s="178" t="s">
        <v>83</v>
      </c>
      <c r="J216" s="174">
        <f ca="1">INDEX('MED TO SING'!$L$6:$U$23,MATCH(MAIN!I216,'MED TO SING'!$L$6:$L$23,0),6)</f>
        <v>4.0907787328767116</v>
      </c>
      <c r="K216" s="177">
        <f ca="1">INDEX('MED TO SING'!$L$6:$U$23,MATCH(MAIN!I216,'MED TO SING'!$L$6:$L$23,0),8)</f>
        <v>4.0907787328767116</v>
      </c>
      <c r="L216" s="175">
        <f ca="1">INDEX('MED TO SING'!$L$6:$U$23,MATCH(MAIN!I216,'MED TO SING'!$L$6:$L$23,0),10)</f>
        <v>4.0500938013698624</v>
      </c>
    </row>
    <row r="217" spans="1:13" hidden="1" outlineLevel="1" x14ac:dyDescent="0.25">
      <c r="A217" s="154"/>
      <c r="B217" s="154" t="s">
        <v>59</v>
      </c>
      <c r="C217" s="449"/>
      <c r="D217" s="450"/>
      <c r="E217" t="s">
        <v>59</v>
      </c>
      <c r="F217" s="174">
        <f>INDEX('MED TO SING'!$A$6:$J$23,MATCH(MAIN!E217,'MED TO SING'!$A$6:$A$23,0),6)</f>
        <v>0</v>
      </c>
      <c r="G217" s="177">
        <f>INDEX('MED TO SING'!$A$6:$J$23,MATCH(MAIN!E217,'MED TO SING'!$A$6:$A$23,0),8)</f>
        <v>0</v>
      </c>
      <c r="H217" s="175">
        <f>INDEX('MED TO SING'!$A$6:$J$23,MATCH(MAIN!E217,'MED TO SING'!$A$6:$A$23,0),10)</f>
        <v>0</v>
      </c>
      <c r="I217" s="178" t="s">
        <v>59</v>
      </c>
      <c r="J217" s="174">
        <f>INDEX('MED TO SING'!$L$6:$U$23,MATCH(MAIN!I217,'MED TO SING'!$L$6:$L$23,0),6)</f>
        <v>0</v>
      </c>
      <c r="K217" s="177">
        <f>INDEX('MED TO SING'!$L$6:$U$23,MATCH(MAIN!I217,'MED TO SING'!$L$6:$L$23,0),8)</f>
        <v>0</v>
      </c>
      <c r="L217" s="175">
        <f>INDEX('MED TO SING'!$L$6:$U$23,MATCH(MAIN!I217,'MED TO SING'!$L$6:$L$23,0),10)</f>
        <v>0</v>
      </c>
    </row>
    <row r="218" spans="1:13" hidden="1" outlineLevel="1" x14ac:dyDescent="0.25">
      <c r="A218" s="154"/>
      <c r="B218" s="154" t="s">
        <v>60</v>
      </c>
      <c r="C218" s="449"/>
      <c r="D218" s="450"/>
      <c r="E218" t="s">
        <v>60</v>
      </c>
      <c r="F218" s="174">
        <f ca="1">INDEX('MED TO SING'!$A$6:$J$23,MATCH(MAIN!E218,'MED TO SING'!$A$6:$A$23,0),6)</f>
        <v>0.33934869034090903</v>
      </c>
      <c r="G218" s="177">
        <f ca="1">INDEX('MED TO SING'!$A$6:$J$23,MATCH(MAIN!E218,'MED TO SING'!$A$6:$A$23,0),8)</f>
        <v>0.33934869034090903</v>
      </c>
      <c r="H218" s="175">
        <f ca="1">INDEX('MED TO SING'!$A$6:$J$23,MATCH(MAIN!E218,'MED TO SING'!$A$6:$A$23,0),10)</f>
        <v>0.33597369034090907</v>
      </c>
      <c r="I218" s="178" t="s">
        <v>60</v>
      </c>
      <c r="J218" s="174">
        <f ca="1">INDEX('MED TO SING'!$L$6:$U$23,MATCH(MAIN!I218,'MED TO SING'!$L$6:$L$23,0),6)</f>
        <v>0.33934869034090903</v>
      </c>
      <c r="K218" s="177">
        <f ca="1">INDEX('MED TO SING'!$L$6:$U$23,MATCH(MAIN!I218,'MED TO SING'!$L$6:$L$23,0),8)</f>
        <v>0.33934869034090903</v>
      </c>
      <c r="L218" s="175">
        <f ca="1">INDEX('MED TO SING'!$L$6:$U$23,MATCH(MAIN!I218,'MED TO SING'!$L$6:$L$23,0),10)</f>
        <v>0.33597369034090907</v>
      </c>
    </row>
    <row r="219" spans="1:13" hidden="1" outlineLevel="1" x14ac:dyDescent="0.25">
      <c r="A219" s="154"/>
      <c r="B219" s="154" t="s">
        <v>61</v>
      </c>
      <c r="C219" s="449"/>
      <c r="D219" s="450"/>
      <c r="E219" t="s">
        <v>61</v>
      </c>
      <c r="F219" s="174">
        <f ca="1">INDEX('MED TO SING'!$A$6:$J$23,MATCH(MAIN!E219,'MED TO SING'!$A$6:$A$23,0),6)</f>
        <v>1.1812500000000001</v>
      </c>
      <c r="G219" s="177">
        <f ca="1">INDEX('MED TO SING'!$A$6:$J$23,MATCH(MAIN!E219,'MED TO SING'!$A$6:$A$23,0),8)</f>
        <v>1.1797500000000001</v>
      </c>
      <c r="H219" s="175">
        <f ca="1">INDEX('MED TO SING'!$A$6:$J$23,MATCH(MAIN!E219,'MED TO SING'!$A$6:$A$23,0),10)</f>
        <v>1.1797500000000001</v>
      </c>
      <c r="I219" s="178" t="s">
        <v>61</v>
      </c>
      <c r="J219" s="174">
        <f ca="1">INDEX('MED TO SING'!$L$6:$U$23,MATCH(MAIN!I219,'MED TO SING'!$L$6:$L$23,0),6)</f>
        <v>1.1812500000000001</v>
      </c>
      <c r="K219" s="177">
        <f ca="1">INDEX('MED TO SING'!$L$6:$U$23,MATCH(MAIN!I219,'MED TO SING'!$L$6:$L$23,0),8)</f>
        <v>1.1797500000000001</v>
      </c>
      <c r="L219" s="175">
        <f ca="1">INDEX('MED TO SING'!$L$6:$U$23,MATCH(MAIN!I219,'MED TO SING'!$L$6:$L$23,0),10)</f>
        <v>1.1797500000000001</v>
      </c>
    </row>
    <row r="220" spans="1:13" hidden="1" outlineLevel="1" x14ac:dyDescent="0.25">
      <c r="A220" s="154"/>
      <c r="B220" s="154" t="s">
        <v>62</v>
      </c>
      <c r="C220" s="449"/>
      <c r="D220" s="450"/>
      <c r="E220" t="s">
        <v>62</v>
      </c>
      <c r="F220" s="174">
        <f>INDEX('MED TO SING'!$A$6:$J$23,MATCH(MAIN!E220,'MED TO SING'!$A$6:$A$23,0),6)</f>
        <v>8.3333333333333329E-2</v>
      </c>
      <c r="G220" s="177">
        <f>INDEX('MED TO SING'!$A$6:$J$23,MATCH(MAIN!E220,'MED TO SING'!$A$6:$A$23,0),8)</f>
        <v>8.3333333333333329E-2</v>
      </c>
      <c r="H220" s="175">
        <f>INDEX('MED TO SING'!$A$6:$J$23,MATCH(MAIN!E220,'MED TO SING'!$A$6:$A$23,0),10)</f>
        <v>8.3333333333333329E-2</v>
      </c>
      <c r="I220" s="178" t="s">
        <v>62</v>
      </c>
      <c r="J220" s="174">
        <f>INDEX('MED TO SING'!$L$6:$U$23,MATCH(MAIN!I220,'MED TO SING'!$L$6:$L$23,0),6)</f>
        <v>0.125</v>
      </c>
      <c r="K220" s="177">
        <f>INDEX('MED TO SING'!$L$6:$U$23,MATCH(MAIN!I220,'MED TO SING'!$L$6:$L$23,0),8)</f>
        <v>0.125</v>
      </c>
      <c r="L220" s="175">
        <f>INDEX('MED TO SING'!$L$6:$U$23,MATCH(MAIN!I220,'MED TO SING'!$L$6:$L$23,0),10)</f>
        <v>0.125</v>
      </c>
    </row>
    <row r="221" spans="1:13" hidden="1" outlineLevel="1" x14ac:dyDescent="0.25">
      <c r="A221" s="154"/>
      <c r="B221" s="154" t="s">
        <v>63</v>
      </c>
      <c r="C221" s="449"/>
      <c r="D221" s="450"/>
      <c r="E221" t="s">
        <v>63</v>
      </c>
      <c r="F221" s="174">
        <f>INDEX('MED TO SING'!$A$6:$J$23,MATCH(MAIN!E221,'MED TO SING'!$A$6:$A$23,0),6)</f>
        <v>8.3333333333333332E-3</v>
      </c>
      <c r="G221" s="177">
        <f>INDEX('MED TO SING'!$A$6:$J$23,MATCH(MAIN!E221,'MED TO SING'!$A$6:$A$23,0),8)</f>
        <v>8.3333333333333332E-3</v>
      </c>
      <c r="H221" s="175">
        <f>INDEX('MED TO SING'!$A$6:$J$23,MATCH(MAIN!E221,'MED TO SING'!$A$6:$A$23,0),10)</f>
        <v>8.3333333333333332E-3</v>
      </c>
      <c r="I221" s="178" t="s">
        <v>63</v>
      </c>
      <c r="J221" s="174">
        <f>INDEX('MED TO SING'!$L$6:$U$23,MATCH(MAIN!I221,'MED TO SING'!$L$6:$L$23,0),6)</f>
        <v>1.2500000000000001E-2</v>
      </c>
      <c r="K221" s="177">
        <f>INDEX('MED TO SING'!$L$6:$U$23,MATCH(MAIN!I221,'MED TO SING'!$L$6:$L$23,0),8)</f>
        <v>1.2500000000000001E-2</v>
      </c>
      <c r="L221" s="175">
        <f>INDEX('MED TO SING'!$L$6:$U$23,MATCH(MAIN!I221,'MED TO SING'!$L$6:$L$23,0),10)</f>
        <v>1.2500000000000001E-2</v>
      </c>
    </row>
    <row r="222" spans="1:13" hidden="1" outlineLevel="1" x14ac:dyDescent="0.25">
      <c r="A222" s="154"/>
      <c r="B222" s="154" t="s">
        <v>64</v>
      </c>
      <c r="C222" s="449"/>
      <c r="D222" s="450"/>
      <c r="E222" t="s">
        <v>64</v>
      </c>
      <c r="F222" s="174">
        <f>INDEX('MED TO SING'!$A$6:$J$23,MATCH(MAIN!E222,'MED TO SING'!$A$6:$A$23,0),6)</f>
        <v>8.3333333333333332E-3</v>
      </c>
      <c r="G222" s="177">
        <f>INDEX('MED TO SING'!$A$6:$J$23,MATCH(MAIN!E222,'MED TO SING'!$A$6:$A$23,0),8)</f>
        <v>8.3333333333333332E-3</v>
      </c>
      <c r="H222" s="175">
        <f>INDEX('MED TO SING'!$A$6:$J$23,MATCH(MAIN!E222,'MED TO SING'!$A$6:$A$23,0),10)</f>
        <v>8.3333333333333332E-3</v>
      </c>
      <c r="I222" s="178" t="s">
        <v>64</v>
      </c>
      <c r="J222" s="174">
        <f>INDEX('MED TO SING'!$L$6:$U$23,MATCH(MAIN!I222,'MED TO SING'!$L$6:$L$23,0),6)</f>
        <v>1.2500000000000001E-2</v>
      </c>
      <c r="K222" s="177">
        <f>INDEX('MED TO SING'!$L$6:$U$23,MATCH(MAIN!I222,'MED TO SING'!$L$6:$L$23,0),8)</f>
        <v>1.2500000000000001E-2</v>
      </c>
      <c r="L222" s="175">
        <f>INDEX('MED TO SING'!$L$6:$U$23,MATCH(MAIN!I222,'MED TO SING'!$L$6:$L$23,0),10)</f>
        <v>1.2500000000000001E-2</v>
      </c>
    </row>
    <row r="223" spans="1:13" hidden="1" outlineLevel="1" x14ac:dyDescent="0.25">
      <c r="A223" s="154"/>
      <c r="B223" s="154" t="s">
        <v>65</v>
      </c>
      <c r="C223" s="449"/>
      <c r="D223" s="450"/>
      <c r="E223" t="s">
        <v>65</v>
      </c>
      <c r="F223" s="174">
        <f>INDEX('MED TO SING'!$A$6:$J$23,MATCH(MAIN!E223,'MED TO SING'!$A$6:$A$23,0),6)</f>
        <v>0.1</v>
      </c>
      <c r="G223" s="177">
        <f>INDEX('MED TO SING'!$A$6:$J$23,MATCH(MAIN!E223,'MED TO SING'!$A$6:$A$23,0),8)</f>
        <v>0.1</v>
      </c>
      <c r="H223" s="175">
        <f>INDEX('MED TO SING'!$A$6:$J$23,MATCH(MAIN!E223,'MED TO SING'!$A$6:$A$23,0),10)</f>
        <v>0.1</v>
      </c>
      <c r="I223" s="178" t="s">
        <v>65</v>
      </c>
      <c r="J223" s="174">
        <f>INDEX('MED TO SING'!$L$6:$U$23,MATCH(MAIN!I223,'MED TO SING'!$L$6:$L$23,0),6)</f>
        <v>0.15</v>
      </c>
      <c r="K223" s="177">
        <f>INDEX('MED TO SING'!$L$6:$U$23,MATCH(MAIN!I223,'MED TO SING'!$L$6:$L$23,0),8)</f>
        <v>0.15</v>
      </c>
      <c r="L223" s="175">
        <f>INDEX('MED TO SING'!$L$6:$U$23,MATCH(MAIN!I223,'MED TO SING'!$L$6:$L$23,0),10)</f>
        <v>0.15</v>
      </c>
    </row>
    <row r="224" spans="1:13" hidden="1" outlineLevel="1" x14ac:dyDescent="0.25">
      <c r="A224" s="154"/>
      <c r="B224" s="154" t="s">
        <v>66</v>
      </c>
      <c r="C224" s="449"/>
      <c r="D224" s="450"/>
      <c r="E224" t="s">
        <v>66</v>
      </c>
      <c r="F224" s="174">
        <f>INDEX('MED TO SING'!$A$6:$J$23,MATCH(MAIN!E224,'MED TO SING'!$A$6:$A$23,0),6)</f>
        <v>6.6666666666666666E-2</v>
      </c>
      <c r="G224" s="177">
        <f>INDEX('MED TO SING'!$A$6:$J$23,MATCH(MAIN!E224,'MED TO SING'!$A$6:$A$23,0),8)</f>
        <v>6.6666666666666666E-2</v>
      </c>
      <c r="H224" s="175">
        <f>INDEX('MED TO SING'!$A$6:$J$23,MATCH(MAIN!E224,'MED TO SING'!$A$6:$A$23,0),10)</f>
        <v>6.6666666666666666E-2</v>
      </c>
      <c r="I224" s="178" t="s">
        <v>66</v>
      </c>
      <c r="J224" s="174">
        <f>INDEX('MED TO SING'!$L$6:$U$23,MATCH(MAIN!I224,'MED TO SING'!$L$6:$L$23,0),6)</f>
        <v>0.1</v>
      </c>
      <c r="K224" s="177">
        <f>INDEX('MED TO SING'!$L$6:$U$23,MATCH(MAIN!I224,'MED TO SING'!$L$6:$L$23,0),8)</f>
        <v>0.1</v>
      </c>
      <c r="L224" s="175">
        <f>INDEX('MED TO SING'!$L$6:$U$23,MATCH(MAIN!I224,'MED TO SING'!$L$6:$L$23,0),10)</f>
        <v>0.1</v>
      </c>
    </row>
    <row r="225" spans="1:13" hidden="1" outlineLevel="1" x14ac:dyDescent="0.25">
      <c r="A225" s="154"/>
      <c r="B225" s="154" t="s">
        <v>102</v>
      </c>
      <c r="C225" s="449"/>
      <c r="D225" s="450"/>
      <c r="E225" t="s">
        <v>102</v>
      </c>
      <c r="F225" s="174">
        <f ca="1">INDEX('MED TO SING'!$A$6:$J$23,MATCH(MAIN!E225,'MED TO SING'!$A$6:$A$23,0),6)</f>
        <v>40.994710756550951</v>
      </c>
      <c r="G225" s="177">
        <f ca="1">INDEX('MED TO SING'!$A$6:$J$23,MATCH(MAIN!E225,'MED TO SING'!$A$6:$A$23,0),8)</f>
        <v>40.993210756550951</v>
      </c>
      <c r="H225" s="175">
        <f ca="1">INDEX('MED TO SING'!$A$6:$J$23,MATCH(MAIN!E225,'MED TO SING'!$A$6:$A$23,0),10)</f>
        <v>40.9491508250441</v>
      </c>
      <c r="I225" s="178" t="s">
        <v>102</v>
      </c>
      <c r="J225" s="174">
        <f ca="1">INDEX('MED TO SING'!$L$6:$U$23,MATCH(MAIN!I225,'MED TO SING'!$L$6:$L$23,0),6)</f>
        <v>51.721377423217625</v>
      </c>
      <c r="K225" s="177">
        <f ca="1">INDEX('MED TO SING'!$L$6:$U$23,MATCH(MAIN!I225,'MED TO SING'!$L$6:$L$23,0),8)</f>
        <v>51.719877423217625</v>
      </c>
      <c r="L225" s="175">
        <f ca="1">INDEX('MED TO SING'!$L$6:$U$23,MATCH(MAIN!I225,'MED TO SING'!$L$6:$L$23,0),10)</f>
        <v>51.675817491710774</v>
      </c>
    </row>
    <row r="226" spans="1:13" hidden="1" outlineLevel="1" x14ac:dyDescent="0.25">
      <c r="A226" s="154"/>
      <c r="B226" s="154" t="s">
        <v>103</v>
      </c>
      <c r="C226" s="449"/>
      <c r="D226" s="450"/>
      <c r="E226" t="s">
        <v>103</v>
      </c>
      <c r="F226" s="174">
        <f ca="1">INDEX('MED TO SING'!$A$6:$J$23,MATCH(MAIN!E226,'MED TO SING'!$A$6:$A$23,0),6)</f>
        <v>28.662500000000023</v>
      </c>
      <c r="G226" s="177">
        <f ca="1">INDEX('MED TO SING'!$A$6:$J$23,MATCH(MAIN!E226,'MED TO SING'!$A$6:$A$23,0),8)</f>
        <v>29.162500000000023</v>
      </c>
      <c r="H226" s="175">
        <f ca="1">INDEX('MED TO SING'!$A$6:$J$23,MATCH(MAIN!E226,'MED TO SING'!$A$6:$A$23,0),10)</f>
        <v>30.412500000000023</v>
      </c>
      <c r="I226" s="178" t="s">
        <v>103</v>
      </c>
      <c r="J226" s="174">
        <f ca="1">INDEX('MED TO SING'!$L$6:$U$23,MATCH(MAIN!I226,'MED TO SING'!$L$6:$L$23,0),6)</f>
        <v>28.662500000000023</v>
      </c>
      <c r="K226" s="177">
        <f ca="1">INDEX('MED TO SING'!$L$6:$U$23,MATCH(MAIN!I226,'MED TO SING'!$L$6:$L$23,0),8)</f>
        <v>29.162500000000023</v>
      </c>
      <c r="L226" s="175">
        <f ca="1">INDEX('MED TO SING'!$L$6:$U$23,MATCH(MAIN!I226,'MED TO SING'!$L$6:$L$23,0),10)</f>
        <v>30.412500000000023</v>
      </c>
    </row>
    <row r="227" spans="1:13" hidden="1" outlineLevel="1" x14ac:dyDescent="0.25">
      <c r="A227" s="154"/>
      <c r="B227" s="154" t="s">
        <v>115</v>
      </c>
      <c r="C227" s="449"/>
      <c r="D227" s="450"/>
      <c r="E227" t="s">
        <v>115</v>
      </c>
      <c r="F227" s="174">
        <f ca="1">INDEX('MED TO SING'!$A$6:$J$23,MATCH(MAIN!E227,'MED TO SING'!$A$6:$A$23,0),6)</f>
        <v>-12.332210756550928</v>
      </c>
      <c r="G227" s="177">
        <f ca="1">INDEX('MED TO SING'!$A$6:$J$23,MATCH(MAIN!E227,'MED TO SING'!$A$6:$A$23,0),8)</f>
        <v>-11.830710756550928</v>
      </c>
      <c r="H227" s="175">
        <f ca="1">INDEX('MED TO SING'!$A$6:$J$23,MATCH(MAIN!E227,'MED TO SING'!$A$6:$A$23,0),10)</f>
        <v>-10.536650825044077</v>
      </c>
      <c r="I227" s="178" t="s">
        <v>115</v>
      </c>
      <c r="J227" s="174">
        <f ca="1">INDEX('MED TO SING'!$L$6:$U$23,MATCH(MAIN!I227,'MED TO SING'!$L$6:$L$23,0),6)</f>
        <v>-23.058877423217602</v>
      </c>
      <c r="K227" s="177">
        <f ca="1">INDEX('MED TO SING'!$L$6:$U$23,MATCH(MAIN!I227,'MED TO SING'!$L$6:$L$23,0),8)</f>
        <v>-22.557377423217602</v>
      </c>
      <c r="L227" s="175">
        <f ca="1">INDEX('MED TO SING'!$L$6:$U$23,MATCH(MAIN!I227,'MED TO SING'!$L$6:$L$23,0),10)</f>
        <v>-21.263317491710751</v>
      </c>
    </row>
    <row r="228" spans="1:13" hidden="1" outlineLevel="1" x14ac:dyDescent="0.25">
      <c r="A228" s="154"/>
      <c r="B228" s="154" t="s">
        <v>129</v>
      </c>
      <c r="C228" s="449"/>
      <c r="D228" s="450"/>
      <c r="E228" t="s">
        <v>129</v>
      </c>
      <c r="F228" s="146">
        <f ca="1">F173</f>
        <v>45903</v>
      </c>
      <c r="G228" s="146">
        <f t="shared" ref="G228:L228" ca="1" si="7">G173</f>
        <v>45917</v>
      </c>
      <c r="H228" s="146">
        <f t="shared" ca="1" si="7"/>
        <v>45931</v>
      </c>
      <c r="I228" s="146" t="str">
        <f t="shared" si="7"/>
        <v>Loading Month</v>
      </c>
      <c r="J228" s="146">
        <f t="shared" ca="1" si="7"/>
        <v>45903</v>
      </c>
      <c r="K228" s="146">
        <f t="shared" ca="1" si="7"/>
        <v>45917</v>
      </c>
      <c r="L228" s="146">
        <f t="shared" ca="1" si="7"/>
        <v>45931</v>
      </c>
    </row>
    <row r="229" spans="1:13" collapsed="1" x14ac:dyDescent="0.25">
      <c r="F229" s="154"/>
      <c r="G229" s="154"/>
      <c r="H229" s="154"/>
      <c r="I229" s="154"/>
      <c r="J229" s="154"/>
      <c r="K229" s="154"/>
      <c r="L229" s="154"/>
      <c r="M229" s="154"/>
    </row>
    <row r="230" spans="1:13" x14ac:dyDescent="0.25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</row>
    <row r="231" spans="1:13" ht="15.75" thickBot="1" x14ac:dyDescent="0.3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</row>
    <row r="232" spans="1:13" ht="15.75" thickBot="1" x14ac:dyDescent="0.3">
      <c r="A232" s="456" t="s">
        <v>214</v>
      </c>
      <c r="B232" s="154"/>
      <c r="C232" s="451"/>
      <c r="D232" s="452"/>
      <c r="E232" s="156"/>
      <c r="F232" s="453" t="s">
        <v>132</v>
      </c>
      <c r="G232" s="454"/>
      <c r="H232" s="455"/>
      <c r="I232" s="156"/>
      <c r="J232" s="453" t="s">
        <v>133</v>
      </c>
      <c r="K232" s="454"/>
      <c r="L232" s="455"/>
      <c r="M232" s="154"/>
    </row>
    <row r="233" spans="1:13" ht="15.75" thickBot="1" x14ac:dyDescent="0.3">
      <c r="A233" s="456"/>
      <c r="B233" s="198" t="s">
        <v>187</v>
      </c>
      <c r="C233" s="369"/>
      <c r="D233" s="370"/>
      <c r="E233" s="156"/>
      <c r="F233" s="367" t="str">
        <f ca="1">IF(DAY(F234)&lt;15,"1H-"&amp;VLOOKUP(MONTH(F234),Mapping!$A$1:$B$12,2,0),"2H-"&amp;VLOOKUP(MONTH(F234),Mapping!$A$1:$B$12,2,0))</f>
        <v>2H-SEP</v>
      </c>
      <c r="G233" s="185" t="str">
        <f ca="1">IF(DAY(G234)&lt;15,"1H-"&amp;VLOOKUP(MONTH(G234),Mapping!$A$1:$B$12,2,0),"2H-"&amp;VLOOKUP(MONTH(G234),Mapping!$A$1:$B$12,2,0))</f>
        <v>1H-OCT</v>
      </c>
      <c r="H233" s="368" t="str">
        <f ca="1">IF(DAY(H234)&lt;15,"1H-"&amp;VLOOKUP(MONTH(H234),Mapping!$A$1:$B$12,2,0),"2H-"&amp;VLOOKUP(MONTH(H234),Mapping!$A$1:$B$12,2,0))</f>
        <v>2H-OCT</v>
      </c>
      <c r="I233" s="199" t="e">
        <f>IF(DAY(I234)&lt;15,"1H-"&amp;VLOOKUP(MONTH(I234),Mapping!$A$1:$B$12,2,0),"2H-"&amp;VLOOKUP(MONTH(I234),Mapping!$A$1:$B$12,2,0))</f>
        <v>#VALUE!</v>
      </c>
      <c r="J233" s="367" t="str">
        <f ca="1">IF(DAY(J234)&lt;15,"1H-"&amp;VLOOKUP(MONTH(J234),Mapping!$A$1:$B$12,2,0),"2H-"&amp;VLOOKUP(MONTH(J234),Mapping!$A$1:$B$12,2,0))</f>
        <v>2H-SEP</v>
      </c>
      <c r="K233" s="185" t="str">
        <f ca="1">IF(DAY(K234)&lt;15,"1H-"&amp;VLOOKUP(MONTH(K234),Mapping!$A$1:$B$12,2,0),"2H-"&amp;VLOOKUP(MONTH(K234),Mapping!$A$1:$B$12,2,0))</f>
        <v>1H-OCT</v>
      </c>
      <c r="L233" s="368" t="str">
        <f ca="1">IF(DAY(L234)&lt;15,"1H-"&amp;VLOOKUP(MONTH(L234),Mapping!$A$1:$B$12,2,0),"2H-"&amp;VLOOKUP(MONTH(L234),Mapping!$A$1:$B$12,2,0))</f>
        <v>2H-OCT</v>
      </c>
      <c r="M233" s="154"/>
    </row>
    <row r="234" spans="1:13" x14ac:dyDescent="0.25">
      <c r="C234" s="447"/>
      <c r="D234" s="448"/>
      <c r="F234" s="157">
        <f ca="1">'Loading Arrival'!G9</f>
        <v>45918</v>
      </c>
      <c r="G234" s="193">
        <f ca="1">'Loading Arrival'!H9</f>
        <v>45932</v>
      </c>
      <c r="H234" s="194">
        <f ca="1">'Loading Arrival'!I9</f>
        <v>45946</v>
      </c>
      <c r="I234" s="163" t="str">
        <f>I185</f>
        <v>Loading PC</v>
      </c>
      <c r="J234" s="193">
        <f ca="1">F234</f>
        <v>45918</v>
      </c>
      <c r="K234" s="193">
        <f ca="1">G234</f>
        <v>45932</v>
      </c>
      <c r="L234" s="193">
        <f ca="1">H234</f>
        <v>45946</v>
      </c>
      <c r="M234" s="154"/>
    </row>
    <row r="235" spans="1:13" x14ac:dyDescent="0.25">
      <c r="A235" s="198" t="s">
        <v>231</v>
      </c>
      <c r="B235" s="167"/>
      <c r="C235" s="449"/>
      <c r="D235" s="450"/>
      <c r="F235" s="158">
        <f ca="1">F255+F236-F237</f>
        <v>-53.505408333333307</v>
      </c>
      <c r="G235" s="158">
        <f ca="1">G255+G236-G237</f>
        <v>-50.848619999999983</v>
      </c>
      <c r="H235" s="160">
        <f ca="1">H255+H236-H237</f>
        <v>-53.507736723744273</v>
      </c>
      <c r="I235" s="164"/>
      <c r="J235" s="159">
        <f ca="1">J255+J236-J237</f>
        <v>-42.515789285714249</v>
      </c>
      <c r="K235" s="159">
        <f ca="1">K255+K236-K237</f>
        <v>-39.340789285714251</v>
      </c>
      <c r="L235" s="160">
        <f ca="1">L255+L236-L237</f>
        <v>-39.340789285714251</v>
      </c>
      <c r="M235" s="154"/>
    </row>
    <row r="236" spans="1:13" x14ac:dyDescent="0.25">
      <c r="A236" s="154"/>
      <c r="B236" s="168" t="s">
        <v>136</v>
      </c>
      <c r="C236" s="449"/>
      <c r="D236" s="450"/>
      <c r="E236" s="176" t="s">
        <v>131</v>
      </c>
      <c r="F236" s="174">
        <f ca="1">INDEX(Premium!$A$2:$D$15,MATCH(MAIN!$A235,Premium!$A$2:$A$15,0),MATCH(EOMONTH(F234,-1)+1,Premium!$A$2:$D$2,0))</f>
        <v>3.8099999999999996</v>
      </c>
      <c r="G236" s="174">
        <f ca="1">INDEX(Premium!$A$2:$D$15,MATCH(MAIN!$A235,Premium!$A$2:$A$15,0),MATCH(EOMONTH(G234,-1)+1,Premium!$A$2:$D$2,0))</f>
        <v>6.9850000000000003</v>
      </c>
      <c r="H236" s="174">
        <f ca="1">INDEX(Premium!$A$2:$D$15,MATCH(MAIN!$A235,Premium!$A$2:$A$15,0),MATCH(EOMONTH(H234,-1)+1,Premium!$A$2:$D$2,0))</f>
        <v>6.9850000000000003</v>
      </c>
      <c r="I236" s="178" t="s">
        <v>131</v>
      </c>
      <c r="J236" s="174">
        <f ca="1">INDEX(Premium!$A$2:$D$15,MATCH(MAIN!$A235,Premium!$A$2:$A$15,0),MATCH(EOMONTH(J234,-1)+1,Premium!$A$2:$D$2,0))</f>
        <v>3.8099999999999996</v>
      </c>
      <c r="K236" s="174">
        <f ca="1">INDEX(Premium!$A$2:$D$15,MATCH(MAIN!$A235,Premium!$A$2:$A$15,0),MATCH(EOMONTH(K234,-1)+1,Premium!$A$2:$D$2,0))</f>
        <v>6.9850000000000003</v>
      </c>
      <c r="L236" s="174">
        <f ca="1">INDEX(Premium!$A$2:$D$15,MATCH(MAIN!$A235,Premium!$A$2:$A$15,0),MATCH(EOMONTH(L234,-1)+1,Premium!$A$2:$D$2,0))</f>
        <v>6.9850000000000003</v>
      </c>
      <c r="M236" s="154"/>
    </row>
    <row r="237" spans="1:13" ht="15.75" thickBot="1" x14ac:dyDescent="0.3">
      <c r="A237" s="154"/>
      <c r="B237" s="169" t="s">
        <v>135</v>
      </c>
      <c r="C237" s="449"/>
      <c r="D237" s="450"/>
      <c r="E237" s="176" t="s">
        <v>130</v>
      </c>
      <c r="F237" s="179">
        <f ca="1">INDEX(Premium!$A$21:$D$31,MATCH(MAIN!$A7,Premium!$A$21:$A$31,0),MATCH(EOMONTH(MAIN!F256,-1)+1,Premium!$A$21:$D$21,0))</f>
        <v>3</v>
      </c>
      <c r="G237" s="179">
        <f ca="1">INDEX(Premium!$A$21:$D$31,MATCH(MAIN!$A7,Premium!$A$21:$A$31,0),MATCH(EOMONTH(MAIN!G256,-1)+1,Premium!$A$21:$D$21,0))</f>
        <v>3</v>
      </c>
      <c r="H237" s="179">
        <f ca="1">INDEX(Premium!$A$21:$D$31,MATCH(MAIN!$A7,Premium!$A$21:$A$31,0),MATCH(EOMONTH(MAIN!H256,-1)+1,Premium!$A$21:$D$21,0))</f>
        <v>3</v>
      </c>
      <c r="I237" s="178" t="s">
        <v>130</v>
      </c>
      <c r="J237" s="179">
        <f ca="1">INDEX(Premium!$A$21:$D$31,MATCH(MAIN!$A7,Premium!$A$21:$A$31,0),MATCH(EOMONTH(MAIN!J256,-1)+1,Premium!$A$21:$D$21,0))</f>
        <v>3</v>
      </c>
      <c r="K237" s="179">
        <f ca="1">INDEX(Premium!$A$21:$D$31,MATCH(MAIN!$A7,Premium!$A$21:$A$31,0),MATCH(EOMONTH(MAIN!K256,-1)+1,Premium!$A$21:$D$21,0))</f>
        <v>3</v>
      </c>
      <c r="L237" s="179">
        <f ca="1">INDEX(Premium!$A$21:$D$31,MATCH(MAIN!$A7,Premium!$A$21:$A$31,0),MATCH(EOMONTH(MAIN!L256,-1)+1,Premium!$A$21:$D$21,0))</f>
        <v>3</v>
      </c>
      <c r="M237" s="154"/>
    </row>
    <row r="238" spans="1:13" hidden="1" outlineLevel="1" x14ac:dyDescent="0.25">
      <c r="A238" s="154"/>
      <c r="B238" s="254" t="s">
        <v>55</v>
      </c>
      <c r="C238" s="449"/>
      <c r="D238" s="450"/>
      <c r="E238" s="6" t="s">
        <v>55</v>
      </c>
      <c r="F238" s="233">
        <f>INDEX('ROTT TO USGC'!$A$6:$J$23,MATCH(MAIN!E238,'ROTT TO USGC'!$A$6:$A$23,0),5)</f>
        <v>28.391999999999999</v>
      </c>
      <c r="G238" s="240">
        <f>INDEX('ROTT TO USGC'!$A$6:$J$23,MATCH(MAIN!E238,'ROTT TO USGC'!$A$6:$A$23,0),7)</f>
        <v>28.391999999999999</v>
      </c>
      <c r="H238" s="241">
        <f>INDEX('ROTT TO USGC'!$A$6:$J$23,MATCH(MAIN!E238,'ROTT TO USGC'!$A$6:$A$23,0),9)</f>
        <v>28.391999999999999</v>
      </c>
      <c r="I238" s="250" t="s">
        <v>55</v>
      </c>
      <c r="J238" s="233">
        <f>INDEX('ROTT TO USGC'!$L$6:$U$23,MATCH(MAIN!$I238,'ROTT TO USGC'!$L$6:$L$23,0),5)</f>
        <v>17.828571428571429</v>
      </c>
      <c r="K238" s="240">
        <f>INDEX('ROTT TO USGC'!$L$6:$U$23,MATCH(MAIN!$I238,'ROTT TO USGC'!$L$6:$L$23,0),5)</f>
        <v>17.828571428571429</v>
      </c>
      <c r="L238" s="241">
        <f>INDEX('ROTT TO USGC'!$L$6:$U$23,MATCH(MAIN!$I238,'ROTT TO USGC'!$L$6:$L$23,0),5)</f>
        <v>17.828571428571429</v>
      </c>
      <c r="M238" s="154"/>
    </row>
    <row r="239" spans="1:13" hidden="1" outlineLevel="1" x14ac:dyDescent="0.25">
      <c r="A239" s="154"/>
      <c r="B239" s="255" t="s">
        <v>56</v>
      </c>
      <c r="C239" s="449"/>
      <c r="D239" s="450"/>
      <c r="E239" t="s">
        <v>56</v>
      </c>
      <c r="F239" s="174">
        <f>INDEX('ROTT TO USGC'!$A$6:$J$23,MATCH(MAIN!E239,'ROTT TO USGC'!$A$6:$A$23,0),5)</f>
        <v>0</v>
      </c>
      <c r="G239" s="177">
        <f>INDEX('ROTT TO USGC'!$A$6:$J$23,MATCH(MAIN!E239,'ROTT TO USGC'!$A$6:$A$23,0),7)</f>
        <v>0</v>
      </c>
      <c r="H239" s="175">
        <f>INDEX('ROTT TO USGC'!$A$6:$J$23,MATCH(MAIN!E239,'ROTT TO USGC'!$A$6:$A$23,0),9)</f>
        <v>0</v>
      </c>
      <c r="I239" s="178" t="s">
        <v>56</v>
      </c>
      <c r="J239" s="174">
        <f>INDEX('ROTT TO USGC'!$L$6:$U$23,MATCH(MAIN!$I239,'ROTT TO USGC'!$L$6:$L$23,0),5)</f>
        <v>0</v>
      </c>
      <c r="K239" s="177">
        <f>INDEX('ROTT TO USGC'!$L$6:$U$23,MATCH(MAIN!$I239,'ROTT TO USGC'!$L$6:$L$23,0),5)</f>
        <v>0</v>
      </c>
      <c r="L239" s="175">
        <f>INDEX('ROTT TO USGC'!$L$6:$U$23,MATCH(MAIN!$I239,'ROTT TO USGC'!$L$6:$L$23,0),5)</f>
        <v>0</v>
      </c>
      <c r="M239" s="154"/>
    </row>
    <row r="240" spans="1:13" hidden="1" outlineLevel="1" x14ac:dyDescent="0.25">
      <c r="A240" s="154"/>
      <c r="B240" s="255" t="s">
        <v>57</v>
      </c>
      <c r="C240" s="449"/>
      <c r="D240" s="450"/>
      <c r="E240" t="s">
        <v>57</v>
      </c>
      <c r="F240" s="174">
        <f>INDEX('ROTT TO USGC'!$A$6:$J$23,MATCH(MAIN!E240,'ROTT TO USGC'!$A$6:$A$23,0),5)</f>
        <v>3.8333333333333335</v>
      </c>
      <c r="G240" s="177">
        <f>INDEX('ROTT TO USGC'!$A$6:$J$23,MATCH(MAIN!E240,'ROTT TO USGC'!$A$6:$A$23,0),7)</f>
        <v>3.8333333333333335</v>
      </c>
      <c r="H240" s="175">
        <f>INDEX('ROTT TO USGC'!$A$6:$J$23,MATCH(MAIN!E240,'ROTT TO USGC'!$A$6:$A$23,0),9)</f>
        <v>3.8333333333333335</v>
      </c>
      <c r="I240" s="178" t="s">
        <v>57</v>
      </c>
      <c r="J240" s="174">
        <f>INDEX('ROTT TO USGC'!$L$6:$U$23,MATCH(MAIN!$I240,'ROTT TO USGC'!$L$6:$L$23,0),5)</f>
        <v>3.0357142857142856</v>
      </c>
      <c r="K240" s="177">
        <f>INDEX('ROTT TO USGC'!$L$6:$U$23,MATCH(MAIN!$I240,'ROTT TO USGC'!$L$6:$L$23,0),5)</f>
        <v>3.0357142857142856</v>
      </c>
      <c r="L240" s="175">
        <f>INDEX('ROTT TO USGC'!$L$6:$U$23,MATCH(MAIN!$I240,'ROTT TO USGC'!$L$6:$L$23,0),5)</f>
        <v>3.0357142857142856</v>
      </c>
      <c r="M240" s="154"/>
    </row>
    <row r="241" spans="1:13" hidden="1" outlineLevel="1" x14ac:dyDescent="0.25">
      <c r="A241" s="154"/>
      <c r="B241" s="255" t="s">
        <v>58</v>
      </c>
      <c r="C241" s="449"/>
      <c r="D241" s="450"/>
      <c r="E241" t="s">
        <v>58</v>
      </c>
      <c r="F241" s="174">
        <f>INDEX('ROTT TO USGC'!$A$6:$J$23,MATCH(MAIN!E241,'ROTT TO USGC'!$A$6:$A$23,0),5)</f>
        <v>0.1</v>
      </c>
      <c r="G241" s="177">
        <f>INDEX('ROTT TO USGC'!$A$6:$J$23,MATCH(MAIN!E241,'ROTT TO USGC'!$A$6:$A$23,0),7)</f>
        <v>0.1</v>
      </c>
      <c r="H241" s="175">
        <f>INDEX('ROTT TO USGC'!$A$6:$J$23,MATCH(MAIN!E241,'ROTT TO USGC'!$A$6:$A$23,0),9)</f>
        <v>0.1</v>
      </c>
      <c r="I241" s="178" t="s">
        <v>58</v>
      </c>
      <c r="J241" s="174">
        <f>INDEX('ROTT TO USGC'!$L$6:$U$23,MATCH(MAIN!$I241,'ROTT TO USGC'!$L$6:$L$23,0),5)</f>
        <v>0.15306122448979592</v>
      </c>
      <c r="K241" s="177">
        <f>INDEX('ROTT TO USGC'!$L$6:$U$23,MATCH(MAIN!$I241,'ROTT TO USGC'!$L$6:$L$23,0),5)</f>
        <v>0.15306122448979592</v>
      </c>
      <c r="L241" s="175">
        <f>INDEX('ROTT TO USGC'!$L$6:$U$23,MATCH(MAIN!$I241,'ROTT TO USGC'!$L$6:$L$23,0),5)</f>
        <v>0.15306122448979592</v>
      </c>
      <c r="M241" s="154"/>
    </row>
    <row r="242" spans="1:13" hidden="1" outlineLevel="1" x14ac:dyDescent="0.25">
      <c r="A242" s="154"/>
      <c r="B242" s="255" t="s">
        <v>127</v>
      </c>
      <c r="C242" s="449"/>
      <c r="D242" s="450"/>
      <c r="E242" t="s">
        <v>127</v>
      </c>
      <c r="F242" s="174">
        <f>INDEX('ROTT TO USGC'!$A$6:$J$23,MATCH(MAIN!E242,'ROTT TO USGC'!$A$6:$A$23,0),5)</f>
        <v>0.16666666666666666</v>
      </c>
      <c r="G242" s="177">
        <f>INDEX('ROTT TO USGC'!$A$6:$J$23,MATCH(MAIN!E242,'ROTT TO USGC'!$A$6:$A$23,0),7)</f>
        <v>0.16666666666666666</v>
      </c>
      <c r="H242" s="175">
        <f>INDEX('ROTT TO USGC'!$A$6:$J$23,MATCH(MAIN!E242,'ROTT TO USGC'!$A$6:$A$23,0),9)</f>
        <v>0.16666666666666666</v>
      </c>
      <c r="I242" s="178" t="s">
        <v>127</v>
      </c>
      <c r="J242" s="174">
        <f>INDEX('ROTT TO USGC'!$L$6:$U$23,MATCH(MAIN!$I242,'ROTT TO USGC'!$L$6:$L$23,0),5)</f>
        <v>0.25510204081632654</v>
      </c>
      <c r="K242" s="177">
        <f>INDEX('ROTT TO USGC'!$L$6:$U$23,MATCH(MAIN!$I242,'ROTT TO USGC'!$L$6:$L$23,0),5)</f>
        <v>0.25510204081632654</v>
      </c>
      <c r="L242" s="175">
        <f>INDEX('ROTT TO USGC'!$L$6:$U$23,MATCH(MAIN!$I242,'ROTT TO USGC'!$L$6:$L$23,0),5)</f>
        <v>0.25510204081632654</v>
      </c>
      <c r="M242" s="154"/>
    </row>
    <row r="243" spans="1:13" hidden="1" outlineLevel="1" x14ac:dyDescent="0.25">
      <c r="A243" s="154"/>
      <c r="B243" s="255" t="s">
        <v>128</v>
      </c>
      <c r="C243" s="449"/>
      <c r="D243" s="450"/>
      <c r="E243" t="s">
        <v>128</v>
      </c>
      <c r="F243" s="174">
        <f>INDEX('ROTT TO USGC'!$A$6:$J$23,MATCH(MAIN!E243,'ROTT TO USGC'!$A$6:$A$23,0),5)</f>
        <v>0.16666666666666666</v>
      </c>
      <c r="G243" s="177">
        <f>INDEX('ROTT TO USGC'!$A$6:$J$23,MATCH(MAIN!E243,'ROTT TO USGC'!$A$6:$A$23,0),7)</f>
        <v>0.16666666666666666</v>
      </c>
      <c r="H243" s="175">
        <f>INDEX('ROTT TO USGC'!$A$6:$J$23,MATCH(MAIN!E243,'ROTT TO USGC'!$A$6:$A$23,0),9)</f>
        <v>0.16666666666666666</v>
      </c>
      <c r="I243" s="178" t="s">
        <v>128</v>
      </c>
      <c r="J243" s="174">
        <f>INDEX('ROTT TO USGC'!$L$6:$U$23,MATCH(MAIN!$I243,'ROTT TO USGC'!$L$6:$L$23,0),5)</f>
        <v>0.25510204081632654</v>
      </c>
      <c r="K243" s="177">
        <f>INDEX('ROTT TO USGC'!$L$6:$U$23,MATCH(MAIN!$I243,'ROTT TO USGC'!$L$6:$L$23,0),5)</f>
        <v>0.25510204081632654</v>
      </c>
      <c r="L243" s="175">
        <f>INDEX('ROTT TO USGC'!$L$6:$U$23,MATCH(MAIN!$I243,'ROTT TO USGC'!$L$6:$L$23,0),5)</f>
        <v>0.25510204081632654</v>
      </c>
      <c r="M243" s="154"/>
    </row>
    <row r="244" spans="1:13" hidden="1" outlineLevel="1" x14ac:dyDescent="0.25">
      <c r="A244" s="154"/>
      <c r="B244" s="255" t="s">
        <v>83</v>
      </c>
      <c r="C244" s="449"/>
      <c r="D244" s="450"/>
      <c r="E244" t="s">
        <v>83</v>
      </c>
      <c r="F244" s="174">
        <f ca="1">INDEX('ROTT TO USGC'!$A$6:$J$23,MATCH(MAIN!E244,'ROTT TO USGC'!$A$6:$A$23,0),5)</f>
        <v>3.4650000000000003</v>
      </c>
      <c r="G244" s="177">
        <f ca="1">INDEX('ROTT TO USGC'!$A$6:$J$23,MATCH(MAIN!E244,'ROTT TO USGC'!$A$6:$A$23,0),7)</f>
        <v>3.4650000000000003</v>
      </c>
      <c r="H244" s="175">
        <f ca="1">INDEX('ROTT TO USGC'!$A$6:$J$23,MATCH(MAIN!E244,'ROTT TO USGC'!$A$6:$A$23,0),9)</f>
        <v>3.4310958904109592</v>
      </c>
      <c r="I244" s="178" t="s">
        <v>83</v>
      </c>
      <c r="J244" s="174">
        <f ca="1">INDEX('ROTT TO USGC'!$L$6:$U$23,MATCH(MAIN!$I244,'ROTT TO USGC'!$L$6:$L$23,0),5)</f>
        <v>3.4650000000000003</v>
      </c>
      <c r="K244" s="177">
        <f ca="1">INDEX('ROTT TO USGC'!$L$6:$U$23,MATCH(MAIN!$I244,'ROTT TO USGC'!$L$6:$L$23,0),5)</f>
        <v>3.4650000000000003</v>
      </c>
      <c r="L244" s="175">
        <f ca="1">INDEX('ROTT TO USGC'!$L$6:$U$23,MATCH(MAIN!$I244,'ROTT TO USGC'!$L$6:$L$23,0),5)</f>
        <v>3.4650000000000003</v>
      </c>
      <c r="M244" s="154"/>
    </row>
    <row r="245" spans="1:13" hidden="1" outlineLevel="1" x14ac:dyDescent="0.25">
      <c r="A245" s="154"/>
      <c r="B245" s="255" t="s">
        <v>59</v>
      </c>
      <c r="C245" s="449"/>
      <c r="D245" s="450"/>
      <c r="E245" t="s">
        <v>59</v>
      </c>
      <c r="F245" s="174">
        <f>INDEX('ROTT TO USGC'!$A$6:$J$23,MATCH(MAIN!E245,'ROTT TO USGC'!$A$6:$A$23,0),5)</f>
        <v>0</v>
      </c>
      <c r="G245" s="177">
        <f>INDEX('ROTT TO USGC'!$A$6:$J$23,MATCH(MAIN!E245,'ROTT TO USGC'!$A$6:$A$23,0),7)</f>
        <v>0</v>
      </c>
      <c r="H245" s="175">
        <f>INDEX('ROTT TO USGC'!$A$6:$J$23,MATCH(MAIN!E245,'ROTT TO USGC'!$A$6:$A$23,0),9)</f>
        <v>0</v>
      </c>
      <c r="I245" s="178" t="s">
        <v>59</v>
      </c>
      <c r="J245" s="174">
        <f>INDEX('ROTT TO USGC'!$L$6:$U$23,MATCH(MAIN!$I245,'ROTT TO USGC'!$L$6:$L$23,0),5)</f>
        <v>0</v>
      </c>
      <c r="K245" s="177">
        <f>INDEX('ROTT TO USGC'!$L$6:$U$23,MATCH(MAIN!$I245,'ROTT TO USGC'!$L$6:$L$23,0),5)</f>
        <v>0</v>
      </c>
      <c r="L245" s="175">
        <f>INDEX('ROTT TO USGC'!$L$6:$U$23,MATCH(MAIN!$I245,'ROTT TO USGC'!$L$6:$L$23,0),5)</f>
        <v>0</v>
      </c>
      <c r="M245" s="154"/>
    </row>
    <row r="246" spans="1:13" hidden="1" outlineLevel="1" x14ac:dyDescent="0.25">
      <c r="A246" s="154"/>
      <c r="B246" s="255" t="s">
        <v>60</v>
      </c>
      <c r="C246" s="449"/>
      <c r="D246" s="450"/>
      <c r="E246" t="s">
        <v>60</v>
      </c>
      <c r="F246" s="174">
        <f ca="1">INDEX('ROTT TO USGC'!$A$6:$J$23,MATCH(MAIN!E246,'ROTT TO USGC'!$A$6:$A$23,0),5)</f>
        <v>0.28743750000000001</v>
      </c>
      <c r="G246" s="177">
        <f ca="1">INDEX('ROTT TO USGC'!$A$6:$J$23,MATCH(MAIN!E246,'ROTT TO USGC'!$A$6:$A$23,0),7)</f>
        <v>0.28743750000000001</v>
      </c>
      <c r="H246" s="175">
        <f ca="1">INDEX('ROTT TO USGC'!$A$6:$J$23,MATCH(MAIN!E246,'ROTT TO USGC'!$A$6:$A$23,0),9)</f>
        <v>0.28462500000000002</v>
      </c>
      <c r="I246" s="178" t="s">
        <v>60</v>
      </c>
      <c r="J246" s="174">
        <f ca="1">INDEX('ROTT TO USGC'!$L$6:$U$23,MATCH(MAIN!$I246,'ROTT TO USGC'!$L$6:$L$23,0),5)</f>
        <v>0.28743750000000001</v>
      </c>
      <c r="K246" s="177">
        <f ca="1">INDEX('ROTT TO USGC'!$L$6:$U$23,MATCH(MAIN!$I246,'ROTT TO USGC'!$L$6:$L$23,0),5)</f>
        <v>0.28743750000000001</v>
      </c>
      <c r="L246" s="175">
        <f ca="1">INDEX('ROTT TO USGC'!$L$6:$U$23,MATCH(MAIN!$I246,'ROTT TO USGC'!$L$6:$L$23,0),5)</f>
        <v>0.28743750000000001</v>
      </c>
      <c r="M246" s="154"/>
    </row>
    <row r="247" spans="1:13" hidden="1" outlineLevel="1" x14ac:dyDescent="0.25">
      <c r="A247" s="154"/>
      <c r="B247" s="255" t="s">
        <v>61</v>
      </c>
      <c r="C247" s="449"/>
      <c r="D247" s="450"/>
      <c r="E247" t="s">
        <v>61</v>
      </c>
      <c r="F247" s="174">
        <f ca="1">INDEX('ROTT TO USGC'!$A$6:$J$23,MATCH(MAIN!E247,'ROTT TO USGC'!$A$6:$A$23,0),5)</f>
        <v>1.1001375</v>
      </c>
      <c r="G247" s="177">
        <f ca="1">INDEX('ROTT TO USGC'!$A$6:$J$23,MATCH(MAIN!E247,'ROTT TO USGC'!$A$6:$A$23,0),7)</f>
        <v>1.0791825000000002</v>
      </c>
      <c r="H247" s="175">
        <f ca="1">INDEX('ROTT TO USGC'!$A$6:$J$23,MATCH(MAIN!E247,'ROTT TO USGC'!$A$6:$A$23,0),9)</f>
        <v>1.0791825000000002</v>
      </c>
      <c r="I247" s="178" t="s">
        <v>61</v>
      </c>
      <c r="J247" s="174">
        <f ca="1">INDEX('ROTT TO USGC'!$L$6:$U$23,MATCH(MAIN!$I247,'ROTT TO USGC'!$L$6:$L$23,0),5)</f>
        <v>1.1001375</v>
      </c>
      <c r="K247" s="177">
        <f ca="1">INDEX('ROTT TO USGC'!$L$6:$U$23,MATCH(MAIN!$I247,'ROTT TO USGC'!$L$6:$L$23,0),5)</f>
        <v>1.1001375</v>
      </c>
      <c r="L247" s="175">
        <f ca="1">INDEX('ROTT TO USGC'!$L$6:$U$23,MATCH(MAIN!$I247,'ROTT TO USGC'!$L$6:$L$23,0),5)</f>
        <v>1.1001375</v>
      </c>
      <c r="M247" s="154"/>
    </row>
    <row r="248" spans="1:13" hidden="1" outlineLevel="1" x14ac:dyDescent="0.25">
      <c r="A248" s="154"/>
      <c r="B248" s="255" t="s">
        <v>62</v>
      </c>
      <c r="C248" s="449"/>
      <c r="D248" s="450"/>
      <c r="E248" t="s">
        <v>62</v>
      </c>
      <c r="F248" s="174">
        <f>INDEX('ROTT TO USGC'!$A$6:$J$23,MATCH(MAIN!E248,'ROTT TO USGC'!$A$6:$A$23,0),5)</f>
        <v>8.3333333333333329E-2</v>
      </c>
      <c r="G248" s="177">
        <f>INDEX('ROTT TO USGC'!$A$6:$J$23,MATCH(MAIN!E248,'ROTT TO USGC'!$A$6:$A$23,0),7)</f>
        <v>8.3333333333333329E-2</v>
      </c>
      <c r="H248" s="175">
        <f>INDEX('ROTT TO USGC'!$A$6:$J$23,MATCH(MAIN!E248,'ROTT TO USGC'!$A$6:$A$23,0),9)</f>
        <v>8.3333333333333329E-2</v>
      </c>
      <c r="I248" s="178" t="s">
        <v>62</v>
      </c>
      <c r="J248" s="174">
        <f>INDEX('ROTT TO USGC'!$L$6:$U$23,MATCH(MAIN!$I248,'ROTT TO USGC'!$L$6:$L$23,0),5)</f>
        <v>0.12755102040816327</v>
      </c>
      <c r="K248" s="177">
        <f>INDEX('ROTT TO USGC'!$L$6:$U$23,MATCH(MAIN!$I248,'ROTT TO USGC'!$L$6:$L$23,0),5)</f>
        <v>0.12755102040816327</v>
      </c>
      <c r="L248" s="175">
        <f>INDEX('ROTT TO USGC'!$L$6:$U$23,MATCH(MAIN!$I248,'ROTT TO USGC'!$L$6:$L$23,0),5)</f>
        <v>0.12755102040816327</v>
      </c>
      <c r="M248" s="154"/>
    </row>
    <row r="249" spans="1:13" hidden="1" outlineLevel="1" x14ac:dyDescent="0.25">
      <c r="A249" s="154"/>
      <c r="B249" s="255" t="s">
        <v>63</v>
      </c>
      <c r="C249" s="449"/>
      <c r="D249" s="450"/>
      <c r="E249" t="s">
        <v>63</v>
      </c>
      <c r="F249" s="174">
        <f>INDEX('ROTT TO USGC'!$A$6:$J$23,MATCH(MAIN!E249,'ROTT TO USGC'!$A$6:$A$23,0),5)</f>
        <v>8.3333333333333332E-3</v>
      </c>
      <c r="G249" s="177">
        <f>INDEX('ROTT TO USGC'!$A$6:$J$23,MATCH(MAIN!E249,'ROTT TO USGC'!$A$6:$A$23,0),7)</f>
        <v>8.3333333333333332E-3</v>
      </c>
      <c r="H249" s="175">
        <f>INDEX('ROTT TO USGC'!$A$6:$J$23,MATCH(MAIN!E249,'ROTT TO USGC'!$A$6:$A$23,0),9)</f>
        <v>8.3333333333333332E-3</v>
      </c>
      <c r="I249" s="178" t="s">
        <v>63</v>
      </c>
      <c r="J249" s="174">
        <f>INDEX('ROTT TO USGC'!$L$6:$U$23,MATCH(MAIN!$I249,'ROTT TO USGC'!$L$6:$L$23,0),5)</f>
        <v>1.2755102040816327E-2</v>
      </c>
      <c r="K249" s="177">
        <f>INDEX('ROTT TO USGC'!$L$6:$U$23,MATCH(MAIN!$I249,'ROTT TO USGC'!$L$6:$L$23,0),5)</f>
        <v>1.2755102040816327E-2</v>
      </c>
      <c r="L249" s="175">
        <f>INDEX('ROTT TO USGC'!$L$6:$U$23,MATCH(MAIN!$I249,'ROTT TO USGC'!$L$6:$L$23,0),5)</f>
        <v>1.2755102040816327E-2</v>
      </c>
      <c r="M249" s="154"/>
    </row>
    <row r="250" spans="1:13" hidden="1" outlineLevel="1" x14ac:dyDescent="0.25">
      <c r="A250" s="154"/>
      <c r="B250" s="255" t="s">
        <v>64</v>
      </c>
      <c r="C250" s="449"/>
      <c r="D250" s="450"/>
      <c r="E250" t="s">
        <v>64</v>
      </c>
      <c r="F250" s="174">
        <f>INDEX('ROTT TO USGC'!$A$6:$J$23,MATCH(MAIN!E250,'ROTT TO USGC'!$A$6:$A$23,0),5)</f>
        <v>8.3333333333333332E-3</v>
      </c>
      <c r="G250" s="177">
        <f>INDEX('ROTT TO USGC'!$A$6:$J$23,MATCH(MAIN!E250,'ROTT TO USGC'!$A$6:$A$23,0),7)</f>
        <v>8.3333333333333332E-3</v>
      </c>
      <c r="H250" s="175">
        <f>INDEX('ROTT TO USGC'!$A$6:$J$23,MATCH(MAIN!E250,'ROTT TO USGC'!$A$6:$A$23,0),9)</f>
        <v>8.3333333333333332E-3</v>
      </c>
      <c r="I250" s="178" t="s">
        <v>64</v>
      </c>
      <c r="J250" s="174">
        <f>INDEX('ROTT TO USGC'!$L$6:$U$23,MATCH(MAIN!$I250,'ROTT TO USGC'!$L$6:$L$23,0),5)</f>
        <v>1.2755102040816327E-2</v>
      </c>
      <c r="K250" s="177">
        <f>INDEX('ROTT TO USGC'!$L$6:$U$23,MATCH(MAIN!$I250,'ROTT TO USGC'!$L$6:$L$23,0),5)</f>
        <v>1.2755102040816327E-2</v>
      </c>
      <c r="L250" s="175">
        <f>INDEX('ROTT TO USGC'!$L$6:$U$23,MATCH(MAIN!$I250,'ROTT TO USGC'!$L$6:$L$23,0),5)</f>
        <v>1.2755102040816327E-2</v>
      </c>
      <c r="M250" s="154"/>
    </row>
    <row r="251" spans="1:13" hidden="1" outlineLevel="1" x14ac:dyDescent="0.25">
      <c r="A251" s="154"/>
      <c r="B251" s="255" t="s">
        <v>65</v>
      </c>
      <c r="C251" s="449"/>
      <c r="D251" s="450"/>
      <c r="E251" t="s">
        <v>65</v>
      </c>
      <c r="F251" s="174">
        <f>INDEX('ROTT TO USGC'!$A$6:$J$23,MATCH(MAIN!E251,'ROTT TO USGC'!$A$6:$A$23,0),5)</f>
        <v>0.1</v>
      </c>
      <c r="G251" s="177">
        <f>INDEX('ROTT TO USGC'!$A$6:$J$23,MATCH(MAIN!E251,'ROTT TO USGC'!$A$6:$A$23,0),7)</f>
        <v>0.1</v>
      </c>
      <c r="H251" s="175">
        <f>INDEX('ROTT TO USGC'!$A$6:$J$23,MATCH(MAIN!E251,'ROTT TO USGC'!$A$6:$A$23,0),9)</f>
        <v>0.1</v>
      </c>
      <c r="I251" s="178" t="s">
        <v>65</v>
      </c>
      <c r="J251" s="174">
        <f>INDEX('ROTT TO USGC'!$L$6:$U$23,MATCH(MAIN!$I251,'ROTT TO USGC'!$L$6:$L$23,0),5)</f>
        <v>0.15306122448979592</v>
      </c>
      <c r="K251" s="177">
        <f>INDEX('ROTT TO USGC'!$L$6:$U$23,MATCH(MAIN!$I251,'ROTT TO USGC'!$L$6:$L$23,0),5)</f>
        <v>0.15306122448979592</v>
      </c>
      <c r="L251" s="175">
        <f>INDEX('ROTT TO USGC'!$L$6:$U$23,MATCH(MAIN!$I251,'ROTT TO USGC'!$L$6:$L$23,0),5)</f>
        <v>0.15306122448979592</v>
      </c>
      <c r="M251" s="154"/>
    </row>
    <row r="252" spans="1:13" hidden="1" outlineLevel="1" x14ac:dyDescent="0.25">
      <c r="A252" s="154"/>
      <c r="B252" s="255" t="s">
        <v>66</v>
      </c>
      <c r="C252" s="449"/>
      <c r="D252" s="450"/>
      <c r="E252" t="s">
        <v>66</v>
      </c>
      <c r="F252" s="174">
        <f>INDEX('ROTT TO USGC'!$A$6:$J$23,MATCH(MAIN!E252,'ROTT TO USGC'!$A$6:$A$23,0),5)</f>
        <v>6.6666666666666666E-2</v>
      </c>
      <c r="G252" s="177">
        <f>INDEX('ROTT TO USGC'!$A$6:$J$23,MATCH(MAIN!E252,'ROTT TO USGC'!$A$6:$A$23,0),7)</f>
        <v>6.6666666666666666E-2</v>
      </c>
      <c r="H252" s="175">
        <f>INDEX('ROTT TO USGC'!$A$6:$J$23,MATCH(MAIN!E252,'ROTT TO USGC'!$A$6:$A$23,0),9)</f>
        <v>6.6666666666666666E-2</v>
      </c>
      <c r="I252" s="178" t="s">
        <v>66</v>
      </c>
      <c r="J252" s="174">
        <f>INDEX('ROTT TO USGC'!$L$6:$U$23,MATCH(MAIN!$I252,'ROTT TO USGC'!$L$6:$L$23,0),5)</f>
        <v>0.10204081632653061</v>
      </c>
      <c r="K252" s="177">
        <f>INDEX('ROTT TO USGC'!$L$6:$U$23,MATCH(MAIN!$I252,'ROTT TO USGC'!$L$6:$L$23,0),5)</f>
        <v>0.10204081632653061</v>
      </c>
      <c r="L252" s="175">
        <f>INDEX('ROTT TO USGC'!$L$6:$U$23,MATCH(MAIN!$I252,'ROTT TO USGC'!$L$6:$L$23,0),5)</f>
        <v>0.10204081632653061</v>
      </c>
      <c r="M252" s="154"/>
    </row>
    <row r="253" spans="1:13" hidden="1" outlineLevel="1" x14ac:dyDescent="0.25">
      <c r="A253" s="154"/>
      <c r="B253" s="255" t="s">
        <v>102</v>
      </c>
      <c r="C253" s="449"/>
      <c r="D253" s="450"/>
      <c r="E253" t="s">
        <v>102</v>
      </c>
      <c r="F253" s="174">
        <f ca="1">INDEX('ROTT TO USGC'!$A$6:$J$23,MATCH(MAIN!E253,'ROTT TO USGC'!$A$6:$A$23,0),5)</f>
        <v>37.777908333333343</v>
      </c>
      <c r="G253" s="177">
        <f ca="1">INDEX('ROTT TO USGC'!$A$6:$J$23,MATCH(MAIN!E253,'ROTT TO USGC'!$A$6:$A$23,0),7)</f>
        <v>37.756953333333342</v>
      </c>
      <c r="H253" s="175">
        <f ca="1">INDEX('ROTT TO USGC'!$A$6:$J$23,MATCH(MAIN!E253,'ROTT TO USGC'!$A$6:$A$23,0),9)</f>
        <v>37.720236723744293</v>
      </c>
      <c r="I253" s="178" t="s">
        <v>102</v>
      </c>
      <c r="J253" s="174">
        <f ca="1">INDEX('ROTT TO USGC'!$L$6:$U$23,MATCH(MAIN!$I253,'ROTT TO USGC'!$L$6:$L$23,0),5)</f>
        <v>26.788289285714285</v>
      </c>
      <c r="K253" s="177">
        <f ca="1">INDEX('ROTT TO USGC'!$L$6:$U$23,MATCH(MAIN!$I253,'ROTT TO USGC'!$L$6:$L$23,0),5)</f>
        <v>26.788289285714285</v>
      </c>
      <c r="L253" s="175">
        <f ca="1">INDEX('ROTT TO USGC'!$L$6:$U$23,MATCH(MAIN!$I253,'ROTT TO USGC'!$L$6:$L$23,0),5)</f>
        <v>26.788289285714285</v>
      </c>
      <c r="M253" s="154"/>
    </row>
    <row r="254" spans="1:13" hidden="1" outlineLevel="1" x14ac:dyDescent="0.25">
      <c r="A254" s="154"/>
      <c r="B254" s="255" t="s">
        <v>103</v>
      </c>
      <c r="C254" s="449"/>
      <c r="D254" s="450"/>
      <c r="E254" t="s">
        <v>103</v>
      </c>
      <c r="F254" s="174">
        <f ca="1">INDEX('ROTT TO USGC'!$A$6:$J$23,MATCH(MAIN!E254,'ROTT TO USGC'!$A$6:$A$23,0),5)</f>
        <v>-16.537499999999966</v>
      </c>
      <c r="G254" s="177">
        <f ca="1">INDEX('ROTT TO USGC'!$A$6:$J$23,MATCH(MAIN!E254,'ROTT TO USGC'!$A$6:$A$23,0),7)</f>
        <v>-17.076666666666636</v>
      </c>
      <c r="H254" s="175">
        <f ca="1">INDEX('ROTT TO USGC'!$A$6:$J$23,MATCH(MAIN!E254,'ROTT TO USGC'!$A$6:$A$23,0),9)</f>
        <v>-19.77249999999998</v>
      </c>
      <c r="I254" s="178" t="s">
        <v>103</v>
      </c>
      <c r="J254" s="174">
        <f ca="1">INDEX('ROTT TO USGC'!$L$6:$U$23,MATCH(MAIN!$I254,'ROTT TO USGC'!$L$6:$L$23,0),5)</f>
        <v>-16.537499999999966</v>
      </c>
      <c r="K254" s="177">
        <f ca="1">INDEX('ROTT TO USGC'!$L$6:$U$23,MATCH(MAIN!$I254,'ROTT TO USGC'!$L$6:$L$23,0),5)</f>
        <v>-16.537499999999966</v>
      </c>
      <c r="L254" s="175">
        <f ca="1">INDEX('ROTT TO USGC'!$L$6:$U$23,MATCH(MAIN!$I254,'ROTT TO USGC'!$L$6:$L$23,0),5)</f>
        <v>-16.537499999999966</v>
      </c>
      <c r="M254" s="154"/>
    </row>
    <row r="255" spans="1:13" hidden="1" outlineLevel="1" x14ac:dyDescent="0.25">
      <c r="A255" s="154"/>
      <c r="B255" s="255" t="s">
        <v>115</v>
      </c>
      <c r="C255" s="449"/>
      <c r="D255" s="450"/>
      <c r="E255" t="s">
        <v>115</v>
      </c>
      <c r="F255" s="174">
        <f ca="1">INDEX('ROTT TO USGC'!$A$6:$J$23,MATCH(MAIN!E255,'ROTT TO USGC'!$A$6:$A$23,0),5)</f>
        <v>-54.315408333333309</v>
      </c>
      <c r="G255" s="177">
        <f ca="1">INDEX('ROTT TO USGC'!$A$6:$J$23,MATCH(MAIN!E255,'ROTT TO USGC'!$A$6:$A$23,0),7)</f>
        <v>-54.833619999999982</v>
      </c>
      <c r="H255" s="175">
        <f ca="1">INDEX('ROTT TO USGC'!$A$6:$J$23,MATCH(MAIN!E255,'ROTT TO USGC'!$A$6:$A$23,0),9)</f>
        <v>-57.492736723744272</v>
      </c>
      <c r="I255" s="178" t="s">
        <v>115</v>
      </c>
      <c r="J255" s="174">
        <f ca="1">INDEX('ROTT TO USGC'!$L$6:$U$23,MATCH(MAIN!$I255,'ROTT TO USGC'!$L$6:$L$23,0),5)</f>
        <v>-43.325789285714251</v>
      </c>
      <c r="K255" s="177">
        <f ca="1">INDEX('ROTT TO USGC'!$L$6:$U$23,MATCH(MAIN!$I255,'ROTT TO USGC'!$L$6:$L$23,0),5)</f>
        <v>-43.325789285714251</v>
      </c>
      <c r="L255" s="175">
        <f ca="1">INDEX('ROTT TO USGC'!$L$6:$U$23,MATCH(MAIN!$I255,'ROTT TO USGC'!$L$6:$L$23,0),5)</f>
        <v>-43.325789285714251</v>
      </c>
      <c r="M255" s="154"/>
    </row>
    <row r="256" spans="1:13" ht="15.75" hidden="1" outlineLevel="1" thickBot="1" x14ac:dyDescent="0.3">
      <c r="A256" s="154"/>
      <c r="B256" s="255" t="s">
        <v>129</v>
      </c>
      <c r="C256" s="449"/>
      <c r="D256" s="450"/>
      <c r="E256" t="s">
        <v>129</v>
      </c>
      <c r="F256" s="216">
        <f ca="1">F234</f>
        <v>45918</v>
      </c>
      <c r="G256" s="216">
        <f t="shared" ref="G256:H256" ca="1" si="8">G234</f>
        <v>45932</v>
      </c>
      <c r="H256" s="216">
        <f t="shared" ca="1" si="8"/>
        <v>45946</v>
      </c>
      <c r="I256" s="219">
        <f>I230</f>
        <v>0</v>
      </c>
      <c r="J256" s="216">
        <f ca="1">J234</f>
        <v>45918</v>
      </c>
      <c r="K256" s="216">
        <f t="shared" ref="K256:L256" ca="1" si="9">K234</f>
        <v>45932</v>
      </c>
      <c r="L256" s="216">
        <f t="shared" ca="1" si="9"/>
        <v>45946</v>
      </c>
      <c r="M256" s="154"/>
    </row>
    <row r="257" spans="1:13" ht="15.75" hidden="1" collapsed="1" thickBot="1" x14ac:dyDescent="0.3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</row>
    <row r="258" spans="1:13" x14ac:dyDescent="0.25">
      <c r="A258" s="154"/>
      <c r="B258" s="154"/>
      <c r="C258" s="447"/>
      <c r="D258" s="448"/>
      <c r="F258" s="157">
        <f ca="1">F234</f>
        <v>45918</v>
      </c>
      <c r="G258" s="157">
        <f t="shared" ref="G258:H258" ca="1" si="10">G234</f>
        <v>45932</v>
      </c>
      <c r="H258" s="157">
        <f t="shared" ca="1" si="10"/>
        <v>45946</v>
      </c>
      <c r="I258" s="163" t="str">
        <f>I209</f>
        <v>Purchase Prem VS Barges</v>
      </c>
      <c r="J258" s="193">
        <f ca="1">F258</f>
        <v>45918</v>
      </c>
      <c r="K258" s="193">
        <f ca="1">G258</f>
        <v>45932</v>
      </c>
      <c r="L258" s="193">
        <f ca="1">H258</f>
        <v>45946</v>
      </c>
      <c r="M258" s="154"/>
    </row>
    <row r="259" spans="1:13" x14ac:dyDescent="0.25">
      <c r="A259" s="198" t="s">
        <v>232</v>
      </c>
      <c r="B259" s="167"/>
      <c r="C259" s="449"/>
      <c r="D259" s="450"/>
      <c r="F259" s="158">
        <f ca="1">F279+F260-F261</f>
        <v>-12.710598256550956</v>
      </c>
      <c r="G259" s="158">
        <f ca="1">G279+G260-G261</f>
        <v>-16.499643256550957</v>
      </c>
      <c r="H259" s="160">
        <f ca="1">H279+H260-H261</f>
        <v>-18.043083325044105</v>
      </c>
      <c r="I259" s="164"/>
      <c r="J259" s="159">
        <f ca="1">J279+J260-J261</f>
        <v>-1.7209792089319054</v>
      </c>
      <c r="K259" s="159">
        <f ca="1">K279+K260-K261</f>
        <v>-5.213479208931906</v>
      </c>
      <c r="L259" s="160">
        <f ca="1">L279+L260-L261</f>
        <v>-5.213479208931906</v>
      </c>
      <c r="M259" s="154"/>
    </row>
    <row r="260" spans="1:13" x14ac:dyDescent="0.25">
      <c r="A260" s="154"/>
      <c r="B260" s="168" t="s">
        <v>136</v>
      </c>
      <c r="C260" s="449"/>
      <c r="D260" s="450"/>
      <c r="E260" s="176" t="s">
        <v>131</v>
      </c>
      <c r="F260" s="174">
        <f ca="1">INDEX(Premium!$A$2:$D$15,MATCH(MAIN!$A259,Premium!$A$2:$A$15,0),MATCH(EOMONTH(F258,-1)+1,Premium!$A$2:$D$2,0))</f>
        <v>10.16</v>
      </c>
      <c r="G260" s="174">
        <f ca="1">INDEX(Premium!$A$2:$D$15,MATCH(MAIN!$A259,Premium!$A$2:$A$15,0),MATCH(EOMONTH(G258,-1)+1,Premium!$A$2:$D$2,0))</f>
        <v>6.6674999999999995</v>
      </c>
      <c r="H260" s="174">
        <f ca="1">INDEX(Premium!$A$2:$D$15,MATCH(MAIN!$A259,Premium!$A$2:$A$15,0),MATCH(EOMONTH(H258,-1)+1,Premium!$A$2:$D$2,0))</f>
        <v>6.6674999999999995</v>
      </c>
      <c r="I260" s="178" t="s">
        <v>131</v>
      </c>
      <c r="J260" s="174">
        <f ca="1">INDEX(Premium!$A$2:$D$15,MATCH(MAIN!$A259,Premium!$A$2:$A$15,0),MATCH(EOMONTH(J258,-1)+1,Premium!$A$2:$D$2,0))</f>
        <v>10.16</v>
      </c>
      <c r="K260" s="174">
        <f ca="1">INDEX(Premium!$A$2:$D$15,MATCH(MAIN!$A259,Premium!$A$2:$A$15,0),MATCH(EOMONTH(K258,-1)+1,Premium!$A$2:$D$2,0))</f>
        <v>6.6674999999999995</v>
      </c>
      <c r="L260" s="174">
        <f ca="1">INDEX(Premium!$A$2:$D$15,MATCH(MAIN!$A259,Premium!$A$2:$A$15,0),MATCH(EOMONTH(L258,-1)+1,Premium!$A$2:$D$2,0))</f>
        <v>6.6674999999999995</v>
      </c>
      <c r="M260" s="154"/>
    </row>
    <row r="261" spans="1:13" ht="15.75" thickBot="1" x14ac:dyDescent="0.3">
      <c r="A261" s="154"/>
      <c r="B261" s="169" t="s">
        <v>135</v>
      </c>
      <c r="C261" s="449"/>
      <c r="D261" s="450"/>
      <c r="E261" s="176" t="s">
        <v>130</v>
      </c>
      <c r="F261" s="179">
        <f ca="1">INDEX(Premium!$A$21:$D$29,MATCH(MAIN!$A76,Premium!$A$21:$A$29,0),MATCH(EOMONTH(MAIN!F280,-1)+1,Premium!$A$21:$D$21,0))</f>
        <v>0.28999999999999998</v>
      </c>
      <c r="G261" s="179">
        <f ca="1">INDEX(Premium!$A$21:$D$29,MATCH(MAIN!$A76,Premium!$A$21:$A$29,0),MATCH(EOMONTH(MAIN!G280,-1)+1,Premium!$A$21:$D$21,0))</f>
        <v>0.28999999999999998</v>
      </c>
      <c r="H261" s="179">
        <f ca="1">INDEX(Premium!$A$21:$D$29,MATCH(MAIN!$A76,Premium!$A$21:$A$29,0),MATCH(EOMONTH(MAIN!H280,-1)+1,Premium!$A$21:$D$21,0))</f>
        <v>0.28999999999999998</v>
      </c>
      <c r="I261" s="178" t="s">
        <v>130</v>
      </c>
      <c r="J261" s="179">
        <f ca="1">INDEX(Premium!$A$21:$D$29,MATCH(MAIN!$A76,Premium!$A$21:$A$29,0),MATCH(EOMONTH(MAIN!J280,-1)+1,Premium!$A$21:$D$21,0))</f>
        <v>0.28999999999999998</v>
      </c>
      <c r="K261" s="179">
        <f ca="1">INDEX(Premium!$A$21:$D$29,MATCH(MAIN!$A76,Premium!$A$21:$A$29,0),MATCH(EOMONTH(MAIN!K280,-1)+1,Premium!$A$21:$D$21,0))</f>
        <v>0.28999999999999998</v>
      </c>
      <c r="L261" s="179">
        <f ca="1">INDEX(Premium!$A$21:$D$29,MATCH(MAIN!$A76,Premium!$A$21:$A$29,0),MATCH(EOMONTH(MAIN!L280,-1)+1,Premium!$A$21:$D$21,0))</f>
        <v>0.28999999999999998</v>
      </c>
      <c r="M261" s="154"/>
    </row>
    <row r="262" spans="1:13" hidden="1" outlineLevel="1" x14ac:dyDescent="0.25">
      <c r="A262" s="154"/>
      <c r="B262" s="254" t="s">
        <v>55</v>
      </c>
      <c r="C262" s="449"/>
      <c r="D262" s="450"/>
      <c r="E262" s="6" t="s">
        <v>55</v>
      </c>
      <c r="F262" s="233">
        <f>INDEX('ROTT TO USGC'!$A$6:$J$23,MATCH(MAIN!E262,'ROTT TO USGC'!$A$6:$A$23,0),6)</f>
        <v>28.391999999999999</v>
      </c>
      <c r="G262" s="240">
        <f>INDEX('ROTT TO USGC'!$A$6:$J$23,MATCH(MAIN!E262,'ROTT TO USGC'!$A$6:$A$23,0),8)</f>
        <v>28.391999999999999</v>
      </c>
      <c r="H262" s="241">
        <f>INDEX('ROTT TO USGC'!$A$6:$J$23,MATCH(MAIN!E262,'ROTT TO USGC'!$A$6:$A$23,0),10)</f>
        <v>28.391999999999999</v>
      </c>
      <c r="I262" s="250" t="s">
        <v>55</v>
      </c>
      <c r="J262" s="233">
        <f>INDEX('ROTT TO USGC'!$L$6:$U$23,MATCH(MAIN!$I262,'ROTT TO USGC'!$L$6:$L$23,0),6)</f>
        <v>17.828571428571429</v>
      </c>
      <c r="K262" s="240">
        <f>INDEX('ROTT TO USGC'!$L$6:$U$23,MATCH(MAIN!$I262,'ROTT TO USGC'!$L$6:$L$23,0),6)</f>
        <v>17.828571428571429</v>
      </c>
      <c r="L262" s="241">
        <f>INDEX('ROTT TO USGC'!$L$6:$U$23,MATCH(MAIN!$I262,'ROTT TO USGC'!$L$6:$L$23,0),6)</f>
        <v>17.828571428571429</v>
      </c>
    </row>
    <row r="263" spans="1:13" hidden="1" outlineLevel="1" x14ac:dyDescent="0.25">
      <c r="A263" s="154"/>
      <c r="B263" s="255" t="s">
        <v>56</v>
      </c>
      <c r="C263" s="449"/>
      <c r="D263" s="450"/>
      <c r="E263" t="s">
        <v>56</v>
      </c>
      <c r="F263" s="174">
        <f>INDEX('ROTT TO USGC'!$A$6:$J$23,MATCH(MAIN!E263,'ROTT TO USGC'!$A$6:$A$23,0),6)</f>
        <v>0</v>
      </c>
      <c r="G263" s="177">
        <f>INDEX('ROTT TO USGC'!$A$6:$J$23,MATCH(MAIN!E263,'ROTT TO USGC'!$A$6:$A$23,0),8)</f>
        <v>0</v>
      </c>
      <c r="H263" s="175">
        <f>INDEX('ROTT TO USGC'!$A$6:$J$23,MATCH(MAIN!E263,'ROTT TO USGC'!$A$6:$A$23,0),10)</f>
        <v>0</v>
      </c>
      <c r="I263" s="178" t="s">
        <v>56</v>
      </c>
      <c r="J263" s="174">
        <f>INDEX('ROTT TO USGC'!$L$6:$U$23,MATCH(MAIN!$I263,'ROTT TO USGC'!$L$6:$L$23,0),6)</f>
        <v>0</v>
      </c>
      <c r="K263" s="177">
        <f>INDEX('ROTT TO USGC'!$L$6:$U$23,MATCH(MAIN!$I263,'ROTT TO USGC'!$L$6:$L$23,0),6)</f>
        <v>0</v>
      </c>
      <c r="L263" s="175">
        <f>INDEX('ROTT TO USGC'!$L$6:$U$23,MATCH(MAIN!$I263,'ROTT TO USGC'!$L$6:$L$23,0),6)</f>
        <v>0</v>
      </c>
    </row>
    <row r="264" spans="1:13" hidden="1" outlineLevel="1" x14ac:dyDescent="0.25">
      <c r="A264" s="154"/>
      <c r="B264" s="255" t="s">
        <v>57</v>
      </c>
      <c r="C264" s="449"/>
      <c r="D264" s="450"/>
      <c r="E264" t="s">
        <v>57</v>
      </c>
      <c r="F264" s="174">
        <f>INDEX('ROTT TO USGC'!$A$6:$J$23,MATCH(MAIN!E264,'ROTT TO USGC'!$A$6:$A$23,0),6)</f>
        <v>3.8333333333333335</v>
      </c>
      <c r="G264" s="177">
        <f>INDEX('ROTT TO USGC'!$A$6:$J$23,MATCH(MAIN!E264,'ROTT TO USGC'!$A$6:$A$23,0),8)</f>
        <v>3.8333333333333335</v>
      </c>
      <c r="H264" s="175">
        <f>INDEX('ROTT TO USGC'!$A$6:$J$23,MATCH(MAIN!E264,'ROTT TO USGC'!$A$6:$A$23,0),10)</f>
        <v>3.8333333333333335</v>
      </c>
      <c r="I264" s="178" t="s">
        <v>57</v>
      </c>
      <c r="J264" s="174">
        <f>INDEX('ROTT TO USGC'!$L$6:$U$23,MATCH(MAIN!$I264,'ROTT TO USGC'!$L$6:$L$23,0),6)</f>
        <v>3.0357142857142856</v>
      </c>
      <c r="K264" s="177">
        <f>INDEX('ROTT TO USGC'!$L$6:$U$23,MATCH(MAIN!$I264,'ROTT TO USGC'!$L$6:$L$23,0),6)</f>
        <v>3.0357142857142856</v>
      </c>
      <c r="L264" s="175">
        <f>INDEX('ROTT TO USGC'!$L$6:$U$23,MATCH(MAIN!$I264,'ROTT TO USGC'!$L$6:$L$23,0),6)</f>
        <v>3.0357142857142856</v>
      </c>
    </row>
    <row r="265" spans="1:13" hidden="1" outlineLevel="1" x14ac:dyDescent="0.25">
      <c r="A265" s="154"/>
      <c r="B265" s="255" t="s">
        <v>58</v>
      </c>
      <c r="C265" s="449"/>
      <c r="D265" s="450"/>
      <c r="E265" t="s">
        <v>58</v>
      </c>
      <c r="F265" s="174">
        <f>INDEX('ROTT TO USGC'!$A$6:$J$23,MATCH(MAIN!E265,'ROTT TO USGC'!$A$6:$A$23,0),6)</f>
        <v>0.1</v>
      </c>
      <c r="G265" s="177">
        <f>INDEX('ROTT TO USGC'!$A$6:$J$23,MATCH(MAIN!E265,'ROTT TO USGC'!$A$6:$A$23,0),8)</f>
        <v>0.1</v>
      </c>
      <c r="H265" s="175">
        <f>INDEX('ROTT TO USGC'!$A$6:$J$23,MATCH(MAIN!E265,'ROTT TO USGC'!$A$6:$A$23,0),10)</f>
        <v>0.1</v>
      </c>
      <c r="I265" s="178" t="s">
        <v>58</v>
      </c>
      <c r="J265" s="174">
        <f>INDEX('ROTT TO USGC'!$L$6:$U$23,MATCH(MAIN!$I265,'ROTT TO USGC'!$L$6:$L$23,0),6)</f>
        <v>0.15306122448979592</v>
      </c>
      <c r="K265" s="177">
        <f>INDEX('ROTT TO USGC'!$L$6:$U$23,MATCH(MAIN!$I265,'ROTT TO USGC'!$L$6:$L$23,0),6)</f>
        <v>0.15306122448979592</v>
      </c>
      <c r="L265" s="175">
        <f>INDEX('ROTT TO USGC'!$L$6:$U$23,MATCH(MAIN!$I265,'ROTT TO USGC'!$L$6:$L$23,0),6)</f>
        <v>0.15306122448979592</v>
      </c>
    </row>
    <row r="266" spans="1:13" hidden="1" outlineLevel="1" x14ac:dyDescent="0.25">
      <c r="A266" s="154"/>
      <c r="B266" s="255" t="s">
        <v>127</v>
      </c>
      <c r="C266" s="449"/>
      <c r="D266" s="450"/>
      <c r="E266" t="s">
        <v>127</v>
      </c>
      <c r="F266" s="174">
        <f>INDEX('ROTT TO USGC'!$A$6:$J$23,MATCH(MAIN!E266,'ROTT TO USGC'!$A$6:$A$23,0),6)</f>
        <v>0.16666666666666666</v>
      </c>
      <c r="G266" s="177">
        <f>INDEX('ROTT TO USGC'!$A$6:$J$23,MATCH(MAIN!E266,'ROTT TO USGC'!$A$6:$A$23,0),8)</f>
        <v>0.16666666666666666</v>
      </c>
      <c r="H266" s="175">
        <f>INDEX('ROTT TO USGC'!$A$6:$J$23,MATCH(MAIN!E266,'ROTT TO USGC'!$A$6:$A$23,0),10)</f>
        <v>0.16666666666666666</v>
      </c>
      <c r="I266" s="178" t="s">
        <v>127</v>
      </c>
      <c r="J266" s="174">
        <f>INDEX('ROTT TO USGC'!$L$6:$U$23,MATCH(MAIN!$I266,'ROTT TO USGC'!$L$6:$L$23,0),6)</f>
        <v>0.25510204081632654</v>
      </c>
      <c r="K266" s="177">
        <f>INDEX('ROTT TO USGC'!$L$6:$U$23,MATCH(MAIN!$I266,'ROTT TO USGC'!$L$6:$L$23,0),6)</f>
        <v>0.25510204081632654</v>
      </c>
      <c r="L266" s="175">
        <f>INDEX('ROTT TO USGC'!$L$6:$U$23,MATCH(MAIN!$I266,'ROTT TO USGC'!$L$6:$L$23,0),6)</f>
        <v>0.25510204081632654</v>
      </c>
    </row>
    <row r="267" spans="1:13" hidden="1" outlineLevel="1" x14ac:dyDescent="0.25">
      <c r="A267" s="154"/>
      <c r="B267" s="255" t="s">
        <v>128</v>
      </c>
      <c r="C267" s="449"/>
      <c r="D267" s="450"/>
      <c r="E267" t="s">
        <v>128</v>
      </c>
      <c r="F267" s="174">
        <f>INDEX('ROTT TO USGC'!$A$6:$J$23,MATCH(MAIN!E267,'ROTT TO USGC'!$A$6:$A$23,0),6)</f>
        <v>0.16666666666666666</v>
      </c>
      <c r="G267" s="177">
        <f>INDEX('ROTT TO USGC'!$A$6:$J$23,MATCH(MAIN!E267,'ROTT TO USGC'!$A$6:$A$23,0),8)</f>
        <v>0.16666666666666666</v>
      </c>
      <c r="H267" s="175">
        <f>INDEX('ROTT TO USGC'!$A$6:$J$23,MATCH(MAIN!E267,'ROTT TO USGC'!$A$6:$A$23,0),10)</f>
        <v>0.16666666666666666</v>
      </c>
      <c r="I267" s="178" t="s">
        <v>128</v>
      </c>
      <c r="J267" s="174">
        <f>INDEX('ROTT TO USGC'!$L$6:$U$23,MATCH(MAIN!$I267,'ROTT TO USGC'!$L$6:$L$23,0),6)</f>
        <v>0.25510204081632654</v>
      </c>
      <c r="K267" s="177">
        <f>INDEX('ROTT TO USGC'!$L$6:$U$23,MATCH(MAIN!$I267,'ROTT TO USGC'!$L$6:$L$23,0),6)</f>
        <v>0.25510204081632654</v>
      </c>
      <c r="L267" s="175">
        <f>INDEX('ROTT TO USGC'!$L$6:$U$23,MATCH(MAIN!$I267,'ROTT TO USGC'!$L$6:$L$23,0),6)</f>
        <v>0.25510204081632654</v>
      </c>
    </row>
    <row r="268" spans="1:13" hidden="1" outlineLevel="1" x14ac:dyDescent="0.25">
      <c r="A268" s="154"/>
      <c r="B268" s="255" t="s">
        <v>83</v>
      </c>
      <c r="C268" s="449"/>
      <c r="D268" s="450"/>
      <c r="E268" t="s">
        <v>83</v>
      </c>
      <c r="F268" s="174">
        <f ca="1">INDEX('ROTT TO USGC'!$A$6:$J$23,MATCH(MAIN!E268,'ROTT TO USGC'!$A$6:$A$23,0),6)</f>
        <v>4.0907787328767116</v>
      </c>
      <c r="G268" s="177">
        <f ca="1">INDEX('ROTT TO USGC'!$A$6:$J$23,MATCH(MAIN!E268,'ROTT TO USGC'!$A$6:$A$23,0),8)</f>
        <v>4.0907787328767116</v>
      </c>
      <c r="H268" s="175">
        <f ca="1">INDEX('ROTT TO USGC'!$A$6:$J$23,MATCH(MAIN!E268,'ROTT TO USGC'!$A$6:$A$23,0),10)</f>
        <v>4.0500938013698624</v>
      </c>
      <c r="I268" s="178" t="s">
        <v>83</v>
      </c>
      <c r="J268" s="174">
        <f ca="1">INDEX('ROTT TO USGC'!$L$6:$U$23,MATCH(MAIN!$I268,'ROTT TO USGC'!$L$6:$L$23,0),6)</f>
        <v>4.0907787328767116</v>
      </c>
      <c r="K268" s="177">
        <f ca="1">INDEX('ROTT TO USGC'!$L$6:$U$23,MATCH(MAIN!$I268,'ROTT TO USGC'!$L$6:$L$23,0),6)</f>
        <v>4.0907787328767116</v>
      </c>
      <c r="L268" s="175">
        <f ca="1">INDEX('ROTT TO USGC'!$L$6:$U$23,MATCH(MAIN!$I268,'ROTT TO USGC'!$L$6:$L$23,0),6)</f>
        <v>4.0907787328767116</v>
      </c>
    </row>
    <row r="269" spans="1:13" hidden="1" outlineLevel="1" x14ac:dyDescent="0.25">
      <c r="A269" s="154"/>
      <c r="B269" s="255" t="s">
        <v>59</v>
      </c>
      <c r="C269" s="449"/>
      <c r="D269" s="450"/>
      <c r="E269" t="s">
        <v>59</v>
      </c>
      <c r="F269" s="174">
        <f>INDEX('ROTT TO USGC'!$A$6:$J$23,MATCH(MAIN!E269,'ROTT TO USGC'!$A$6:$A$23,0),6)</f>
        <v>0</v>
      </c>
      <c r="G269" s="177">
        <f>INDEX('ROTT TO USGC'!$A$6:$J$23,MATCH(MAIN!E269,'ROTT TO USGC'!$A$6:$A$23,0),8)</f>
        <v>0</v>
      </c>
      <c r="H269" s="175">
        <f>INDEX('ROTT TO USGC'!$A$6:$J$23,MATCH(MAIN!E269,'ROTT TO USGC'!$A$6:$A$23,0),10)</f>
        <v>0</v>
      </c>
      <c r="I269" s="178" t="s">
        <v>59</v>
      </c>
      <c r="J269" s="174">
        <f>INDEX('ROTT TO USGC'!$L$6:$U$23,MATCH(MAIN!$I269,'ROTT TO USGC'!$L$6:$L$23,0),6)</f>
        <v>0</v>
      </c>
      <c r="K269" s="177">
        <f>INDEX('ROTT TO USGC'!$L$6:$U$23,MATCH(MAIN!$I269,'ROTT TO USGC'!$L$6:$L$23,0),6)</f>
        <v>0</v>
      </c>
      <c r="L269" s="175">
        <f>INDEX('ROTT TO USGC'!$L$6:$U$23,MATCH(MAIN!$I269,'ROTT TO USGC'!$L$6:$L$23,0),6)</f>
        <v>0</v>
      </c>
    </row>
    <row r="270" spans="1:13" hidden="1" outlineLevel="1" x14ac:dyDescent="0.25">
      <c r="A270" s="154"/>
      <c r="B270" s="255" t="s">
        <v>60</v>
      </c>
      <c r="C270" s="449"/>
      <c r="D270" s="450"/>
      <c r="E270" t="s">
        <v>60</v>
      </c>
      <c r="F270" s="174">
        <f ca="1">INDEX('ROTT TO USGC'!$A$6:$J$23,MATCH(MAIN!E270,'ROTT TO USGC'!$A$6:$A$23,0),6)</f>
        <v>0.33934869034090903</v>
      </c>
      <c r="G270" s="177">
        <f ca="1">INDEX('ROTT TO USGC'!$A$6:$J$23,MATCH(MAIN!E270,'ROTT TO USGC'!$A$6:$A$23,0),8)</f>
        <v>0.33934869034090903</v>
      </c>
      <c r="H270" s="175">
        <f ca="1">INDEX('ROTT TO USGC'!$A$6:$J$23,MATCH(MAIN!E270,'ROTT TO USGC'!$A$6:$A$23,0),10)</f>
        <v>0.33597369034090907</v>
      </c>
      <c r="I270" s="178" t="s">
        <v>60</v>
      </c>
      <c r="J270" s="174">
        <f ca="1">INDEX('ROTT TO USGC'!$L$6:$U$23,MATCH(MAIN!$I270,'ROTT TO USGC'!$L$6:$L$23,0),6)</f>
        <v>0.33934869034090903</v>
      </c>
      <c r="K270" s="177">
        <f ca="1">INDEX('ROTT TO USGC'!$L$6:$U$23,MATCH(MAIN!$I270,'ROTT TO USGC'!$L$6:$L$23,0),6)</f>
        <v>0.33934869034090903</v>
      </c>
      <c r="L270" s="175">
        <f ca="1">INDEX('ROTT TO USGC'!$L$6:$U$23,MATCH(MAIN!$I270,'ROTT TO USGC'!$L$6:$L$23,0),6)</f>
        <v>0.33934869034090903</v>
      </c>
    </row>
    <row r="271" spans="1:13" hidden="1" outlineLevel="1" x14ac:dyDescent="0.25">
      <c r="A271" s="154"/>
      <c r="B271" s="255" t="s">
        <v>61</v>
      </c>
      <c r="C271" s="449"/>
      <c r="D271" s="450"/>
      <c r="E271" t="s">
        <v>61</v>
      </c>
      <c r="F271" s="174">
        <f ca="1">INDEX('ROTT TO USGC'!$A$6:$J$23,MATCH(MAIN!E271,'ROTT TO USGC'!$A$6:$A$23,0),6)</f>
        <v>1.1001375</v>
      </c>
      <c r="G271" s="177">
        <f ca="1">INDEX('ROTT TO USGC'!$A$6:$J$23,MATCH(MAIN!E271,'ROTT TO USGC'!$A$6:$A$23,0),8)</f>
        <v>1.0791825000000002</v>
      </c>
      <c r="H271" s="175">
        <f ca="1">INDEX('ROTT TO USGC'!$A$6:$J$23,MATCH(MAIN!E271,'ROTT TO USGC'!$A$6:$A$23,0),10)</f>
        <v>1.0791825000000002</v>
      </c>
      <c r="I271" s="178" t="s">
        <v>61</v>
      </c>
      <c r="J271" s="174">
        <f ca="1">INDEX('ROTT TO USGC'!$L$6:$U$23,MATCH(MAIN!$I271,'ROTT TO USGC'!$L$6:$L$23,0),6)</f>
        <v>1.1001375</v>
      </c>
      <c r="K271" s="177">
        <f ca="1">INDEX('ROTT TO USGC'!$L$6:$U$23,MATCH(MAIN!$I271,'ROTT TO USGC'!$L$6:$L$23,0),6)</f>
        <v>1.1001375</v>
      </c>
      <c r="L271" s="175">
        <f ca="1">INDEX('ROTT TO USGC'!$L$6:$U$23,MATCH(MAIN!$I271,'ROTT TO USGC'!$L$6:$L$23,0),6)</f>
        <v>1.1001375</v>
      </c>
    </row>
    <row r="272" spans="1:13" hidden="1" outlineLevel="1" x14ac:dyDescent="0.25">
      <c r="A272" s="154"/>
      <c r="B272" s="255" t="s">
        <v>62</v>
      </c>
      <c r="C272" s="449"/>
      <c r="D272" s="450"/>
      <c r="E272" t="s">
        <v>62</v>
      </c>
      <c r="F272" s="174">
        <f>INDEX('ROTT TO USGC'!$A$6:$J$23,MATCH(MAIN!E272,'ROTT TO USGC'!$A$6:$A$23,0),6)</f>
        <v>8.3333333333333329E-2</v>
      </c>
      <c r="G272" s="177">
        <f>INDEX('ROTT TO USGC'!$A$6:$J$23,MATCH(MAIN!E272,'ROTT TO USGC'!$A$6:$A$23,0),8)</f>
        <v>8.3333333333333329E-2</v>
      </c>
      <c r="H272" s="175">
        <f>INDEX('ROTT TO USGC'!$A$6:$J$23,MATCH(MAIN!E272,'ROTT TO USGC'!$A$6:$A$23,0),10)</f>
        <v>8.3333333333333329E-2</v>
      </c>
      <c r="I272" s="178" t="s">
        <v>62</v>
      </c>
      <c r="J272" s="174">
        <f>INDEX('ROTT TO USGC'!$L$6:$U$23,MATCH(MAIN!$I272,'ROTT TO USGC'!$L$6:$L$23,0),6)</f>
        <v>0.12755102040816327</v>
      </c>
      <c r="K272" s="177">
        <f>INDEX('ROTT TO USGC'!$L$6:$U$23,MATCH(MAIN!$I272,'ROTT TO USGC'!$L$6:$L$23,0),6)</f>
        <v>0.12755102040816327</v>
      </c>
      <c r="L272" s="175">
        <f>INDEX('ROTT TO USGC'!$L$6:$U$23,MATCH(MAIN!$I272,'ROTT TO USGC'!$L$6:$L$23,0),6)</f>
        <v>0.12755102040816327</v>
      </c>
    </row>
    <row r="273" spans="1:12" hidden="1" outlineLevel="1" x14ac:dyDescent="0.25">
      <c r="A273" s="154"/>
      <c r="B273" s="255" t="s">
        <v>63</v>
      </c>
      <c r="C273" s="449"/>
      <c r="D273" s="450"/>
      <c r="E273" t="s">
        <v>63</v>
      </c>
      <c r="F273" s="174">
        <f>INDEX('ROTT TO USGC'!$A$6:$J$23,MATCH(MAIN!E273,'ROTT TO USGC'!$A$6:$A$23,0),6)</f>
        <v>8.3333333333333332E-3</v>
      </c>
      <c r="G273" s="177">
        <f>INDEX('ROTT TO USGC'!$A$6:$J$23,MATCH(MAIN!E273,'ROTT TO USGC'!$A$6:$A$23,0),8)</f>
        <v>8.3333333333333332E-3</v>
      </c>
      <c r="H273" s="175">
        <f>INDEX('ROTT TO USGC'!$A$6:$J$23,MATCH(MAIN!E273,'ROTT TO USGC'!$A$6:$A$23,0),10)</f>
        <v>8.3333333333333332E-3</v>
      </c>
      <c r="I273" s="178" t="s">
        <v>63</v>
      </c>
      <c r="J273" s="174">
        <f>INDEX('ROTT TO USGC'!$L$6:$U$23,MATCH(MAIN!$I273,'ROTT TO USGC'!$L$6:$L$23,0),6)</f>
        <v>1.2755102040816327E-2</v>
      </c>
      <c r="K273" s="177">
        <f>INDEX('ROTT TO USGC'!$L$6:$U$23,MATCH(MAIN!$I273,'ROTT TO USGC'!$L$6:$L$23,0),6)</f>
        <v>1.2755102040816327E-2</v>
      </c>
      <c r="L273" s="175">
        <f>INDEX('ROTT TO USGC'!$L$6:$U$23,MATCH(MAIN!$I273,'ROTT TO USGC'!$L$6:$L$23,0),6)</f>
        <v>1.2755102040816327E-2</v>
      </c>
    </row>
    <row r="274" spans="1:12" hidden="1" outlineLevel="1" x14ac:dyDescent="0.25">
      <c r="A274" s="154"/>
      <c r="B274" s="255" t="s">
        <v>64</v>
      </c>
      <c r="C274" s="449"/>
      <c r="D274" s="450"/>
      <c r="E274" t="s">
        <v>64</v>
      </c>
      <c r="F274" s="174">
        <f>INDEX('ROTT TO USGC'!$A$6:$J$23,MATCH(MAIN!E274,'ROTT TO USGC'!$A$6:$A$23,0),6)</f>
        <v>8.3333333333333332E-3</v>
      </c>
      <c r="G274" s="177">
        <f>INDEX('ROTT TO USGC'!$A$6:$J$23,MATCH(MAIN!E274,'ROTT TO USGC'!$A$6:$A$23,0),8)</f>
        <v>8.3333333333333332E-3</v>
      </c>
      <c r="H274" s="175">
        <f>INDEX('ROTT TO USGC'!$A$6:$J$23,MATCH(MAIN!E274,'ROTT TO USGC'!$A$6:$A$23,0),10)</f>
        <v>8.3333333333333332E-3</v>
      </c>
      <c r="I274" s="178" t="s">
        <v>64</v>
      </c>
      <c r="J274" s="174">
        <f>INDEX('ROTT TO USGC'!$L$6:$U$23,MATCH(MAIN!$I274,'ROTT TO USGC'!$L$6:$L$23,0),6)</f>
        <v>1.2755102040816327E-2</v>
      </c>
      <c r="K274" s="177">
        <f>INDEX('ROTT TO USGC'!$L$6:$U$23,MATCH(MAIN!$I274,'ROTT TO USGC'!$L$6:$L$23,0),6)</f>
        <v>1.2755102040816327E-2</v>
      </c>
      <c r="L274" s="175">
        <f>INDEX('ROTT TO USGC'!$L$6:$U$23,MATCH(MAIN!$I274,'ROTT TO USGC'!$L$6:$L$23,0),6)</f>
        <v>1.2755102040816327E-2</v>
      </c>
    </row>
    <row r="275" spans="1:12" hidden="1" outlineLevel="1" x14ac:dyDescent="0.25">
      <c r="A275" s="154"/>
      <c r="B275" s="255" t="s">
        <v>65</v>
      </c>
      <c r="C275" s="449"/>
      <c r="D275" s="450"/>
      <c r="E275" t="s">
        <v>65</v>
      </c>
      <c r="F275" s="174">
        <f>INDEX('ROTT TO USGC'!$A$6:$J$23,MATCH(MAIN!E275,'ROTT TO USGC'!$A$6:$A$23,0),6)</f>
        <v>0.1</v>
      </c>
      <c r="G275" s="177">
        <f>INDEX('ROTT TO USGC'!$A$6:$J$23,MATCH(MAIN!E275,'ROTT TO USGC'!$A$6:$A$23,0),8)</f>
        <v>0.1</v>
      </c>
      <c r="H275" s="175">
        <f>INDEX('ROTT TO USGC'!$A$6:$J$23,MATCH(MAIN!E275,'ROTT TO USGC'!$A$6:$A$23,0),10)</f>
        <v>0.1</v>
      </c>
      <c r="I275" s="178" t="s">
        <v>65</v>
      </c>
      <c r="J275" s="174">
        <f>INDEX('ROTT TO USGC'!$L$6:$U$23,MATCH(MAIN!$I275,'ROTT TO USGC'!$L$6:$L$23,0),6)</f>
        <v>0.15306122448979592</v>
      </c>
      <c r="K275" s="177">
        <f>INDEX('ROTT TO USGC'!$L$6:$U$23,MATCH(MAIN!$I275,'ROTT TO USGC'!$L$6:$L$23,0),6)</f>
        <v>0.15306122448979592</v>
      </c>
      <c r="L275" s="175">
        <f>INDEX('ROTT TO USGC'!$L$6:$U$23,MATCH(MAIN!$I275,'ROTT TO USGC'!$L$6:$L$23,0),6)</f>
        <v>0.15306122448979592</v>
      </c>
    </row>
    <row r="276" spans="1:12" hidden="1" outlineLevel="1" x14ac:dyDescent="0.25">
      <c r="A276" s="154"/>
      <c r="B276" s="255" t="s">
        <v>66</v>
      </c>
      <c r="C276" s="449"/>
      <c r="D276" s="450"/>
      <c r="E276" t="s">
        <v>66</v>
      </c>
      <c r="F276" s="174">
        <f>INDEX('ROTT TO USGC'!$A$6:$J$23,MATCH(MAIN!E276,'ROTT TO USGC'!$A$6:$A$23,0),6)</f>
        <v>6.6666666666666666E-2</v>
      </c>
      <c r="G276" s="177">
        <f>INDEX('ROTT TO USGC'!$A$6:$J$23,MATCH(MAIN!E276,'ROTT TO USGC'!$A$6:$A$23,0),8)</f>
        <v>6.6666666666666666E-2</v>
      </c>
      <c r="H276" s="175">
        <f>INDEX('ROTT TO USGC'!$A$6:$J$23,MATCH(MAIN!E276,'ROTT TO USGC'!$A$6:$A$23,0),10)</f>
        <v>6.6666666666666666E-2</v>
      </c>
      <c r="I276" s="178" t="s">
        <v>66</v>
      </c>
      <c r="J276" s="174">
        <f>INDEX('ROTT TO USGC'!$L$6:$U$23,MATCH(MAIN!$I276,'ROTT TO USGC'!$L$6:$L$23,0),6)</f>
        <v>0.10204081632653061</v>
      </c>
      <c r="K276" s="177">
        <f>INDEX('ROTT TO USGC'!$L$6:$U$23,MATCH(MAIN!$I276,'ROTT TO USGC'!$L$6:$L$23,0),6)</f>
        <v>0.10204081632653061</v>
      </c>
      <c r="L276" s="175">
        <f>INDEX('ROTT TO USGC'!$L$6:$U$23,MATCH(MAIN!$I276,'ROTT TO USGC'!$L$6:$L$23,0),6)</f>
        <v>0.10204081632653061</v>
      </c>
    </row>
    <row r="277" spans="1:12" hidden="1" outlineLevel="1" x14ac:dyDescent="0.25">
      <c r="A277" s="154"/>
      <c r="B277" s="255" t="s">
        <v>102</v>
      </c>
      <c r="C277" s="449"/>
      <c r="D277" s="450"/>
      <c r="E277" t="s">
        <v>102</v>
      </c>
      <c r="F277" s="174">
        <f ca="1">INDEX('ROTT TO USGC'!$A$6:$J$23,MATCH(MAIN!E277,'ROTT TO USGC'!$A$6:$A$23,0),6)</f>
        <v>38.455598256550957</v>
      </c>
      <c r="G277" s="177">
        <f ca="1">INDEX('ROTT TO USGC'!$A$6:$J$23,MATCH(MAIN!E277,'ROTT TO USGC'!$A$6:$A$23,0),8)</f>
        <v>38.434643256550956</v>
      </c>
      <c r="H277" s="175">
        <f ca="1">INDEX('ROTT TO USGC'!$A$6:$J$23,MATCH(MAIN!E277,'ROTT TO USGC'!$A$6:$A$23,0),10)</f>
        <v>38.390583325044105</v>
      </c>
      <c r="I277" s="178" t="s">
        <v>102</v>
      </c>
      <c r="J277" s="174">
        <f ca="1">INDEX('ROTT TO USGC'!$L$6:$U$23,MATCH(MAIN!$I277,'ROTT TO USGC'!$L$6:$L$23,0),6)</f>
        <v>27.465979208931905</v>
      </c>
      <c r="K277" s="177">
        <f ca="1">INDEX('ROTT TO USGC'!$L$6:$U$23,MATCH(MAIN!$I277,'ROTT TO USGC'!$L$6:$L$23,0),6)</f>
        <v>27.465979208931905</v>
      </c>
      <c r="L277" s="175">
        <f ca="1">INDEX('ROTT TO USGC'!$L$6:$U$23,MATCH(MAIN!$I277,'ROTT TO USGC'!$L$6:$L$23,0),6)</f>
        <v>27.465979208931905</v>
      </c>
    </row>
    <row r="278" spans="1:12" hidden="1" outlineLevel="1" x14ac:dyDescent="0.25">
      <c r="A278" s="154"/>
      <c r="B278" s="255" t="s">
        <v>103</v>
      </c>
      <c r="C278" s="449"/>
      <c r="D278" s="450"/>
      <c r="E278" t="s">
        <v>103</v>
      </c>
      <c r="F278" s="174">
        <f ca="1">INDEX('ROTT TO USGC'!$A$6:$J$23,MATCH(MAIN!E278,'ROTT TO USGC'!$A$6:$A$23,0),6)</f>
        <v>15.875</v>
      </c>
      <c r="G278" s="177">
        <f ca="1">INDEX('ROTT TO USGC'!$A$6:$J$23,MATCH(MAIN!E278,'ROTT TO USGC'!$A$6:$A$23,0),8)</f>
        <v>15.557499999999999</v>
      </c>
      <c r="H278" s="175">
        <f ca="1">INDEX('ROTT TO USGC'!$A$6:$J$23,MATCH(MAIN!E278,'ROTT TO USGC'!$A$6:$A$23,0),10)</f>
        <v>13.97</v>
      </c>
      <c r="I278" s="178" t="s">
        <v>103</v>
      </c>
      <c r="J278" s="174">
        <f ca="1">INDEX('ROTT TO USGC'!$L$6:$U$23,MATCH(MAIN!$I278,'ROTT TO USGC'!$L$6:$L$23,0),6)</f>
        <v>15.875</v>
      </c>
      <c r="K278" s="177">
        <f ca="1">INDEX('ROTT TO USGC'!$L$6:$U$23,MATCH(MAIN!$I278,'ROTT TO USGC'!$L$6:$L$23,0),6)</f>
        <v>15.875</v>
      </c>
      <c r="L278" s="175">
        <f ca="1">INDEX('ROTT TO USGC'!$L$6:$U$23,MATCH(MAIN!$I278,'ROTT TO USGC'!$L$6:$L$23,0),6)</f>
        <v>15.875</v>
      </c>
    </row>
    <row r="279" spans="1:12" hidden="1" outlineLevel="1" x14ac:dyDescent="0.25">
      <c r="A279" s="154"/>
      <c r="B279" s="255" t="s">
        <v>115</v>
      </c>
      <c r="C279" s="449"/>
      <c r="D279" s="450"/>
      <c r="E279" t="s">
        <v>115</v>
      </c>
      <c r="F279" s="174">
        <f ca="1">INDEX('ROTT TO USGC'!$A$6:$J$23,MATCH(MAIN!E279,'ROTT TO USGC'!$A$6:$A$23,0),6)</f>
        <v>-22.580598256550957</v>
      </c>
      <c r="G279" s="177">
        <f ca="1">INDEX('ROTT TO USGC'!$A$6:$J$23,MATCH(MAIN!E279,'ROTT TO USGC'!$A$6:$A$23,0),8)</f>
        <v>-22.877143256550958</v>
      </c>
      <c r="H279" s="175">
        <f ca="1">INDEX('ROTT TO USGC'!$A$6:$J$23,MATCH(MAIN!E279,'ROTT TO USGC'!$A$6:$A$23,0),10)</f>
        <v>-24.420583325044106</v>
      </c>
      <c r="I279" s="178" t="s">
        <v>115</v>
      </c>
      <c r="J279" s="174">
        <f ca="1">INDEX('ROTT TO USGC'!$L$6:$U$23,MATCH(MAIN!$I279,'ROTT TO USGC'!$L$6:$L$23,0),6)</f>
        <v>-11.590979208931905</v>
      </c>
      <c r="K279" s="177">
        <f ca="1">INDEX('ROTT TO USGC'!$L$6:$U$23,MATCH(MAIN!$I279,'ROTT TO USGC'!$L$6:$L$23,0),6)</f>
        <v>-11.590979208931905</v>
      </c>
      <c r="L279" s="175">
        <f ca="1">INDEX('ROTT TO USGC'!$L$6:$U$23,MATCH(MAIN!$I279,'ROTT TO USGC'!$L$6:$L$23,0),6)</f>
        <v>-11.590979208931905</v>
      </c>
    </row>
    <row r="280" spans="1:12" ht="15.75" hidden="1" outlineLevel="1" thickBot="1" x14ac:dyDescent="0.3">
      <c r="A280" s="154"/>
      <c r="B280" s="255" t="s">
        <v>129</v>
      </c>
      <c r="C280" s="449"/>
      <c r="D280" s="450"/>
      <c r="E280" t="s">
        <v>129</v>
      </c>
      <c r="F280" s="216">
        <f ca="1">F258</f>
        <v>45918</v>
      </c>
      <c r="G280" s="216">
        <f t="shared" ref="G280:H280" ca="1" si="11">G258</f>
        <v>45932</v>
      </c>
      <c r="H280" s="216">
        <f t="shared" ca="1" si="11"/>
        <v>45946</v>
      </c>
      <c r="I280" s="219" t="str">
        <f>I254</f>
        <v>ROLL</v>
      </c>
      <c r="J280" s="216">
        <f ca="1">J258</f>
        <v>45918</v>
      </c>
      <c r="K280" s="216">
        <f t="shared" ref="K280:L280" ca="1" si="12">K258</f>
        <v>45932</v>
      </c>
      <c r="L280" s="216">
        <f t="shared" ca="1" si="12"/>
        <v>45946</v>
      </c>
    </row>
    <row r="281" spans="1:12" collapsed="1" x14ac:dyDescent="0.25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</row>
  </sheetData>
  <dataConsolidate/>
  <mergeCells count="32">
    <mergeCell ref="C258:D280"/>
    <mergeCell ref="J149:L149"/>
    <mergeCell ref="C151:D173"/>
    <mergeCell ref="A100:A101"/>
    <mergeCell ref="A4:A5"/>
    <mergeCell ref="A149:A150"/>
    <mergeCell ref="C149:D149"/>
    <mergeCell ref="F149:H149"/>
    <mergeCell ref="C4:D4"/>
    <mergeCell ref="F4:H4"/>
    <mergeCell ref="J4:L4"/>
    <mergeCell ref="C100:D100"/>
    <mergeCell ref="F100:H100"/>
    <mergeCell ref="J100:L100"/>
    <mergeCell ref="C103:D124"/>
    <mergeCell ref="C126:D146"/>
    <mergeCell ref="A175:A176"/>
    <mergeCell ref="C175:D175"/>
    <mergeCell ref="F175:H175"/>
    <mergeCell ref="J175:L175"/>
    <mergeCell ref="C177:D199"/>
    <mergeCell ref="C234:D256"/>
    <mergeCell ref="C204:D204"/>
    <mergeCell ref="F204:H204"/>
    <mergeCell ref="J204:L204"/>
    <mergeCell ref="A232:A233"/>
    <mergeCell ref="C232:D232"/>
    <mergeCell ref="F232:H232"/>
    <mergeCell ref="J232:L232"/>
    <mergeCell ref="C210:D228"/>
    <mergeCell ref="C208:D209"/>
    <mergeCell ref="C205:D205"/>
  </mergeCells>
  <conditionalFormatting sqref="C7:L7 C29:L29">
    <cfRule type="cellIs" dxfId="29" priority="31" operator="between">
      <formula>-2.5</formula>
      <formula>0.01</formula>
    </cfRule>
    <cfRule type="cellIs" dxfId="28" priority="32" operator="lessThan">
      <formula>-2.5</formula>
    </cfRule>
    <cfRule type="cellIs" dxfId="27" priority="33" operator="greaterThan">
      <formula>-0.01</formula>
    </cfRule>
  </conditionalFormatting>
  <conditionalFormatting sqref="C54:L54 C76:L76">
    <cfRule type="cellIs" dxfId="26" priority="28" operator="between">
      <formula>-2.5</formula>
      <formula>0.01</formula>
    </cfRule>
    <cfRule type="cellIs" dxfId="25" priority="29" operator="lessThan">
      <formula>-2.5</formula>
    </cfRule>
    <cfRule type="cellIs" dxfId="24" priority="30" operator="greaterThan">
      <formula>-0.01</formula>
    </cfRule>
  </conditionalFormatting>
  <conditionalFormatting sqref="E103:L103 E125:L125">
    <cfRule type="cellIs" dxfId="23" priority="25" operator="between">
      <formula>-2.5</formula>
      <formula>0.01</formula>
    </cfRule>
    <cfRule type="cellIs" dxfId="22" priority="26" operator="lessThan">
      <formula>-2.5</formula>
    </cfRule>
    <cfRule type="cellIs" dxfId="21" priority="27" operator="greaterThan">
      <formula>-0.01</formula>
    </cfRule>
  </conditionalFormatting>
  <conditionalFormatting sqref="E152:L152">
    <cfRule type="cellIs" dxfId="20" priority="19" operator="between">
      <formula>-2.5</formula>
      <formula>0.01</formula>
    </cfRule>
    <cfRule type="cellIs" dxfId="19" priority="20" operator="lessThan">
      <formula>-2.5</formula>
    </cfRule>
    <cfRule type="cellIs" dxfId="18" priority="21" operator="greaterThan">
      <formula>-0.01</formula>
    </cfRule>
  </conditionalFormatting>
  <conditionalFormatting sqref="E178:L178">
    <cfRule type="cellIs" dxfId="17" priority="16" operator="between">
      <formula>-2.5</formula>
      <formula>0.01</formula>
    </cfRule>
    <cfRule type="cellIs" dxfId="16" priority="17" operator="lessThan">
      <formula>-2.5</formula>
    </cfRule>
    <cfRule type="cellIs" dxfId="15" priority="18" operator="greaterThan">
      <formula>-0.01</formula>
    </cfRule>
  </conditionalFormatting>
  <conditionalFormatting sqref="F207:L207">
    <cfRule type="cellIs" dxfId="14" priority="7" operator="between">
      <formula>-2.5</formula>
      <formula>0.01</formula>
    </cfRule>
    <cfRule type="cellIs" dxfId="13" priority="8" operator="lessThan">
      <formula>-2.5</formula>
    </cfRule>
    <cfRule type="cellIs" dxfId="12" priority="9" operator="greaterThan">
      <formula>-0.01</formula>
    </cfRule>
  </conditionalFormatting>
  <conditionalFormatting sqref="F235:L235">
    <cfRule type="cellIs" dxfId="11" priority="4" operator="between">
      <formula>-2.5</formula>
      <formula>0.01</formula>
    </cfRule>
    <cfRule type="cellIs" dxfId="10" priority="5" operator="lessThan">
      <formula>-2.5</formula>
    </cfRule>
    <cfRule type="cellIs" dxfId="9" priority="6" operator="greaterThan">
      <formula>-0.01</formula>
    </cfRule>
  </conditionalFormatting>
  <conditionalFormatting sqref="F259:L259">
    <cfRule type="cellIs" dxfId="8" priority="1" operator="between">
      <formula>-2.5</formula>
      <formula>0.01</formula>
    </cfRule>
    <cfRule type="cellIs" dxfId="7" priority="2" operator="lessThan">
      <formula>-2.5</formula>
    </cfRule>
    <cfRule type="cellIs" dxfId="6" priority="3" operator="greaterThan">
      <formula>-0.01</formula>
    </cfRule>
  </conditionalFormatting>
  <conditionalFormatting sqref="I205:I206 E205:E207">
    <cfRule type="cellIs" dxfId="5" priority="10" operator="between">
      <formula>-2.5</formula>
      <formula>0.01</formula>
    </cfRule>
    <cfRule type="cellIs" dxfId="4" priority="11" operator="lessThan">
      <formula>-2.5</formula>
    </cfRule>
    <cfRule type="cellIs" dxfId="3" priority="12" operator="greaterThan">
      <formula>-0.01</formula>
    </cfRule>
  </conditionalFormatting>
  <pageMargins left="0.7" right="0.7" top="0.75" bottom="0.75" header="0.3" footer="0.3"/>
  <pageSetup paperSize="9" scale="63" orientation="portrait" r:id="rId1"/>
  <rowBreaks count="2" manualBreakCount="2">
    <brk id="95" max="16383" man="1"/>
    <brk id="97" max="16383" man="1"/>
  </rowBreaks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V34"/>
  <sheetViews>
    <sheetView workbookViewId="0">
      <selection activeCell="A29" sqref="A29"/>
    </sheetView>
  </sheetViews>
  <sheetFormatPr defaultRowHeight="15" x14ac:dyDescent="0.25"/>
  <cols>
    <col min="1" max="1" width="33.28515625" bestFit="1" customWidth="1"/>
    <col min="2" max="2" width="8" bestFit="1" customWidth="1"/>
    <col min="3" max="4" width="10.7109375" bestFit="1" customWidth="1"/>
    <col min="5" max="8" width="3.28515625" customWidth="1"/>
    <col min="10" max="11" width="10.7109375" bestFit="1" customWidth="1"/>
    <col min="15" max="15" width="13.140625" bestFit="1" customWidth="1"/>
    <col min="21" max="21" width="15.7109375" bestFit="1" customWidth="1"/>
  </cols>
  <sheetData>
    <row r="1" spans="1:22" x14ac:dyDescent="0.25">
      <c r="A1" s="467" t="s">
        <v>116</v>
      </c>
      <c r="B1" s="467"/>
      <c r="C1" s="467"/>
      <c r="J1" s="468" t="s">
        <v>124</v>
      </c>
      <c r="K1" s="468"/>
    </row>
    <row r="2" spans="1:22" x14ac:dyDescent="0.25">
      <c r="A2" s="136"/>
      <c r="B2" s="140">
        <v>45901</v>
      </c>
      <c r="C2" s="140">
        <v>45931</v>
      </c>
      <c r="D2" s="140">
        <v>45962</v>
      </c>
      <c r="J2" t="s">
        <v>120</v>
      </c>
      <c r="K2" t="s">
        <v>121</v>
      </c>
      <c r="O2" s="142" t="s">
        <v>122</v>
      </c>
    </row>
    <row r="3" spans="1:22" x14ac:dyDescent="0.25">
      <c r="A3" s="137" t="s">
        <v>39</v>
      </c>
      <c r="J3" s="2">
        <f ca="1">'Loading Arrival'!B3</f>
        <v>45910</v>
      </c>
      <c r="K3" s="2">
        <f ca="1">EOMONTH(J3,-1)+1</f>
        <v>45901</v>
      </c>
      <c r="O3" s="143" t="s">
        <v>157</v>
      </c>
    </row>
    <row r="4" spans="1:22" x14ac:dyDescent="0.25">
      <c r="A4" t="s">
        <v>40</v>
      </c>
      <c r="B4" s="141">
        <v>-1.5</v>
      </c>
      <c r="C4" s="141">
        <v>-1.5</v>
      </c>
      <c r="D4" s="141">
        <v>-1.5</v>
      </c>
      <c r="J4" s="2">
        <f ca="1">'Loading Arrival'!C3</f>
        <v>45924</v>
      </c>
      <c r="K4" s="2">
        <f t="shared" ref="K4:K8" ca="1" si="0">EOMONTH(J4,-1)+1</f>
        <v>45901</v>
      </c>
      <c r="O4" s="143" t="s">
        <v>158</v>
      </c>
    </row>
    <row r="5" spans="1:22" x14ac:dyDescent="0.25">
      <c r="A5" t="s">
        <v>41</v>
      </c>
      <c r="B5" s="141">
        <f>+B4-5</f>
        <v>-6.5</v>
      </c>
      <c r="C5" s="141">
        <f>+C4-5</f>
        <v>-6.5</v>
      </c>
      <c r="D5" s="141">
        <f>+D4-5</f>
        <v>-6.5</v>
      </c>
      <c r="E5" s="141"/>
      <c r="J5" s="2">
        <f ca="1">'Loading Arrival'!D3</f>
        <v>45938</v>
      </c>
      <c r="K5" s="2">
        <f ca="1">EOMONTH(J5,-1)+1</f>
        <v>45931</v>
      </c>
      <c r="O5" s="143" t="s">
        <v>123</v>
      </c>
    </row>
    <row r="6" spans="1:22" x14ac:dyDescent="0.25">
      <c r="A6" t="s">
        <v>42</v>
      </c>
      <c r="B6" s="141">
        <v>-28</v>
      </c>
      <c r="C6" s="141">
        <v>-28</v>
      </c>
      <c r="D6" s="141">
        <v>-28</v>
      </c>
      <c r="J6" s="2">
        <f ca="1">'Loading Arrival'!B11</f>
        <v>45903</v>
      </c>
      <c r="K6" s="2">
        <f t="shared" ca="1" si="0"/>
        <v>45901</v>
      </c>
    </row>
    <row r="7" spans="1:22" x14ac:dyDescent="0.25">
      <c r="A7" s="138" t="s">
        <v>44</v>
      </c>
      <c r="B7" s="141"/>
      <c r="C7" s="141"/>
      <c r="D7" s="141"/>
      <c r="J7" s="2">
        <f ca="1">'Loading Arrival'!C11</f>
        <v>45917</v>
      </c>
      <c r="K7" s="2">
        <f t="shared" ca="1" si="0"/>
        <v>45901</v>
      </c>
    </row>
    <row r="8" spans="1:22" x14ac:dyDescent="0.25">
      <c r="A8" t="s">
        <v>43</v>
      </c>
      <c r="B8" s="141">
        <v>-59</v>
      </c>
      <c r="C8" s="141">
        <v>-59</v>
      </c>
      <c r="D8" s="141">
        <v>-59</v>
      </c>
      <c r="J8" s="2">
        <f ca="1">'Loading Arrival'!D11</f>
        <v>45931</v>
      </c>
      <c r="K8" s="2">
        <f t="shared" ca="1" si="0"/>
        <v>45931</v>
      </c>
    </row>
    <row r="9" spans="1:22" x14ac:dyDescent="0.25">
      <c r="A9" s="534">
        <v>0.5</v>
      </c>
      <c r="B9" s="141">
        <v>2.6</v>
      </c>
      <c r="C9" s="141">
        <v>2.6</v>
      </c>
      <c r="D9" s="141">
        <v>2.6</v>
      </c>
    </row>
    <row r="10" spans="1:22" x14ac:dyDescent="0.25">
      <c r="A10" s="139" t="s">
        <v>45</v>
      </c>
      <c r="B10" s="141"/>
      <c r="J10" s="468" t="s">
        <v>125</v>
      </c>
      <c r="K10" s="468"/>
    </row>
    <row r="11" spans="1:22" x14ac:dyDescent="0.25">
      <c r="A11" t="s">
        <v>139</v>
      </c>
      <c r="B11" s="141">
        <f>B4-27.67</f>
        <v>-29.17</v>
      </c>
      <c r="C11" s="141">
        <f t="shared" ref="C11:D11" si="1">C4-27.67</f>
        <v>-29.17</v>
      </c>
      <c r="D11" s="141">
        <f t="shared" si="1"/>
        <v>-29.17</v>
      </c>
      <c r="J11" t="s">
        <v>120</v>
      </c>
      <c r="K11" t="s">
        <v>121</v>
      </c>
      <c r="O11" s="142" t="s">
        <v>122</v>
      </c>
    </row>
    <row r="12" spans="1:22" x14ac:dyDescent="0.25">
      <c r="A12" s="1" t="s">
        <v>140</v>
      </c>
      <c r="B12" s="141">
        <f>B11-5</f>
        <v>-34.17</v>
      </c>
      <c r="C12" s="141">
        <f t="shared" ref="C12:D12" si="2">C11-5</f>
        <v>-34.17</v>
      </c>
      <c r="D12" s="141">
        <f t="shared" si="2"/>
        <v>-34.17</v>
      </c>
      <c r="J12" s="2">
        <f ca="1">'Loading Arrival'!B9</f>
        <v>45955</v>
      </c>
      <c r="K12" s="2">
        <f t="shared" ref="K12:K13" ca="1" si="3">EOMONTH(J12,-1)+1</f>
        <v>45931</v>
      </c>
      <c r="O12" s="143" t="s">
        <v>157</v>
      </c>
    </row>
    <row r="13" spans="1:22" x14ac:dyDescent="0.25">
      <c r="A13" s="434" t="s">
        <v>226</v>
      </c>
      <c r="J13" s="2">
        <f ca="1">'Loading Arrival'!C9</f>
        <v>45969</v>
      </c>
      <c r="K13" s="2">
        <f t="shared" ca="1" si="3"/>
        <v>45962</v>
      </c>
      <c r="O13" s="143" t="s">
        <v>158</v>
      </c>
      <c r="T13">
        <v>840</v>
      </c>
    </row>
    <row r="14" spans="1:22" x14ac:dyDescent="0.25">
      <c r="A14" t="s">
        <v>231</v>
      </c>
      <c r="B14">
        <f>0.6*6.35</f>
        <v>3.8099999999999996</v>
      </c>
      <c r="C14">
        <f>1.1*6.35</f>
        <v>6.9850000000000003</v>
      </c>
      <c r="D14">
        <f>1.1*6.35</f>
        <v>6.9850000000000003</v>
      </c>
      <c r="J14" s="2">
        <f ca="1">'Loading Arrival'!B17</f>
        <v>45930</v>
      </c>
      <c r="K14" s="2">
        <f t="shared" ref="K14:K25" ca="1" si="4">EOMONTH(J14,-1)+1</f>
        <v>45901</v>
      </c>
      <c r="O14" s="143" t="s">
        <v>159</v>
      </c>
      <c r="R14" t="s">
        <v>148</v>
      </c>
      <c r="S14" t="s">
        <v>149</v>
      </c>
      <c r="T14" t="s">
        <v>32</v>
      </c>
      <c r="U14" t="s">
        <v>150</v>
      </c>
      <c r="V14" t="s">
        <v>147</v>
      </c>
    </row>
    <row r="15" spans="1:22" x14ac:dyDescent="0.25">
      <c r="A15" t="s">
        <v>232</v>
      </c>
      <c r="B15">
        <f>1.6*6.35</f>
        <v>10.16</v>
      </c>
      <c r="C15">
        <f>1.05*6.35</f>
        <v>6.6674999999999995</v>
      </c>
      <c r="D15">
        <f>0.55*6.35</f>
        <v>3.4925000000000002</v>
      </c>
      <c r="J15" s="2">
        <f ca="1">'Loading Arrival'!C17</f>
        <v>45944</v>
      </c>
      <c r="K15" s="2">
        <f t="shared" ca="1" si="4"/>
        <v>45931</v>
      </c>
      <c r="O15" s="143" t="s">
        <v>123</v>
      </c>
      <c r="R15">
        <v>44745</v>
      </c>
      <c r="S15">
        <v>-31</v>
      </c>
      <c r="T15">
        <v>1008</v>
      </c>
      <c r="U15">
        <f>(T15-T13)*-0.02</f>
        <v>-3.36</v>
      </c>
      <c r="V15">
        <f>U15+S15</f>
        <v>-34.36</v>
      </c>
    </row>
    <row r="16" spans="1:22" x14ac:dyDescent="0.25">
      <c r="A16" s="436" t="s">
        <v>234</v>
      </c>
      <c r="J16" s="2">
        <f ca="1">'Loading Arrival'!D17</f>
        <v>45958</v>
      </c>
      <c r="K16" s="2">
        <f t="shared" ca="1" si="4"/>
        <v>45931</v>
      </c>
      <c r="R16">
        <v>27000</v>
      </c>
      <c r="S16">
        <v>-21.85</v>
      </c>
      <c r="T16">
        <v>418</v>
      </c>
      <c r="U16">
        <f>(T16-T13)*-0.02</f>
        <v>8.44</v>
      </c>
      <c r="V16">
        <f>U16+S16</f>
        <v>-13.410000000000002</v>
      </c>
    </row>
    <row r="17" spans="1:22" x14ac:dyDescent="0.25">
      <c r="A17" t="s">
        <v>235</v>
      </c>
      <c r="J17" s="2">
        <f ca="1">'Loading Arrival'!B26</f>
        <v>45922</v>
      </c>
      <c r="K17" s="2">
        <f t="shared" ca="1" si="4"/>
        <v>45901</v>
      </c>
    </row>
    <row r="18" spans="1:22" x14ac:dyDescent="0.25">
      <c r="A18" t="s">
        <v>236</v>
      </c>
      <c r="J18" s="2">
        <f ca="1">'Loading Arrival'!C26</f>
        <v>45936</v>
      </c>
      <c r="K18" s="2">
        <f t="shared" ca="1" si="4"/>
        <v>45931</v>
      </c>
      <c r="U18" t="s">
        <v>151</v>
      </c>
      <c r="V18" s="141">
        <f>(R15*V15+R16*V16)/SUM(R15:R16)</f>
        <v>-26.47582688689107</v>
      </c>
    </row>
    <row r="19" spans="1:22" x14ac:dyDescent="0.25">
      <c r="J19" s="2">
        <f ca="1">'Loading Arrival'!D26</f>
        <v>45950</v>
      </c>
      <c r="K19" s="2">
        <f t="shared" ca="1" si="4"/>
        <v>45931</v>
      </c>
    </row>
    <row r="20" spans="1:22" x14ac:dyDescent="0.25">
      <c r="A20" s="467" t="s">
        <v>117</v>
      </c>
      <c r="B20" s="467"/>
      <c r="C20" s="467"/>
      <c r="J20" s="2">
        <f ca="1">'Loading Arrival'!B35</f>
        <v>45923</v>
      </c>
      <c r="K20" s="2">
        <f t="shared" ca="1" si="4"/>
        <v>45901</v>
      </c>
    </row>
    <row r="21" spans="1:22" x14ac:dyDescent="0.25">
      <c r="B21" s="140">
        <v>45901</v>
      </c>
      <c r="C21" s="140">
        <v>45931</v>
      </c>
      <c r="D21" s="140">
        <v>45962</v>
      </c>
      <c r="J21" s="2">
        <f ca="1">'Loading Arrival'!C35</f>
        <v>45937</v>
      </c>
      <c r="K21" s="2">
        <f t="shared" ca="1" si="4"/>
        <v>45931</v>
      </c>
    </row>
    <row r="22" spans="1:22" x14ac:dyDescent="0.25">
      <c r="A22" s="137" t="s">
        <v>118</v>
      </c>
      <c r="J22" s="2">
        <f ca="1">'Loading Arrival'!D35</f>
        <v>45951</v>
      </c>
      <c r="K22" s="2">
        <f t="shared" ca="1" si="4"/>
        <v>45931</v>
      </c>
    </row>
    <row r="23" spans="1:22" x14ac:dyDescent="0.25">
      <c r="A23" t="s">
        <v>40</v>
      </c>
      <c r="B23" s="141">
        <v>3</v>
      </c>
      <c r="C23" s="141">
        <v>3</v>
      </c>
      <c r="D23" s="141">
        <v>3</v>
      </c>
      <c r="J23" s="2">
        <f ca="1">'Loading Arrival'!B44</f>
        <v>45915</v>
      </c>
      <c r="K23" s="2">
        <f t="shared" ca="1" si="4"/>
        <v>45901</v>
      </c>
    </row>
    <row r="24" spans="1:22" x14ac:dyDescent="0.25">
      <c r="A24" t="s">
        <v>41</v>
      </c>
      <c r="B24" s="141">
        <f>B23-5</f>
        <v>-2</v>
      </c>
      <c r="C24" s="141">
        <f>C23-5</f>
        <v>-2</v>
      </c>
      <c r="D24" s="141">
        <f>D23-5</f>
        <v>-2</v>
      </c>
      <c r="J24" s="2">
        <f ca="1">'Loading Arrival'!C44</f>
        <v>45929</v>
      </c>
      <c r="K24" s="2">
        <f t="shared" ca="1" si="4"/>
        <v>45901</v>
      </c>
    </row>
    <row r="25" spans="1:22" x14ac:dyDescent="0.25">
      <c r="A25" t="s">
        <v>42</v>
      </c>
      <c r="B25" s="141">
        <v>-5</v>
      </c>
      <c r="C25" s="141">
        <v>-5</v>
      </c>
      <c r="D25" s="141">
        <v>-4</v>
      </c>
      <c r="J25" s="2">
        <f ca="1">'Loading Arrival'!D44</f>
        <v>45943</v>
      </c>
      <c r="K25" s="2">
        <f t="shared" ca="1" si="4"/>
        <v>45931</v>
      </c>
    </row>
    <row r="26" spans="1:22" x14ac:dyDescent="0.25">
      <c r="A26" s="137" t="s">
        <v>119</v>
      </c>
      <c r="B26" s="141"/>
      <c r="C26" s="141"/>
      <c r="S26" t="s">
        <v>227</v>
      </c>
    </row>
    <row r="27" spans="1:22" x14ac:dyDescent="0.25">
      <c r="A27" t="s">
        <v>43</v>
      </c>
      <c r="B27" s="141">
        <v>-35</v>
      </c>
      <c r="C27" s="141">
        <f>B27</f>
        <v>-35</v>
      </c>
      <c r="D27" s="141">
        <f>C27</f>
        <v>-35</v>
      </c>
      <c r="S27" t="s">
        <v>233</v>
      </c>
    </row>
    <row r="28" spans="1:22" ht="14.25" customHeight="1" x14ac:dyDescent="0.25">
      <c r="A28" s="534">
        <v>0.5</v>
      </c>
      <c r="B28" s="141">
        <v>0.28999999999999998</v>
      </c>
      <c r="C28" s="141">
        <v>0.28999999999999998</v>
      </c>
      <c r="D28" s="141">
        <v>0.28999999999999998</v>
      </c>
      <c r="P28" t="s">
        <v>228</v>
      </c>
    </row>
    <row r="29" spans="1:22" x14ac:dyDescent="0.25">
      <c r="A29" s="434" t="s">
        <v>226</v>
      </c>
      <c r="B29" s="141"/>
      <c r="P29">
        <v>3</v>
      </c>
      <c r="Q29">
        <v>0.5</v>
      </c>
    </row>
    <row r="30" spans="1:22" x14ac:dyDescent="0.25">
      <c r="A30" t="s">
        <v>231</v>
      </c>
      <c r="B30">
        <f>0.6*6.35</f>
        <v>3.8099999999999996</v>
      </c>
      <c r="C30">
        <f>1.1*6.35</f>
        <v>6.9850000000000003</v>
      </c>
      <c r="D30">
        <f>0.65*6.35</f>
        <v>4.1274999999999995</v>
      </c>
    </row>
    <row r="31" spans="1:22" x14ac:dyDescent="0.25">
      <c r="A31" t="s">
        <v>232</v>
      </c>
      <c r="B31">
        <v>2.54</v>
      </c>
      <c r="C31">
        <v>2.54</v>
      </c>
      <c r="D31">
        <v>2.54</v>
      </c>
    </row>
    <row r="32" spans="1:22" x14ac:dyDescent="0.25">
      <c r="A32" s="436" t="s">
        <v>234</v>
      </c>
    </row>
    <row r="33" spans="1:4" x14ac:dyDescent="0.25">
      <c r="A33" t="s">
        <v>235</v>
      </c>
      <c r="B33">
        <v>-8.5</v>
      </c>
      <c r="C33">
        <v>-7.75</v>
      </c>
      <c r="D33">
        <v>7.75</v>
      </c>
    </row>
    <row r="34" spans="1:4" x14ac:dyDescent="0.25">
      <c r="A34" t="s">
        <v>236</v>
      </c>
      <c r="B34">
        <v>0</v>
      </c>
      <c r="C34">
        <v>0</v>
      </c>
      <c r="D34">
        <v>0</v>
      </c>
    </row>
  </sheetData>
  <mergeCells count="4">
    <mergeCell ref="A1:C1"/>
    <mergeCell ref="A20:C20"/>
    <mergeCell ref="J1:K1"/>
    <mergeCell ref="J10:K10"/>
  </mergeCells>
  <pageMargins left="0.7" right="0.7" top="0.75" bottom="0.75" header="0.3" footer="0.3"/>
  <pageSetup paperSize="9" orientation="portrait" verticalDpi="0" r:id="rId3"/>
  <customProperties>
    <customPr name="_pios_id" r:id="rId4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F14"/>
  <sheetViews>
    <sheetView workbookViewId="0">
      <selection activeCell="L29" sqref="L29"/>
    </sheetView>
  </sheetViews>
  <sheetFormatPr defaultRowHeight="15" x14ac:dyDescent="0.25"/>
  <cols>
    <col min="1" max="1" width="24.85546875" bestFit="1" customWidth="1"/>
    <col min="2" max="2" width="14.28515625" bestFit="1" customWidth="1"/>
    <col min="4" max="4" width="8.42578125" bestFit="1" customWidth="1"/>
    <col min="5" max="5" width="11.140625" customWidth="1"/>
    <col min="18" max="18" width="29.42578125" bestFit="1" customWidth="1"/>
    <col min="19" max="19" width="11.7109375" bestFit="1" customWidth="1"/>
  </cols>
  <sheetData>
    <row r="1" spans="1:6" ht="15.75" thickBot="1" x14ac:dyDescent="0.3">
      <c r="A1" s="87" t="s">
        <v>67</v>
      </c>
      <c r="B1" s="88" t="s">
        <v>68</v>
      </c>
      <c r="C1" s="89"/>
      <c r="D1" s="97" t="s">
        <v>69</v>
      </c>
      <c r="E1" s="90" t="s">
        <v>70</v>
      </c>
      <c r="F1" s="90" t="s">
        <v>59</v>
      </c>
    </row>
    <row r="2" spans="1:6" x14ac:dyDescent="0.25">
      <c r="A2" s="101" t="s">
        <v>76</v>
      </c>
      <c r="B2" s="209">
        <v>4200000</v>
      </c>
      <c r="C2" s="222"/>
      <c r="D2" s="98">
        <f>B2/100000</f>
        <v>42</v>
      </c>
      <c r="E2" s="91">
        <v>42500</v>
      </c>
      <c r="F2" s="92">
        <v>0</v>
      </c>
    </row>
    <row r="3" spans="1:6" x14ac:dyDescent="0.25">
      <c r="A3" s="101" t="s">
        <v>77</v>
      </c>
      <c r="B3" s="207">
        <v>4900000</v>
      </c>
      <c r="C3" s="223"/>
      <c r="D3" s="98">
        <f>B3/150000</f>
        <v>32.666666666666664</v>
      </c>
      <c r="E3" s="91">
        <v>57500</v>
      </c>
      <c r="F3" s="92">
        <v>0</v>
      </c>
    </row>
    <row r="4" spans="1:6" x14ac:dyDescent="0.25">
      <c r="A4" s="101" t="s">
        <v>78</v>
      </c>
      <c r="B4" s="207">
        <v>4600000</v>
      </c>
      <c r="C4" s="223"/>
      <c r="D4" s="98">
        <f>B4/100000</f>
        <v>46</v>
      </c>
      <c r="E4" s="91">
        <v>42500</v>
      </c>
      <c r="F4" s="92">
        <v>0</v>
      </c>
    </row>
    <row r="5" spans="1:6" x14ac:dyDescent="0.25">
      <c r="A5" s="101" t="s">
        <v>79</v>
      </c>
      <c r="B5" s="207">
        <v>5100000</v>
      </c>
      <c r="C5" s="223"/>
      <c r="D5" s="98">
        <f>B5/150000</f>
        <v>34</v>
      </c>
      <c r="E5" s="91">
        <v>57500</v>
      </c>
      <c r="F5" s="92">
        <v>0</v>
      </c>
    </row>
    <row r="6" spans="1:6" x14ac:dyDescent="0.25">
      <c r="A6" s="101" t="s">
        <v>80</v>
      </c>
      <c r="B6" s="207">
        <v>5600000</v>
      </c>
      <c r="C6" s="223"/>
      <c r="D6" s="98">
        <f>B6/270000</f>
        <v>20.74074074074074</v>
      </c>
      <c r="E6" s="91">
        <v>55000</v>
      </c>
      <c r="F6" s="92" t="s">
        <v>71</v>
      </c>
    </row>
    <row r="7" spans="1:6" x14ac:dyDescent="0.25">
      <c r="A7" s="207"/>
      <c r="B7" s="207"/>
      <c r="C7" s="223"/>
      <c r="D7" s="99"/>
      <c r="E7" s="91"/>
      <c r="F7" s="93"/>
    </row>
    <row r="8" spans="1:6" x14ac:dyDescent="0.25">
      <c r="A8" s="101" t="s">
        <v>72</v>
      </c>
      <c r="B8" s="207">
        <v>3700000</v>
      </c>
      <c r="C8" s="223"/>
      <c r="D8" s="98">
        <f>B8/100000</f>
        <v>37</v>
      </c>
      <c r="E8" s="91">
        <v>42500</v>
      </c>
      <c r="F8" s="94">
        <v>0</v>
      </c>
    </row>
    <row r="9" spans="1:6" x14ac:dyDescent="0.25">
      <c r="A9" s="101" t="s">
        <v>73</v>
      </c>
      <c r="B9" s="207">
        <v>4600000</v>
      </c>
      <c r="C9" s="223"/>
      <c r="D9" s="98">
        <f>B9/150000</f>
        <v>30.666666666666668</v>
      </c>
      <c r="E9" s="91">
        <v>57000</v>
      </c>
      <c r="F9" s="94">
        <v>0</v>
      </c>
    </row>
    <row r="10" spans="1:6" x14ac:dyDescent="0.25">
      <c r="A10" s="101" t="s">
        <v>74</v>
      </c>
      <c r="B10" s="207">
        <v>4300000</v>
      </c>
      <c r="C10" s="223"/>
      <c r="D10" s="98">
        <f>B10/100000</f>
        <v>43</v>
      </c>
      <c r="E10" s="91">
        <v>42500</v>
      </c>
      <c r="F10" s="94">
        <v>0</v>
      </c>
    </row>
    <row r="11" spans="1:6" x14ac:dyDescent="0.25">
      <c r="A11" s="101" t="s">
        <v>75</v>
      </c>
      <c r="B11" s="207">
        <v>4800000</v>
      </c>
      <c r="C11" s="223"/>
      <c r="D11" s="98">
        <f>B11/150000</f>
        <v>32</v>
      </c>
      <c r="E11" s="91">
        <v>57500</v>
      </c>
      <c r="F11" s="94">
        <v>0</v>
      </c>
    </row>
    <row r="12" spans="1:6" x14ac:dyDescent="0.25">
      <c r="A12" s="101"/>
      <c r="B12" s="207"/>
      <c r="C12" s="223"/>
      <c r="D12" s="98"/>
      <c r="E12" s="91"/>
      <c r="F12" s="94"/>
    </row>
    <row r="13" spans="1:6" x14ac:dyDescent="0.25">
      <c r="A13" s="101" t="s">
        <v>216</v>
      </c>
      <c r="B13" s="207">
        <v>1747200</v>
      </c>
      <c r="C13" s="223"/>
      <c r="D13" s="98">
        <f>B13/100000</f>
        <v>17.472000000000001</v>
      </c>
      <c r="E13" s="91">
        <v>42500</v>
      </c>
      <c r="F13" s="94"/>
    </row>
    <row r="14" spans="1:6" ht="15.75" thickBot="1" x14ac:dyDescent="0.3">
      <c r="A14" s="102" t="s">
        <v>217</v>
      </c>
      <c r="B14" s="208">
        <v>4258800</v>
      </c>
      <c r="C14" s="224"/>
      <c r="D14" s="100">
        <f>B14/150000</f>
        <v>28.391999999999999</v>
      </c>
      <c r="E14" s="95">
        <v>57500</v>
      </c>
      <c r="F14" s="96"/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44"/>
  <sheetViews>
    <sheetView workbookViewId="0">
      <selection activeCell="L27" sqref="L27"/>
    </sheetView>
  </sheetViews>
  <sheetFormatPr defaultRowHeight="15" x14ac:dyDescent="0.25"/>
  <cols>
    <col min="1" max="1" width="15.42578125" customWidth="1"/>
    <col min="2" max="3" width="10.7109375" bestFit="1" customWidth="1"/>
    <col min="4" max="4" width="10.85546875" customWidth="1"/>
    <col min="6" max="6" width="15.42578125" bestFit="1" customWidth="1"/>
    <col min="7" max="9" width="10.140625" bestFit="1" customWidth="1"/>
  </cols>
  <sheetData>
    <row r="1" spans="1:9" ht="16.5" thickBot="1" x14ac:dyDescent="0.3">
      <c r="A1" s="484" t="s">
        <v>52</v>
      </c>
      <c r="B1" s="485"/>
      <c r="C1" s="485"/>
      <c r="D1" s="486"/>
      <c r="F1" s="469" t="s">
        <v>215</v>
      </c>
      <c r="G1" s="470"/>
      <c r="H1" s="470"/>
      <c r="I1" s="471"/>
    </row>
    <row r="2" spans="1:9" x14ac:dyDescent="0.25">
      <c r="A2" s="32"/>
      <c r="B2" s="33" t="s">
        <v>47</v>
      </c>
      <c r="C2" s="33" t="s">
        <v>48</v>
      </c>
      <c r="D2" s="34" t="s">
        <v>49</v>
      </c>
      <c r="F2" s="429"/>
      <c r="G2" s="430" t="s">
        <v>47</v>
      </c>
      <c r="H2" s="431" t="s">
        <v>48</v>
      </c>
      <c r="I2" s="432" t="s">
        <v>49</v>
      </c>
    </row>
    <row r="3" spans="1:9" x14ac:dyDescent="0.25">
      <c r="A3" s="496" t="s">
        <v>46</v>
      </c>
      <c r="B3" s="23">
        <f ca="1">TODAY()+14</f>
        <v>45910</v>
      </c>
      <c r="C3" s="24">
        <f ca="1">B3+14</f>
        <v>45924</v>
      </c>
      <c r="D3" s="25">
        <f ca="1">C3+14</f>
        <v>45938</v>
      </c>
      <c r="F3" s="472" t="s">
        <v>50</v>
      </c>
      <c r="G3" s="417">
        <f ca="1">TODAY()+7</f>
        <v>45903</v>
      </c>
      <c r="H3" s="418">
        <f ca="1">G3+14</f>
        <v>45917</v>
      </c>
      <c r="I3" s="419">
        <f ca="1">H3+14</f>
        <v>45931</v>
      </c>
    </row>
    <row r="4" spans="1:9" x14ac:dyDescent="0.25">
      <c r="A4" s="496"/>
      <c r="B4" s="26">
        <f ca="1">B5-B3</f>
        <v>21</v>
      </c>
      <c r="C4" s="27">
        <f ca="1">C5-C3</f>
        <v>7</v>
      </c>
      <c r="D4" s="28">
        <f ca="1">D5-D3</f>
        <v>24</v>
      </c>
      <c r="F4" s="473"/>
      <c r="G4" s="420">
        <f ca="1">G5-G3</f>
        <v>28</v>
      </c>
      <c r="H4" s="421">
        <f ca="1">H5-H3</f>
        <v>14</v>
      </c>
      <c r="I4" s="422">
        <f ca="1">I5-I3</f>
        <v>31</v>
      </c>
    </row>
    <row r="5" spans="1:9" x14ac:dyDescent="0.25">
      <c r="A5" s="496"/>
      <c r="B5" s="29">
        <f ca="1">EOMONTH(B3,0)+1</f>
        <v>45931</v>
      </c>
      <c r="C5" s="30">
        <f ca="1">EOMONTH(C3,0)+1</f>
        <v>45931</v>
      </c>
      <c r="D5" s="31">
        <f ca="1">EOMONTH(D3,0)+1</f>
        <v>45962</v>
      </c>
      <c r="F5" s="473"/>
      <c r="G5" s="423">
        <f ca="1">EOMONTH(G3,0)+1</f>
        <v>45931</v>
      </c>
      <c r="H5" s="424">
        <f ca="1">EOMONTH(H3,0)+1</f>
        <v>45931</v>
      </c>
      <c r="I5" s="425">
        <f ca="1">EOMONTH(I3,0)+1</f>
        <v>45962</v>
      </c>
    </row>
    <row r="6" spans="1:9" x14ac:dyDescent="0.25">
      <c r="A6" s="496"/>
      <c r="B6" s="26">
        <f ca="1">IF(45-B4&gt;_xlfn.NUMBERVALUE(DAY(EOMONTH(B5,0))),_xlfn.NUMBERVALUE(DAY(EOMONTH(B5,0))),45-B4)</f>
        <v>24</v>
      </c>
      <c r="C6" s="27">
        <f ca="1">IF(45-C4&gt;_xlfn.NUMBERVALUE(DAY(EOMONTH(C5,0))),_xlfn.NUMBERVALUE(DAY(EOMONTH(C5,0))),45-C4)</f>
        <v>31</v>
      </c>
      <c r="D6" s="28">
        <f ca="1">IF(45-D4&gt;_xlfn.NUMBERVALUE(DAY(EOMONTH(D5,0))),_xlfn.NUMBERVALUE(DAY(EOMONTH(D5,0))),45-D4)</f>
        <v>21</v>
      </c>
      <c r="F6" s="473"/>
      <c r="G6" s="420">
        <f ca="1">IF(15-G4&gt;_xlfn.NUMBERVALUE(DAY(EOMONTH(G5,0))),_xlfn.NUMBERVALUE(DAY(EOMONTH(G5,0))),15-G4)</f>
        <v>-13</v>
      </c>
      <c r="H6" s="420">
        <f ca="1">IF(15-H4&gt;_xlfn.NUMBERVALUE(DAY(EOMONTH(H5,0))),_xlfn.NUMBERVALUE(DAY(EOMONTH(H5,0))),15-H4)</f>
        <v>1</v>
      </c>
      <c r="I6" s="420">
        <f ca="1">IF(15-I4&gt;_xlfn.NUMBERVALUE(DAY(EOMONTH(I5,0))),_xlfn.NUMBERVALUE(DAY(EOMONTH(I5,0))),15-I4)</f>
        <v>-16</v>
      </c>
    </row>
    <row r="7" spans="1:9" x14ac:dyDescent="0.25">
      <c r="A7" s="496"/>
      <c r="B7" s="29">
        <f ca="1">B5+B6</f>
        <v>45955</v>
      </c>
      <c r="C7" s="30">
        <f ca="1">C5+C6</f>
        <v>45962</v>
      </c>
      <c r="D7" s="31">
        <f ca="1">D5+D6</f>
        <v>45983</v>
      </c>
      <c r="F7" s="473"/>
      <c r="G7" s="423">
        <f ca="1">G5+G6</f>
        <v>45918</v>
      </c>
      <c r="H7" s="424">
        <f ca="1">H5+H6</f>
        <v>45932</v>
      </c>
      <c r="I7" s="425">
        <f ca="1">I5+I6</f>
        <v>45946</v>
      </c>
    </row>
    <row r="8" spans="1:9" x14ac:dyDescent="0.25">
      <c r="A8" s="496"/>
      <c r="B8" s="26">
        <f ca="1">IF(45-B4&gt;_xlfn.NUMBERVALUE(DAY(EOMONTH(B5,0))),45-B4-B6,0)</f>
        <v>0</v>
      </c>
      <c r="C8" s="27">
        <f ca="1">IF(45-C4&gt;_xlfn.NUMBERVALUE(DAY(EOMONTH(C5,0))),45-C4-C6,0)</f>
        <v>7</v>
      </c>
      <c r="D8" s="28">
        <f ca="1">IF(45-D4&gt;_xlfn.NUMBERVALUE(DAY(EOMONTH(D5,0))),45-D4-D6,0)</f>
        <v>0</v>
      </c>
      <c r="F8" s="473"/>
      <c r="G8" s="420">
        <f ca="1">IF(15-G4&gt;_xlfn.NUMBERVALUE(DAY(EOMONTH(G5,0))),15-G4-G6,0)</f>
        <v>0</v>
      </c>
      <c r="H8" s="420">
        <f ca="1">IF(15-H4&gt;_xlfn.NUMBERVALUE(DAY(EOMONTH(H5,0))),15-H4-H6,0)</f>
        <v>0</v>
      </c>
      <c r="I8" s="420">
        <f ca="1">IF(15-I4&gt;_xlfn.NUMBERVALUE(DAY(EOMONTH(I5,0))),15-I4-I6,0)</f>
        <v>0</v>
      </c>
    </row>
    <row r="9" spans="1:9" ht="15.75" thickBot="1" x14ac:dyDescent="0.3">
      <c r="A9" s="497"/>
      <c r="B9" s="29">
        <f ca="1">B7+B8</f>
        <v>45955</v>
      </c>
      <c r="C9" s="30">
        <f ca="1">C7+C8</f>
        <v>45969</v>
      </c>
      <c r="D9" s="31">
        <f ca="1">D7+D8</f>
        <v>45983</v>
      </c>
      <c r="F9" s="474"/>
      <c r="G9" s="426">
        <f ca="1">G7+G8</f>
        <v>45918</v>
      </c>
      <c r="H9" s="427">
        <f ca="1">H7+H8</f>
        <v>45932</v>
      </c>
      <c r="I9" s="428">
        <f ca="1">I7+I8</f>
        <v>45946</v>
      </c>
    </row>
    <row r="10" spans="1:9" x14ac:dyDescent="0.25">
      <c r="A10" s="35"/>
      <c r="B10" s="36" t="s">
        <v>47</v>
      </c>
      <c r="C10" s="37" t="s">
        <v>48</v>
      </c>
      <c r="D10" s="38" t="s">
        <v>49</v>
      </c>
    </row>
    <row r="11" spans="1:9" x14ac:dyDescent="0.25">
      <c r="A11" s="498" t="s">
        <v>50</v>
      </c>
      <c r="B11" s="51">
        <f ca="1">TODAY()+7</f>
        <v>45903</v>
      </c>
      <c r="C11" s="52">
        <f ca="1">B11+14</f>
        <v>45917</v>
      </c>
      <c r="D11" s="53">
        <f ca="1">C11+14</f>
        <v>45931</v>
      </c>
    </row>
    <row r="12" spans="1:9" x14ac:dyDescent="0.25">
      <c r="A12" s="499"/>
      <c r="B12" s="54">
        <f ca="1">B13-B11</f>
        <v>28</v>
      </c>
      <c r="C12" s="55">
        <f ca="1">C13-C11</f>
        <v>14</v>
      </c>
      <c r="D12" s="56">
        <f ca="1">D13-D11</f>
        <v>31</v>
      </c>
    </row>
    <row r="13" spans="1:9" x14ac:dyDescent="0.25">
      <c r="A13" s="499"/>
      <c r="B13" s="57">
        <f ca="1">EOMONTH(B11,0)+1</f>
        <v>45931</v>
      </c>
      <c r="C13" s="58">
        <f ca="1">EOMONTH(C11,0)+1</f>
        <v>45931</v>
      </c>
      <c r="D13" s="59">
        <f ca="1">EOMONTH(D11,0)+1</f>
        <v>45962</v>
      </c>
    </row>
    <row r="14" spans="1:9" x14ac:dyDescent="0.25">
      <c r="A14" s="499"/>
      <c r="B14" s="54">
        <f ca="1">IF(27-B12&gt;_xlfn.NUMBERVALUE(DAY(EOMONTH(B13,0))),_xlfn.NUMBERVALUE(DAY(EOMONTH(B13,0))),27-B12)</f>
        <v>-1</v>
      </c>
      <c r="C14" s="55">
        <f ca="1">IF(27-C12&gt;_xlfn.NUMBERVALUE(DAY(EOMONTH(C13,0))),_xlfn.NUMBERVALUE(DAY(EOMONTH(C13,0))),27-C12)</f>
        <v>13</v>
      </c>
      <c r="D14" s="56">
        <f ca="1">IF(27-D12&gt;_xlfn.NUMBERVALUE(DAY(EOMONTH(D13,0))),_xlfn.NUMBERVALUE(DAY(EOMONTH(D13,0))),27-D12)</f>
        <v>-4</v>
      </c>
    </row>
    <row r="15" spans="1:9" x14ac:dyDescent="0.25">
      <c r="A15" s="499"/>
      <c r="B15" s="57">
        <f ca="1">B13+B14</f>
        <v>45930</v>
      </c>
      <c r="C15" s="58">
        <f ca="1">C13+C14</f>
        <v>45944</v>
      </c>
      <c r="D15" s="59">
        <f ca="1">D13+D14</f>
        <v>45958</v>
      </c>
      <c r="H15" s="363"/>
    </row>
    <row r="16" spans="1:9" x14ac:dyDescent="0.25">
      <c r="A16" s="499"/>
      <c r="B16" s="54">
        <f ca="1">IF(27-B12&gt;_xlfn.NUMBERVALUE(DAY(EOMONTH(B13,0))),30-B12-B14,0)</f>
        <v>0</v>
      </c>
      <c r="C16" s="55">
        <f ca="1">IF(27-C12&gt;_xlfn.NUMBERVALUE(DAY(EOMONTH(C13,0))),27-C12-C14,0)</f>
        <v>0</v>
      </c>
      <c r="D16" s="56">
        <f ca="1">IF(27-D12&gt;_xlfn.NUMBERVALUE(DAY(EOMONTH(D13,0))),27-D12-D14,0)</f>
        <v>0</v>
      </c>
    </row>
    <row r="17" spans="1:4" ht="15.75" thickBot="1" x14ac:dyDescent="0.3">
      <c r="A17" s="500"/>
      <c r="B17" s="60">
        <f ca="1">B15+B16</f>
        <v>45930</v>
      </c>
      <c r="C17" s="61">
        <f ca="1">C15+C16</f>
        <v>45944</v>
      </c>
      <c r="D17" s="62">
        <f ca="1">D15+D16</f>
        <v>45958</v>
      </c>
    </row>
    <row r="18" spans="1:4" ht="16.5" thickBot="1" x14ac:dyDescent="0.3">
      <c r="A18" s="487" t="s">
        <v>51</v>
      </c>
      <c r="B18" s="488"/>
      <c r="C18" s="488"/>
      <c r="D18" s="489"/>
    </row>
    <row r="19" spans="1:4" x14ac:dyDescent="0.25">
      <c r="A19" s="63"/>
      <c r="B19" s="64" t="s">
        <v>47</v>
      </c>
      <c r="C19" s="65" t="s">
        <v>48</v>
      </c>
      <c r="D19" s="66" t="s">
        <v>49</v>
      </c>
    </row>
    <row r="20" spans="1:4" x14ac:dyDescent="0.25">
      <c r="A20" s="475" t="s">
        <v>50</v>
      </c>
      <c r="B20" s="67">
        <f ca="1">TODAY()+7</f>
        <v>45903</v>
      </c>
      <c r="C20" s="68">
        <f ca="1">B20+14</f>
        <v>45917</v>
      </c>
      <c r="D20" s="69">
        <f ca="1">C20+14</f>
        <v>45931</v>
      </c>
    </row>
    <row r="21" spans="1:4" x14ac:dyDescent="0.25">
      <c r="A21" s="476"/>
      <c r="B21" s="70">
        <f ca="1">B22-B20</f>
        <v>28</v>
      </c>
      <c r="C21" s="39">
        <f ca="1">C22-C20</f>
        <v>14</v>
      </c>
      <c r="D21" s="40">
        <f ca="1">D22-D20</f>
        <v>31</v>
      </c>
    </row>
    <row r="22" spans="1:4" x14ac:dyDescent="0.25">
      <c r="A22" s="476"/>
      <c r="B22" s="71">
        <f ca="1">EOMONTH(B20,0)+1</f>
        <v>45931</v>
      </c>
      <c r="C22" s="41">
        <f ca="1">EOMONTH(C20,0)+1</f>
        <v>45931</v>
      </c>
      <c r="D22" s="42">
        <f ca="1">EOMONTH(D20,0)+1</f>
        <v>45962</v>
      </c>
    </row>
    <row r="23" spans="1:4" x14ac:dyDescent="0.25">
      <c r="A23" s="476"/>
      <c r="B23" s="70">
        <f ca="1">IF(19-B21&gt;_xlfn.NUMBERVALUE(DAY(EOMONTH(B22,0))),_xlfn.NUMBERVALUE(DAY(EOMONTH(B22,0))),19-B21)</f>
        <v>-9</v>
      </c>
      <c r="C23" s="39">
        <f ca="1">IF(19-C21&gt;_xlfn.NUMBERVALUE(DAY(EOMONTH(C22,0))),_xlfn.NUMBERVALUE(DAY(EOMONTH(C22,0))),19-C21)</f>
        <v>5</v>
      </c>
      <c r="D23" s="40">
        <f ca="1">IF(19-D21&gt;_xlfn.NUMBERVALUE(DAY(EOMONTH(D22,0))),_xlfn.NUMBERVALUE(DAY(EOMONTH(D22,0))),19-D21)</f>
        <v>-12</v>
      </c>
    </row>
    <row r="24" spans="1:4" x14ac:dyDescent="0.25">
      <c r="A24" s="476"/>
      <c r="B24" s="71">
        <f ca="1">B22+B23</f>
        <v>45922</v>
      </c>
      <c r="C24" s="41">
        <f ca="1">C22+C23</f>
        <v>45936</v>
      </c>
      <c r="D24" s="42">
        <f ca="1">D22+D23</f>
        <v>45950</v>
      </c>
    </row>
    <row r="25" spans="1:4" x14ac:dyDescent="0.25">
      <c r="A25" s="476"/>
      <c r="B25" s="70">
        <f ca="1">IF(19-B21&gt;_xlfn.NUMBERVALUE(DAY(EOMONTH(B22,0))),19-B21-B23,0)</f>
        <v>0</v>
      </c>
      <c r="C25" s="39">
        <f ca="1">IF(19-C21&gt;_xlfn.NUMBERVALUE(DAY(EOMONTH(C22,0))),19-C21-C23,0)</f>
        <v>0</v>
      </c>
      <c r="D25" s="40">
        <f ca="1">IF(19-D21&gt;_xlfn.NUMBERVALUE(DAY(EOMONTH(D22,0))),19-D21-D23,0)</f>
        <v>0</v>
      </c>
    </row>
    <row r="26" spans="1:4" ht="15.75" thickBot="1" x14ac:dyDescent="0.3">
      <c r="A26" s="477"/>
      <c r="B26" s="72">
        <f ca="1">B24+B25</f>
        <v>45922</v>
      </c>
      <c r="C26" s="43">
        <f ca="1">C24+C25</f>
        <v>45936</v>
      </c>
      <c r="D26" s="44">
        <f ca="1">D24+D25</f>
        <v>45950</v>
      </c>
    </row>
    <row r="27" spans="1:4" ht="16.5" thickBot="1" x14ac:dyDescent="0.3">
      <c r="A27" s="490" t="s">
        <v>54</v>
      </c>
      <c r="B27" s="491"/>
      <c r="C27" s="491"/>
      <c r="D27" s="492"/>
    </row>
    <row r="28" spans="1:4" x14ac:dyDescent="0.25">
      <c r="A28" s="73"/>
      <c r="B28" s="74" t="s">
        <v>47</v>
      </c>
      <c r="C28" s="75" t="s">
        <v>48</v>
      </c>
      <c r="D28" s="76" t="s">
        <v>49</v>
      </c>
    </row>
    <row r="29" spans="1:4" x14ac:dyDescent="0.25">
      <c r="A29" s="478" t="s">
        <v>50</v>
      </c>
      <c r="B29" s="17">
        <f ca="1">TODAY()+7</f>
        <v>45903</v>
      </c>
      <c r="C29" s="18">
        <f ca="1">B29+14</f>
        <v>45917</v>
      </c>
      <c r="D29" s="19">
        <f ca="1">C29+14</f>
        <v>45931</v>
      </c>
    </row>
    <row r="30" spans="1:4" x14ac:dyDescent="0.25">
      <c r="A30" s="479"/>
      <c r="B30" s="11">
        <f ca="1">B31-B29</f>
        <v>28</v>
      </c>
      <c r="C30" s="12">
        <f ca="1">C31-C29</f>
        <v>14</v>
      </c>
      <c r="D30" s="13">
        <f ca="1">D31-D29</f>
        <v>31</v>
      </c>
    </row>
    <row r="31" spans="1:4" x14ac:dyDescent="0.25">
      <c r="A31" s="479"/>
      <c r="B31" s="14">
        <f ca="1">EOMONTH(B29,0)+1</f>
        <v>45931</v>
      </c>
      <c r="C31" s="15">
        <f ca="1">EOMONTH(C29,0)+1</f>
        <v>45931</v>
      </c>
      <c r="D31" s="16">
        <f ca="1">EOMONTH(D29,0)+1</f>
        <v>45962</v>
      </c>
    </row>
    <row r="32" spans="1:4" x14ac:dyDescent="0.25">
      <c r="A32" s="479"/>
      <c r="B32" s="11">
        <f ca="1">IF(20-B30&gt;_xlfn.NUMBERVALUE(DAY(EOMONTH(B31,0))),_xlfn.NUMBERVALUE(DAY(EOMONTH(B31,0))),20-B30)</f>
        <v>-8</v>
      </c>
      <c r="C32" s="12">
        <f ca="1">IF(20-C30&gt;_xlfn.NUMBERVALUE(DAY(EOMONTH(C31,0))),_xlfn.NUMBERVALUE(DAY(EOMONTH(C31,0))),20-C30)</f>
        <v>6</v>
      </c>
      <c r="D32" s="13">
        <f ca="1">IF(20-D30&gt;_xlfn.NUMBERVALUE(DAY(EOMONTH(D31,0))),_xlfn.NUMBERVALUE(DAY(EOMONTH(D31,0))),20-D30)</f>
        <v>-11</v>
      </c>
    </row>
    <row r="33" spans="1:4" x14ac:dyDescent="0.25">
      <c r="A33" s="479"/>
      <c r="B33" s="14">
        <f ca="1">B31+B32</f>
        <v>45923</v>
      </c>
      <c r="C33" s="15">
        <f ca="1">C31+C32</f>
        <v>45937</v>
      </c>
      <c r="D33" s="16">
        <f ca="1">D31+D32</f>
        <v>45951</v>
      </c>
    </row>
    <row r="34" spans="1:4" x14ac:dyDescent="0.25">
      <c r="A34" s="479"/>
      <c r="B34" s="11">
        <f ca="1">IF(20-B30&gt;_xlfn.NUMBERVALUE(DAY(EOMONTH(B31,0))),20-B30-B32,0)</f>
        <v>0</v>
      </c>
      <c r="C34" s="12">
        <f ca="1">IF(20-C30&gt;_xlfn.NUMBERVALUE(DAY(EOMONTH(C31,0))),20-C30-C32,0)</f>
        <v>0</v>
      </c>
      <c r="D34" s="13">
        <f ca="1">IF(20-D30&gt;_xlfn.NUMBERVALUE(DAY(EOMONTH(D31,0))),20-D30-D32,0)</f>
        <v>0</v>
      </c>
    </row>
    <row r="35" spans="1:4" ht="15.75" thickBot="1" x14ac:dyDescent="0.3">
      <c r="A35" s="480"/>
      <c r="B35" s="20">
        <f ca="1">B33+B34</f>
        <v>45923</v>
      </c>
      <c r="C35" s="21">
        <f ca="1">C33+C34</f>
        <v>45937</v>
      </c>
      <c r="D35" s="22">
        <f ca="1">D33+D34</f>
        <v>45951</v>
      </c>
    </row>
    <row r="36" spans="1:4" ht="16.5" thickBot="1" x14ac:dyDescent="0.3">
      <c r="A36" s="493" t="s">
        <v>53</v>
      </c>
      <c r="B36" s="494"/>
      <c r="C36" s="494"/>
      <c r="D36" s="495"/>
    </row>
    <row r="37" spans="1:4" x14ac:dyDescent="0.25">
      <c r="A37" s="83"/>
      <c r="B37" s="84" t="s">
        <v>47</v>
      </c>
      <c r="C37" s="85" t="s">
        <v>48</v>
      </c>
      <c r="D37" s="86" t="s">
        <v>49</v>
      </c>
    </row>
    <row r="38" spans="1:4" x14ac:dyDescent="0.25">
      <c r="A38" s="481" t="s">
        <v>50</v>
      </c>
      <c r="B38" s="77">
        <f ca="1">TODAY()+7</f>
        <v>45903</v>
      </c>
      <c r="C38" s="78">
        <f ca="1">B38+14</f>
        <v>45917</v>
      </c>
      <c r="D38" s="79">
        <f ca="1">C38+14</f>
        <v>45931</v>
      </c>
    </row>
    <row r="39" spans="1:4" x14ac:dyDescent="0.25">
      <c r="A39" s="482"/>
      <c r="B39" s="80">
        <f ca="1">B40-B38</f>
        <v>12</v>
      </c>
      <c r="C39" s="45">
        <f ca="1">IF(C40-C38&gt;12,12,C40-C38)</f>
        <v>12</v>
      </c>
      <c r="D39" s="46">
        <f ca="1">D40-D38</f>
        <v>12</v>
      </c>
    </row>
    <row r="40" spans="1:4" x14ac:dyDescent="0.25">
      <c r="A40" s="482"/>
      <c r="B40" s="81">
        <f ca="1">IF(EOMONTH(B38,0)+1-B38&gt;12,B38+12,EOMONTH(B38,0)+1)</f>
        <v>45915</v>
      </c>
      <c r="C40" s="81">
        <f ca="1">IF(EOMONTH(C38,0)+1-C38&gt;12,C38+12,EOMONTH(C38,0)+1)</f>
        <v>45929</v>
      </c>
      <c r="D40" s="48">
        <f ca="1">IF(EOMONTH(D38,0)+1-D38&gt;12,D38+12,EOMONTH(D38,0)+1)</f>
        <v>45943</v>
      </c>
    </row>
    <row r="41" spans="1:4" x14ac:dyDescent="0.25">
      <c r="A41" s="482"/>
      <c r="B41" s="80">
        <f ca="1">IF(12-B39&gt;_xlfn.NUMBERVALUE(DAY(EOMONTH(B40,0))),_xlfn.NUMBERVALUE(DAY(EOMONTH(B40,0))),12-B39)</f>
        <v>0</v>
      </c>
      <c r="C41" s="45">
        <f ca="1">IF(12-C39&gt;_xlfn.NUMBERVALUE(DAY(EOMONTH(C40,0))),_xlfn.NUMBERVALUE(DAY(EOMONTH(C40,0))),12-C39)</f>
        <v>0</v>
      </c>
      <c r="D41" s="46">
        <f ca="1">IF(12-D39&gt;_xlfn.NUMBERVALUE(DAY(EOMONTH(D40,0))),_xlfn.NUMBERVALUE(DAY(EOMONTH(D40,0))),12-D39)</f>
        <v>0</v>
      </c>
    </row>
    <row r="42" spans="1:4" x14ac:dyDescent="0.25">
      <c r="A42" s="482"/>
      <c r="B42" s="81">
        <f ca="1">B40+B41</f>
        <v>45915</v>
      </c>
      <c r="C42" s="47">
        <f ca="1">C40+C41</f>
        <v>45929</v>
      </c>
      <c r="D42" s="48">
        <f ca="1">D40+D41</f>
        <v>45943</v>
      </c>
    </row>
    <row r="43" spans="1:4" x14ac:dyDescent="0.25">
      <c r="A43" s="482"/>
      <c r="B43" s="80">
        <f ca="1">IF(12-B39&gt;_xlfn.NUMBERVALUE(DAY(EOMONTH(B40,0))),20-B39-B41,0)</f>
        <v>0</v>
      </c>
      <c r="C43" s="45">
        <f ca="1">IF(12-C39&gt;_xlfn.NUMBERVALUE(DAY(EOMONTH(C40,0))),20-C39-C41,0)</f>
        <v>0</v>
      </c>
      <c r="D43" s="46">
        <f ca="1">IF(12-D39&gt;_xlfn.NUMBERVALUE(DAY(EOMONTH(D40,0))),20-D39-D41,0)</f>
        <v>0</v>
      </c>
    </row>
    <row r="44" spans="1:4" ht="15.75" thickBot="1" x14ac:dyDescent="0.3">
      <c r="A44" s="483"/>
      <c r="B44" s="82">
        <f ca="1">B42+B43</f>
        <v>45915</v>
      </c>
      <c r="C44" s="49">
        <f ca="1">C42+C43</f>
        <v>45929</v>
      </c>
      <c r="D44" s="50">
        <f ca="1">D42+D43</f>
        <v>45943</v>
      </c>
    </row>
  </sheetData>
  <mergeCells count="11">
    <mergeCell ref="F1:I1"/>
    <mergeCell ref="F3:F9"/>
    <mergeCell ref="A20:A26"/>
    <mergeCell ref="A29:A35"/>
    <mergeCell ref="A38:A44"/>
    <mergeCell ref="A1:D1"/>
    <mergeCell ref="A18:D18"/>
    <mergeCell ref="A27:D27"/>
    <mergeCell ref="A36:D36"/>
    <mergeCell ref="A3:A9"/>
    <mergeCell ref="A11:A17"/>
  </mergeCells>
  <pageMargins left="0.7" right="0.7" top="0.75" bottom="0.75" header="0.3" footer="0.3"/>
  <pageSetup paperSize="9" orientation="portrait" verticalDpi="0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86BB-3097-437F-85A3-75E44D151DAA}">
  <dimension ref="A3:U25"/>
  <sheetViews>
    <sheetView workbookViewId="0">
      <selection activeCell="L30" sqref="L30"/>
    </sheetView>
  </sheetViews>
  <sheetFormatPr defaultRowHeight="15" x14ac:dyDescent="0.25"/>
  <cols>
    <col min="1" max="1" width="17.7109375" bestFit="1" customWidth="1"/>
    <col min="2" max="2" width="11.5703125" bestFit="1" customWidth="1"/>
    <col min="3" max="3" width="6.140625" bestFit="1" customWidth="1"/>
    <col min="4" max="4" width="8.85546875" bestFit="1" customWidth="1"/>
    <col min="5" max="5" width="8" bestFit="1" customWidth="1"/>
    <col min="6" max="6" width="7.28515625" bestFit="1" customWidth="1"/>
    <col min="7" max="7" width="8" bestFit="1" customWidth="1"/>
    <col min="8" max="8" width="7.28515625" bestFit="1" customWidth="1"/>
    <col min="9" max="9" width="8" bestFit="1" customWidth="1"/>
    <col min="10" max="10" width="7" bestFit="1" customWidth="1"/>
    <col min="12" max="12" width="17.7109375" bestFit="1" customWidth="1"/>
    <col min="13" max="13" width="11.5703125" bestFit="1" customWidth="1"/>
    <col min="14" max="14" width="6.140625" bestFit="1" customWidth="1"/>
    <col min="15" max="15" width="8.85546875" bestFit="1" customWidth="1"/>
    <col min="16" max="16" width="8" bestFit="1" customWidth="1"/>
    <col min="17" max="17" width="7" bestFit="1" customWidth="1"/>
    <col min="18" max="18" width="8.28515625" customWidth="1"/>
    <col min="19" max="19" width="7" bestFit="1" customWidth="1"/>
    <col min="20" max="20" width="8" bestFit="1" customWidth="1"/>
    <col min="21" max="21" width="7" bestFit="1" customWidth="1"/>
  </cols>
  <sheetData>
    <row r="3" spans="1:21" ht="15.75" thickBot="1" x14ac:dyDescent="0.3">
      <c r="E3" s="511" t="s">
        <v>47</v>
      </c>
      <c r="F3" s="512"/>
      <c r="G3" s="511" t="s">
        <v>48</v>
      </c>
      <c r="H3" s="512"/>
      <c r="I3" s="511" t="s">
        <v>49</v>
      </c>
      <c r="J3" s="512"/>
      <c r="P3" s="511" t="s">
        <v>47</v>
      </c>
      <c r="Q3" s="512"/>
      <c r="R3" s="511" t="s">
        <v>48</v>
      </c>
      <c r="S3" s="512"/>
      <c r="T3" s="511" t="s">
        <v>49</v>
      </c>
      <c r="U3" s="512"/>
    </row>
    <row r="4" spans="1:21" x14ac:dyDescent="0.25">
      <c r="A4" s="509" t="s">
        <v>217</v>
      </c>
      <c r="B4" s="510"/>
      <c r="C4" s="510"/>
      <c r="D4" s="510"/>
      <c r="E4" s="508">
        <f ca="1">'Loading Arrival'!B11</f>
        <v>45903</v>
      </c>
      <c r="F4" s="502"/>
      <c r="G4" s="501">
        <f ca="1">'Loading Arrival'!C11</f>
        <v>45917</v>
      </c>
      <c r="H4" s="502"/>
      <c r="I4" s="501">
        <f ca="1">'Loading Arrival'!D11</f>
        <v>45931</v>
      </c>
      <c r="J4" s="502"/>
      <c r="L4" s="509" t="s">
        <v>216</v>
      </c>
      <c r="M4" s="510"/>
      <c r="N4" s="510"/>
      <c r="O4" s="510"/>
      <c r="P4" s="508">
        <f ca="1">E4</f>
        <v>45903</v>
      </c>
      <c r="Q4" s="502"/>
      <c r="R4" s="501">
        <f ca="1">G4</f>
        <v>45917</v>
      </c>
      <c r="S4" s="502"/>
      <c r="T4" s="501">
        <f ca="1">I4</f>
        <v>45931</v>
      </c>
      <c r="U4" s="502"/>
    </row>
    <row r="5" spans="1:21" x14ac:dyDescent="0.25">
      <c r="A5" s="131"/>
      <c r="B5" s="130"/>
      <c r="C5" s="10"/>
      <c r="D5" s="10"/>
      <c r="E5" s="132" t="s">
        <v>87</v>
      </c>
      <c r="F5" s="133" t="s">
        <v>88</v>
      </c>
      <c r="G5" s="132" t="s">
        <v>87</v>
      </c>
      <c r="H5" s="133" t="s">
        <v>88</v>
      </c>
      <c r="I5" s="132" t="s">
        <v>87</v>
      </c>
      <c r="J5" s="133" t="s">
        <v>88</v>
      </c>
      <c r="L5" s="131"/>
      <c r="M5" s="130"/>
      <c r="N5" s="10"/>
      <c r="O5" s="10"/>
      <c r="P5" s="132" t="s">
        <v>87</v>
      </c>
      <c r="Q5" s="133" t="s">
        <v>88</v>
      </c>
      <c r="R5" s="132" t="s">
        <v>87</v>
      </c>
      <c r="S5" s="133" t="s">
        <v>88</v>
      </c>
      <c r="T5" s="132" t="s">
        <v>87</v>
      </c>
      <c r="U5" s="133" t="s">
        <v>88</v>
      </c>
    </row>
    <row r="6" spans="1:21" ht="15.75" thickBot="1" x14ac:dyDescent="0.3">
      <c r="A6" s="5" t="s">
        <v>55</v>
      </c>
      <c r="B6" s="106">
        <f>VLOOKUP(A4,Freight!$A$2:$F$14,2,0)</f>
        <v>4258800</v>
      </c>
      <c r="C6" s="6"/>
      <c r="D6" s="6"/>
      <c r="E6" s="120">
        <f>B6/B$7</f>
        <v>28.391999999999999</v>
      </c>
      <c r="F6" s="121">
        <f>B6/B$7</f>
        <v>28.391999999999999</v>
      </c>
      <c r="G6" s="120">
        <f>B6/B$7</f>
        <v>28.391999999999999</v>
      </c>
      <c r="H6" s="121">
        <f>B6/B$7</f>
        <v>28.391999999999999</v>
      </c>
      <c r="I6" s="120">
        <f>B6/B$7</f>
        <v>28.391999999999999</v>
      </c>
      <c r="J6" s="121">
        <f>B6/B$7</f>
        <v>28.391999999999999</v>
      </c>
      <c r="L6" s="5" t="s">
        <v>55</v>
      </c>
      <c r="M6" s="106">
        <f>VLOOKUP(L4,Freight!$A$2:$F$14,2,0)</f>
        <v>1747200</v>
      </c>
      <c r="N6" s="6"/>
      <c r="O6" s="6"/>
      <c r="P6" s="120">
        <f>M6/M$7</f>
        <v>17.828571428571429</v>
      </c>
      <c r="Q6" s="121">
        <f>M6/M$7</f>
        <v>17.828571428571429</v>
      </c>
      <c r="R6" s="120">
        <f>M6/M$7</f>
        <v>17.828571428571429</v>
      </c>
      <c r="S6" s="121">
        <f>M6/M$7</f>
        <v>17.828571428571429</v>
      </c>
      <c r="T6" s="120">
        <f>M6/M$7</f>
        <v>17.828571428571429</v>
      </c>
      <c r="U6" s="121">
        <f>M6/M$7</f>
        <v>17.828571428571429</v>
      </c>
    </row>
    <row r="7" spans="1:21" x14ac:dyDescent="0.25">
      <c r="A7" s="5" t="s">
        <v>56</v>
      </c>
      <c r="B7" s="106">
        <v>150000</v>
      </c>
      <c r="C7" s="3" t="s">
        <v>81</v>
      </c>
      <c r="D7" s="4" t="s">
        <v>82</v>
      </c>
      <c r="E7" s="122"/>
      <c r="F7" s="123"/>
      <c r="G7" s="122"/>
      <c r="H7" s="123"/>
      <c r="I7" s="122"/>
      <c r="J7" s="123"/>
      <c r="L7" s="5" t="s">
        <v>56</v>
      </c>
      <c r="M7" s="106">
        <v>98000</v>
      </c>
      <c r="N7" s="3" t="s">
        <v>81</v>
      </c>
      <c r="O7" s="4" t="s">
        <v>82</v>
      </c>
      <c r="P7" s="122"/>
      <c r="Q7" s="123"/>
      <c r="R7" s="122"/>
      <c r="S7" s="123"/>
      <c r="T7" s="122"/>
      <c r="U7" s="123"/>
    </row>
    <row r="8" spans="1:21" ht="15.75" thickBot="1" x14ac:dyDescent="0.3">
      <c r="A8" s="5" t="s">
        <v>57</v>
      </c>
      <c r="B8" s="106">
        <f>C8*D8</f>
        <v>575000</v>
      </c>
      <c r="C8" s="7">
        <f>VLOOKUP(A$4,Freight!$A$2:$F$14,5,0)</f>
        <v>57500</v>
      </c>
      <c r="D8" s="105">
        <v>10</v>
      </c>
      <c r="E8" s="120">
        <f>B$8/B$7</f>
        <v>3.8333333333333335</v>
      </c>
      <c r="F8" s="121">
        <f>B$8/B$7</f>
        <v>3.8333333333333335</v>
      </c>
      <c r="G8" s="120">
        <f>B8/B$7</f>
        <v>3.8333333333333335</v>
      </c>
      <c r="H8" s="121">
        <f>B8/B$7</f>
        <v>3.8333333333333335</v>
      </c>
      <c r="I8" s="120">
        <f>B8/B$7</f>
        <v>3.8333333333333335</v>
      </c>
      <c r="J8" s="121">
        <f>B8/B$7</f>
        <v>3.8333333333333335</v>
      </c>
      <c r="L8" s="5" t="s">
        <v>57</v>
      </c>
      <c r="M8" s="106">
        <f>N8*O8</f>
        <v>297500</v>
      </c>
      <c r="N8" s="7">
        <f>VLOOKUP(L$4,Freight!$A$2:$F$14,5,0)</f>
        <v>42500</v>
      </c>
      <c r="O8" s="105">
        <v>7</v>
      </c>
      <c r="P8" s="120">
        <f>M$8/M$7</f>
        <v>3.0357142857142856</v>
      </c>
      <c r="Q8" s="121">
        <f>M$8/M$7</f>
        <v>3.0357142857142856</v>
      </c>
      <c r="R8" s="120">
        <f>M8/M$7</f>
        <v>3.0357142857142856</v>
      </c>
      <c r="S8" s="121">
        <f>M8/M$7</f>
        <v>3.0357142857142856</v>
      </c>
      <c r="T8" s="120">
        <f>M8/M$7</f>
        <v>3.0357142857142856</v>
      </c>
      <c r="U8" s="121">
        <f>M8/M$7</f>
        <v>3.0357142857142856</v>
      </c>
    </row>
    <row r="9" spans="1:21" x14ac:dyDescent="0.25">
      <c r="A9" s="5" t="s">
        <v>58</v>
      </c>
      <c r="B9" s="106">
        <v>15000</v>
      </c>
      <c r="C9" s="6"/>
      <c r="D9" s="6"/>
      <c r="E9" s="120">
        <f>B9/B$7</f>
        <v>0.1</v>
      </c>
      <c r="F9" s="121">
        <f>B9/B$7</f>
        <v>0.1</v>
      </c>
      <c r="G9" s="120">
        <f>B9/B$7</f>
        <v>0.1</v>
      </c>
      <c r="H9" s="121">
        <f>B9/B$7</f>
        <v>0.1</v>
      </c>
      <c r="I9" s="120">
        <f>B9/B$7</f>
        <v>0.1</v>
      </c>
      <c r="J9" s="121">
        <f>B9/B$7</f>
        <v>0.1</v>
      </c>
      <c r="L9" s="5" t="s">
        <v>58</v>
      </c>
      <c r="M9" s="106">
        <v>15000</v>
      </c>
      <c r="N9" s="6"/>
      <c r="O9" s="6"/>
      <c r="P9" s="120">
        <f>M9/M$7</f>
        <v>0.15306122448979592</v>
      </c>
      <c r="Q9" s="121">
        <f>M9/M$7</f>
        <v>0.15306122448979592</v>
      </c>
      <c r="R9" s="120">
        <f>M9/M$7</f>
        <v>0.15306122448979592</v>
      </c>
      <c r="S9" s="121">
        <f>M9/M$7</f>
        <v>0.15306122448979592</v>
      </c>
      <c r="T9" s="120">
        <f>M9/M$7</f>
        <v>0.15306122448979592</v>
      </c>
      <c r="U9" s="121">
        <f>M9/M$7</f>
        <v>0.15306122448979592</v>
      </c>
    </row>
    <row r="10" spans="1:21" ht="15.75" thickBot="1" x14ac:dyDescent="0.3">
      <c r="A10" s="5" t="s">
        <v>127</v>
      </c>
      <c r="B10" s="106">
        <v>25000</v>
      </c>
      <c r="C10" s="6"/>
      <c r="D10" s="6"/>
      <c r="E10" s="120">
        <f>B10/B$7</f>
        <v>0.16666666666666666</v>
      </c>
      <c r="F10" s="121">
        <f>B10/B$7</f>
        <v>0.16666666666666666</v>
      </c>
      <c r="G10" s="120">
        <f>B10/B$7</f>
        <v>0.16666666666666666</v>
      </c>
      <c r="H10" s="121">
        <f>B10/B$7</f>
        <v>0.16666666666666666</v>
      </c>
      <c r="I10" s="120">
        <f>B10/B$7</f>
        <v>0.16666666666666666</v>
      </c>
      <c r="J10" s="121">
        <f>B10/B$7</f>
        <v>0.16666666666666666</v>
      </c>
      <c r="L10" s="5" t="s">
        <v>127</v>
      </c>
      <c r="M10" s="106">
        <v>25000</v>
      </c>
      <c r="N10" s="6"/>
      <c r="O10" s="6"/>
      <c r="P10" s="120">
        <f>M10/M$7</f>
        <v>0.25510204081632654</v>
      </c>
      <c r="Q10" s="121">
        <f>M10/M$7</f>
        <v>0.25510204081632654</v>
      </c>
      <c r="R10" s="120">
        <f>M10/M$7</f>
        <v>0.25510204081632654</v>
      </c>
      <c r="S10" s="121">
        <f>M10/M$7</f>
        <v>0.25510204081632654</v>
      </c>
      <c r="T10" s="120">
        <f>M10/M$7</f>
        <v>0.25510204081632654</v>
      </c>
      <c r="U10" s="121">
        <f>M10/M$7</f>
        <v>0.25510204081632654</v>
      </c>
    </row>
    <row r="11" spans="1:21" x14ac:dyDescent="0.25">
      <c r="A11" s="5" t="s">
        <v>128</v>
      </c>
      <c r="B11" s="106">
        <v>25000</v>
      </c>
      <c r="C11" s="3" t="s">
        <v>81</v>
      </c>
      <c r="D11" s="4" t="s">
        <v>82</v>
      </c>
      <c r="E11" s="120">
        <f>B11/B$7</f>
        <v>0.16666666666666666</v>
      </c>
      <c r="F11" s="121">
        <f>B11/B$7</f>
        <v>0.16666666666666666</v>
      </c>
      <c r="G11" s="120">
        <f>B11/B$7</f>
        <v>0.16666666666666666</v>
      </c>
      <c r="H11" s="121">
        <f>B11/B$7</f>
        <v>0.16666666666666666</v>
      </c>
      <c r="I11" s="120">
        <f>B11/B$7</f>
        <v>0.16666666666666666</v>
      </c>
      <c r="J11" s="121">
        <f>B11/B$7</f>
        <v>0.16666666666666666</v>
      </c>
      <c r="L11" s="5" t="s">
        <v>128</v>
      </c>
      <c r="M11" s="106">
        <v>25000</v>
      </c>
      <c r="N11" s="3" t="s">
        <v>81</v>
      </c>
      <c r="O11" s="4" t="s">
        <v>82</v>
      </c>
      <c r="P11" s="120">
        <f>M11/M$7</f>
        <v>0.25510204081632654</v>
      </c>
      <c r="Q11" s="121">
        <f>M11/M$7</f>
        <v>0.25510204081632654</v>
      </c>
      <c r="R11" s="120">
        <f>M11/M$7</f>
        <v>0.25510204081632654</v>
      </c>
      <c r="S11" s="121">
        <f>M11/M$7</f>
        <v>0.25510204081632654</v>
      </c>
      <c r="T11" s="120">
        <f>M11/M$7</f>
        <v>0.25510204081632654</v>
      </c>
      <c r="U11" s="121">
        <f>M11/M$7</f>
        <v>0.25510204081632654</v>
      </c>
    </row>
    <row r="12" spans="1:21" ht="15.75" thickBot="1" x14ac:dyDescent="0.3">
      <c r="A12" s="5" t="s">
        <v>83</v>
      </c>
      <c r="B12" s="109">
        <f ca="1">(D12*((C12)/365)*VLOOKUP(EOMONTH(E4,-1)+1,Tullet!$A$4:$S$25,2,0))*B7</f>
        <v>519750.00000000006</v>
      </c>
      <c r="C12" s="103">
        <v>5.5E-2</v>
      </c>
      <c r="D12" s="105">
        <v>60</v>
      </c>
      <c r="E12" s="120">
        <f ca="1">(D12*((C12)/365)*VLOOKUP(EOMONTH(E4,-1)+1,Tullet!$A$4:$S$27,2,0))</f>
        <v>3.4650000000000003</v>
      </c>
      <c r="F12" s="124">
        <f ca="1">(D12*((C12)/365)*VLOOKUP(EOMONTH(E4,-1)+1,Tullet!$N$4:$S$27,3,0))</f>
        <v>4.0907787328767116</v>
      </c>
      <c r="G12" s="120">
        <f ca="1">(D$12*((C$12)/365)*VLOOKUP(EOMONTH(G4,-1)+1,Tullet!$A$4:$S$27,2,0))</f>
        <v>3.4650000000000003</v>
      </c>
      <c r="H12" s="124">
        <f ca="1">(D$12*((C$12)/365)*VLOOKUP(EOMONTH(G4,-1)+1,Tullet!$N$4:$S$27,3,0))</f>
        <v>4.0907787328767116</v>
      </c>
      <c r="I12" s="120">
        <f ca="1">(D$12*((C$12)/365)*VLOOKUP(EOMONTH(I4,-1)+1,Tullet!$A$4:$S$27,2,0))</f>
        <v>3.4310958904109592</v>
      </c>
      <c r="J12" s="124">
        <f ca="1">(D$12*((C$12)/365)*VLOOKUP(EOMONTH(I4,-1)+1,Tullet!$N$4:$S$27,3,0))</f>
        <v>4.0500938013698624</v>
      </c>
      <c r="L12" s="5" t="s">
        <v>83</v>
      </c>
      <c r="M12" s="109">
        <f ca="1">(O12*((N12)/365)*VLOOKUP(EOMONTH(P4,-1)+1,Tullet!$A$4:$S$25,2,0))*M7</f>
        <v>339570.00000000006</v>
      </c>
      <c r="N12" s="103">
        <v>5.5E-2</v>
      </c>
      <c r="O12" s="105">
        <v>60</v>
      </c>
      <c r="P12" s="120">
        <f ca="1">(O12*((N12)/365)*VLOOKUP(EOMONTH(P4,-1)+1,Tullet!$A$4:$S$27,2,0))</f>
        <v>3.4650000000000003</v>
      </c>
      <c r="Q12" s="124">
        <f ca="1">(O12*((N12)/365)*VLOOKUP(EOMONTH(P4,-1)+1,Tullet!$N$4:$S$27,3,0))</f>
        <v>4.0907787328767116</v>
      </c>
      <c r="R12" s="120">
        <f ca="1">(O$12*((N$12)/365)*VLOOKUP(EOMONTH(R4,-1)+1,Tullet!$A$4:$S$27,2,0))</f>
        <v>3.4650000000000003</v>
      </c>
      <c r="S12" s="124">
        <f ca="1">(O$12*((N$12)/365)*VLOOKUP(EOMONTH(R4,-1)+1,Tullet!$N$4:$S$27,3,0))</f>
        <v>4.0907787328767116</v>
      </c>
      <c r="T12" s="120">
        <f ca="1">(O$12*((N$12)/365)*VLOOKUP(EOMONTH(T4,-1)+1,Tullet!$A$4:$S$27,2,0))</f>
        <v>3.4310958904109592</v>
      </c>
      <c r="U12" s="124">
        <f ca="1">(O$12*((N$12)/365)*VLOOKUP(EOMONTH(T4,-1)+1,Tullet!$N$4:$S$27,3,0))</f>
        <v>4.0500938013698624</v>
      </c>
    </row>
    <row r="13" spans="1:21" ht="15.75" thickBot="1" x14ac:dyDescent="0.3">
      <c r="A13" s="5" t="s">
        <v>59</v>
      </c>
      <c r="B13" s="106"/>
      <c r="C13" s="6"/>
      <c r="D13" s="6"/>
      <c r="E13" s="122"/>
      <c r="F13" s="123"/>
      <c r="G13" s="122"/>
      <c r="H13" s="123"/>
      <c r="I13" s="122"/>
      <c r="J13" s="123"/>
      <c r="L13" s="5" t="s">
        <v>59</v>
      </c>
      <c r="M13" s="106"/>
      <c r="N13" s="6"/>
      <c r="O13" s="6"/>
      <c r="P13" s="122"/>
      <c r="Q13" s="123"/>
      <c r="R13" s="122"/>
      <c r="S13" s="123"/>
      <c r="T13" s="122"/>
      <c r="U13" s="123"/>
    </row>
    <row r="14" spans="1:21" x14ac:dyDescent="0.25">
      <c r="A14" s="5" t="s">
        <v>60</v>
      </c>
      <c r="B14" s="106">
        <f ca="1">B7*VLOOKUP(EOMONTH(E4,-1)+1,Tullet!$A$4:$S$25,2,0)*0.1%</f>
        <v>57487.5</v>
      </c>
      <c r="C14" s="3" t="s">
        <v>81</v>
      </c>
      <c r="D14" s="4" t="s">
        <v>84</v>
      </c>
      <c r="E14" s="120">
        <f ca="1">VLOOKUP(EOMONTH(E4,-1)+1,Tullet!$A$4:$S$27,2,0)*0.00075</f>
        <v>0.28743750000000001</v>
      </c>
      <c r="F14" s="121">
        <f ca="1">VLOOKUP(EOMONTH(E4,-1)+1,Tullet!$N$3:$S$27,3,0)*0.00075</f>
        <v>0.33934869034090903</v>
      </c>
      <c r="G14" s="120">
        <f ca="1">VLOOKUP(EOMONTH(G4,-1)+1,Tullet!$A$4:$S$27,2,0)*0.00075</f>
        <v>0.28743750000000001</v>
      </c>
      <c r="H14" s="121">
        <f ca="1">VLOOKUP(EOMONTH(G4,-1)+1,Tullet!$N$3:$S$27,3,0)*0.00075</f>
        <v>0.33934869034090903</v>
      </c>
      <c r="I14" s="120">
        <f ca="1">VLOOKUP(EOMONTH(I4,-1)+1,Tullet!$A$4:$S$27,2,0)*0.00075</f>
        <v>0.28462500000000002</v>
      </c>
      <c r="J14" s="121">
        <f ca="1">VLOOKUP(EOMONTH(I4,-1)+1,Tullet!$N$3:$S$27,3,0)*0.00075</f>
        <v>0.33597369034090907</v>
      </c>
      <c r="L14" s="5" t="s">
        <v>60</v>
      </c>
      <c r="M14" s="106">
        <f ca="1">M7*VLOOKUP(EOMONTH(P4,-1)+1,Tullet!$A$4:$S$25,2,0)*0.1%</f>
        <v>37558.5</v>
      </c>
      <c r="N14" s="3" t="s">
        <v>81</v>
      </c>
      <c r="O14" s="4" t="s">
        <v>84</v>
      </c>
      <c r="P14" s="120">
        <f ca="1">VLOOKUP(EOMONTH(P4,-1)+1,Tullet!$A$4:$S$27,2,0)*0.00075</f>
        <v>0.28743750000000001</v>
      </c>
      <c r="Q14" s="121">
        <f ca="1">VLOOKUP(EOMONTH(P4,-1)+1,Tullet!$N$3:$S$27,3,0)*0.00075</f>
        <v>0.33934869034090903</v>
      </c>
      <c r="R14" s="120">
        <f ca="1">VLOOKUP(EOMONTH(R4,-1)+1,Tullet!$A$4:$S$27,2,0)*0.00075</f>
        <v>0.28743750000000001</v>
      </c>
      <c r="S14" s="121">
        <f ca="1">VLOOKUP(EOMONTH(R4,-1)+1,Tullet!$N$3:$S$27,3,0)*0.00075</f>
        <v>0.33934869034090903</v>
      </c>
      <c r="T14" s="120">
        <f ca="1">VLOOKUP(EOMONTH(T4,-1)+1,Tullet!$A$4:$S$27,2,0)*0.00075</f>
        <v>0.28462500000000002</v>
      </c>
      <c r="U14" s="121">
        <f ca="1">VLOOKUP(EOMONTH(T4,-1)+1,Tullet!$N$3:$S$27,3,0)*0.00075</f>
        <v>0.33597369034090907</v>
      </c>
    </row>
    <row r="15" spans="1:21" ht="15.75" thickBot="1" x14ac:dyDescent="0.3">
      <c r="A15" s="5" t="s">
        <v>61</v>
      </c>
      <c r="B15" s="106">
        <f ca="1">C15*$B$7*VLOOKUP(EOMONTH(E24,-1)+1,'Tullet US'!$A$24:$C$32,3,0)*6.35</f>
        <v>165020.625</v>
      </c>
      <c r="C15" s="104">
        <v>3.0000000000000001E-3</v>
      </c>
      <c r="D15" s="105" t="s">
        <v>187</v>
      </c>
      <c r="E15" s="120">
        <f ca="1">$C$15*VLOOKUP(EOMONTH(E24,-1)+1,'Tullet US'!$A$24:$C$32,3,0)*6.35</f>
        <v>1.1001375</v>
      </c>
      <c r="F15" s="121">
        <f ca="1">$C$15*VLOOKUP(EOMONTH(F24,-1)+1,'Tullet US'!$A$24:$C$32,3,0)*6.35</f>
        <v>1.1001375</v>
      </c>
      <c r="G15" s="120">
        <f ca="1">$C$15*VLOOKUP(EOMONTH(G24,-1)+1,'Tullet US'!$A$24:$C$32,3,0)*6.35</f>
        <v>1.0791825000000002</v>
      </c>
      <c r="H15" s="121">
        <f ca="1">$C$15*VLOOKUP(EOMONTH(H24,-1)+1,'Tullet US'!$A$24:$C$32,3,0)*6.35</f>
        <v>1.0791825000000002</v>
      </c>
      <c r="I15" s="120">
        <f ca="1">$C$15*VLOOKUP(EOMONTH(I24,-1)+1,'Tullet US'!$A$24:$C$32,3,0)*6.35</f>
        <v>1.0791825000000002</v>
      </c>
      <c r="J15" s="121">
        <f ca="1">$C$15*VLOOKUP(EOMONTH(J24,-1)+1,'Tullet US'!$A$24:$C$32,3,0)*6.35</f>
        <v>1.0791825000000002</v>
      </c>
      <c r="L15" s="5" t="s">
        <v>61</v>
      </c>
      <c r="M15" s="106">
        <f ca="1">N15*$M$7*VLOOKUP(EOMONTH(P24,-1)+1,'Tullet US'!$A$24:$C$32,3,0)*6.35</f>
        <v>107813.47500000002</v>
      </c>
      <c r="N15" s="104">
        <v>3.0000000000000001E-3</v>
      </c>
      <c r="O15" s="105" t="s">
        <v>187</v>
      </c>
      <c r="P15" s="120">
        <f ca="1">$N$15*VLOOKUP(EOMONTH(P24,-1)+1,'Tullet US'!$A$24:$C$32,3,0)*6.35</f>
        <v>1.1001375</v>
      </c>
      <c r="Q15" s="120">
        <f ca="1">$N$15*VLOOKUP(EOMONTH(Q24,-1)+1,'Tullet US'!$A$24:$C$32,3,0)*6.35</f>
        <v>1.1001375</v>
      </c>
      <c r="R15" s="120">
        <f ca="1">$N$15*VLOOKUP(EOMONTH(R24,-1)+1,'Tullet US'!$A$24:$C$32,3,0)*6.35</f>
        <v>1.0791825000000002</v>
      </c>
      <c r="S15" s="120">
        <f ca="1">$N$15*VLOOKUP(EOMONTH(S24,-1)+1,'Tullet US'!$A$24:$C$32,3,0)*6.35</f>
        <v>1.0791825000000002</v>
      </c>
      <c r="T15" s="120">
        <f ca="1">$N$15*VLOOKUP(EOMONTH(T24,-1)+1,'Tullet US'!$A$24:$C$32,3,0)*6.35</f>
        <v>1.0791825000000002</v>
      </c>
      <c r="U15" s="120">
        <f ca="1">$N$15*VLOOKUP(EOMONTH(U24,-1)+1,'Tullet US'!$A$24:$C$32,3,0)*6.35</f>
        <v>1.0791825000000002</v>
      </c>
    </row>
    <row r="16" spans="1:21" x14ac:dyDescent="0.25">
      <c r="A16" s="5" t="s">
        <v>62</v>
      </c>
      <c r="B16" s="106">
        <v>12500</v>
      </c>
      <c r="C16" s="6"/>
      <c r="D16" s="6"/>
      <c r="E16" s="120">
        <f>B16/B$7</f>
        <v>8.3333333333333329E-2</v>
      </c>
      <c r="F16" s="121">
        <f>B16/B$7</f>
        <v>8.3333333333333329E-2</v>
      </c>
      <c r="G16" s="120">
        <f>B16/B$7</f>
        <v>8.3333333333333329E-2</v>
      </c>
      <c r="H16" s="121">
        <f>B16/B$7</f>
        <v>8.3333333333333329E-2</v>
      </c>
      <c r="I16" s="120">
        <f>B16/B$7</f>
        <v>8.3333333333333329E-2</v>
      </c>
      <c r="J16" s="121">
        <f>B16/B$7</f>
        <v>8.3333333333333329E-2</v>
      </c>
      <c r="L16" s="5" t="s">
        <v>62</v>
      </c>
      <c r="M16" s="106">
        <v>12500</v>
      </c>
      <c r="N16" s="6"/>
      <c r="O16" s="6"/>
      <c r="P16" s="120">
        <f>M16/M$7</f>
        <v>0.12755102040816327</v>
      </c>
      <c r="Q16" s="121">
        <f>M16/M$7</f>
        <v>0.12755102040816327</v>
      </c>
      <c r="R16" s="120">
        <f>M16/M$7</f>
        <v>0.12755102040816327</v>
      </c>
      <c r="S16" s="121">
        <f>M16/M$7</f>
        <v>0.12755102040816327</v>
      </c>
      <c r="T16" s="120">
        <f>M16/M$7</f>
        <v>0.12755102040816327</v>
      </c>
      <c r="U16" s="121">
        <f>M16/M$7</f>
        <v>0.12755102040816327</v>
      </c>
    </row>
    <row r="17" spans="1:21" x14ac:dyDescent="0.25">
      <c r="A17" s="5" t="s">
        <v>63</v>
      </c>
      <c r="B17" s="106">
        <v>1250</v>
      </c>
      <c r="C17" s="6"/>
      <c r="D17" s="6"/>
      <c r="E17" s="120">
        <f>B17/B$7</f>
        <v>8.3333333333333332E-3</v>
      </c>
      <c r="F17" s="121">
        <f>B17/B$7</f>
        <v>8.3333333333333332E-3</v>
      </c>
      <c r="G17" s="120">
        <f>B17/B$7</f>
        <v>8.3333333333333332E-3</v>
      </c>
      <c r="H17" s="121">
        <f>B17/B$7</f>
        <v>8.3333333333333332E-3</v>
      </c>
      <c r="I17" s="120">
        <f>B17/B$7</f>
        <v>8.3333333333333332E-3</v>
      </c>
      <c r="J17" s="121">
        <f>B17/B$7</f>
        <v>8.3333333333333332E-3</v>
      </c>
      <c r="L17" s="5" t="s">
        <v>63</v>
      </c>
      <c r="M17" s="106">
        <v>1250</v>
      </c>
      <c r="N17" s="6"/>
      <c r="O17" s="6"/>
      <c r="P17" s="120">
        <f>M17/M$7</f>
        <v>1.2755102040816327E-2</v>
      </c>
      <c r="Q17" s="121">
        <f>M17/M$7</f>
        <v>1.2755102040816327E-2</v>
      </c>
      <c r="R17" s="120">
        <f>M17/M$7</f>
        <v>1.2755102040816327E-2</v>
      </c>
      <c r="S17" s="121">
        <f>M17/M$7</f>
        <v>1.2755102040816327E-2</v>
      </c>
      <c r="T17" s="120">
        <f>M17/M$7</f>
        <v>1.2755102040816327E-2</v>
      </c>
      <c r="U17" s="121">
        <f>M17/M$7</f>
        <v>1.2755102040816327E-2</v>
      </c>
    </row>
    <row r="18" spans="1:21" x14ac:dyDescent="0.25">
      <c r="A18" s="5" t="s">
        <v>64</v>
      </c>
      <c r="B18" s="106">
        <v>1250</v>
      </c>
      <c r="C18" s="6"/>
      <c r="D18" s="6"/>
      <c r="E18" s="120">
        <f>B18/B$7</f>
        <v>8.3333333333333332E-3</v>
      </c>
      <c r="F18" s="121">
        <f>B18/B$7</f>
        <v>8.3333333333333332E-3</v>
      </c>
      <c r="G18" s="120">
        <f>B18/B$7</f>
        <v>8.3333333333333332E-3</v>
      </c>
      <c r="H18" s="121">
        <f>B18/B$7</f>
        <v>8.3333333333333332E-3</v>
      </c>
      <c r="I18" s="120">
        <f>B18/B$7</f>
        <v>8.3333333333333332E-3</v>
      </c>
      <c r="J18" s="121">
        <f>B18/B$7</f>
        <v>8.3333333333333332E-3</v>
      </c>
      <c r="L18" s="5" t="s">
        <v>64</v>
      </c>
      <c r="M18" s="106">
        <v>1250</v>
      </c>
      <c r="N18" s="6"/>
      <c r="O18" s="6"/>
      <c r="P18" s="120">
        <f>M18/M$7</f>
        <v>1.2755102040816327E-2</v>
      </c>
      <c r="Q18" s="121">
        <f>M18/M$7</f>
        <v>1.2755102040816327E-2</v>
      </c>
      <c r="R18" s="120">
        <f>M18/M$7</f>
        <v>1.2755102040816327E-2</v>
      </c>
      <c r="S18" s="121">
        <f>M18/M$7</f>
        <v>1.2755102040816327E-2</v>
      </c>
      <c r="T18" s="120">
        <f>M18/M$7</f>
        <v>1.2755102040816327E-2</v>
      </c>
      <c r="U18" s="121">
        <f>M18/M$7</f>
        <v>1.2755102040816327E-2</v>
      </c>
    </row>
    <row r="19" spans="1:21" x14ac:dyDescent="0.25">
      <c r="A19" s="5" t="s">
        <v>65</v>
      </c>
      <c r="B19" s="106">
        <v>15000</v>
      </c>
      <c r="C19" s="6"/>
      <c r="D19" s="6"/>
      <c r="E19" s="120">
        <f>B19/B$7</f>
        <v>0.1</v>
      </c>
      <c r="F19" s="121">
        <f>B19/B$7</f>
        <v>0.1</v>
      </c>
      <c r="G19" s="120">
        <f>B19/B$7</f>
        <v>0.1</v>
      </c>
      <c r="H19" s="121">
        <f>B19/B$7</f>
        <v>0.1</v>
      </c>
      <c r="I19" s="120">
        <f>B19/B$7</f>
        <v>0.1</v>
      </c>
      <c r="J19" s="121">
        <f>B19/B$7</f>
        <v>0.1</v>
      </c>
      <c r="L19" s="5" t="s">
        <v>65</v>
      </c>
      <c r="M19" s="106">
        <v>15000</v>
      </c>
      <c r="N19" s="6"/>
      <c r="O19" s="6"/>
      <c r="P19" s="120">
        <f>M19/M$7</f>
        <v>0.15306122448979592</v>
      </c>
      <c r="Q19" s="121">
        <f>M19/M$7</f>
        <v>0.15306122448979592</v>
      </c>
      <c r="R19" s="120">
        <f>M19/M$7</f>
        <v>0.15306122448979592</v>
      </c>
      <c r="S19" s="121">
        <f>M19/M$7</f>
        <v>0.15306122448979592</v>
      </c>
      <c r="T19" s="120">
        <f>M19/M$7</f>
        <v>0.15306122448979592</v>
      </c>
      <c r="U19" s="121">
        <f>M19/M$7</f>
        <v>0.15306122448979592</v>
      </c>
    </row>
    <row r="20" spans="1:21" ht="15.75" thickBot="1" x14ac:dyDescent="0.3">
      <c r="A20" s="5" t="s">
        <v>66</v>
      </c>
      <c r="B20" s="106">
        <v>10000</v>
      </c>
      <c r="C20" s="6"/>
      <c r="D20" s="6"/>
      <c r="E20" s="120">
        <f>B20/B$7</f>
        <v>6.6666666666666666E-2</v>
      </c>
      <c r="F20" s="121">
        <f>B20/B$7</f>
        <v>6.6666666666666666E-2</v>
      </c>
      <c r="G20" s="120">
        <f>B20/B$7</f>
        <v>6.6666666666666666E-2</v>
      </c>
      <c r="H20" s="121">
        <f>B20/B$7</f>
        <v>6.6666666666666666E-2</v>
      </c>
      <c r="I20" s="120">
        <f>B20/B$7</f>
        <v>6.6666666666666666E-2</v>
      </c>
      <c r="J20" s="121">
        <f>B20/B$7</f>
        <v>6.6666666666666666E-2</v>
      </c>
      <c r="L20" s="5" t="s">
        <v>66</v>
      </c>
      <c r="M20" s="106">
        <v>10000</v>
      </c>
      <c r="N20" s="6"/>
      <c r="O20" s="6"/>
      <c r="P20" s="120">
        <f>M20/M$7</f>
        <v>0.10204081632653061</v>
      </c>
      <c r="Q20" s="121">
        <f>M20/M$7</f>
        <v>0.10204081632653061</v>
      </c>
      <c r="R20" s="120">
        <f>M20/M$7</f>
        <v>0.10204081632653061</v>
      </c>
      <c r="S20" s="121">
        <f>M20/M$7</f>
        <v>0.10204081632653061</v>
      </c>
      <c r="T20" s="120">
        <f>M20/M$7</f>
        <v>0.10204081632653061</v>
      </c>
      <c r="U20" s="121">
        <f>M20/M$7</f>
        <v>0.10204081632653061</v>
      </c>
    </row>
    <row r="21" spans="1:21" ht="15.75" thickBot="1" x14ac:dyDescent="0.3">
      <c r="A21" s="8" t="s">
        <v>102</v>
      </c>
      <c r="B21" s="134">
        <f ca="1">SUM(B6:B20)</f>
        <v>5831058.125</v>
      </c>
      <c r="C21" s="9"/>
      <c r="D21" s="9"/>
      <c r="E21" s="126">
        <f ca="1">SUM(E6:E20)</f>
        <v>37.777908333333343</v>
      </c>
      <c r="F21" s="127">
        <f ca="1">SUM(F6:F20)</f>
        <v>38.455598256550957</v>
      </c>
      <c r="G21" s="126">
        <f t="shared" ref="G21:J21" ca="1" si="0">SUM(G6:G20)</f>
        <v>37.756953333333342</v>
      </c>
      <c r="H21" s="127">
        <f t="shared" ca="1" si="0"/>
        <v>38.434643256550956</v>
      </c>
      <c r="I21" s="126">
        <f t="shared" ca="1" si="0"/>
        <v>37.720236723744293</v>
      </c>
      <c r="J21" s="127">
        <f t="shared" ca="1" si="0"/>
        <v>38.390583325044105</v>
      </c>
      <c r="L21" s="8" t="s">
        <v>102</v>
      </c>
      <c r="M21" s="134">
        <f ca="1">SUM(M6:M20)</f>
        <v>2732641.9750000001</v>
      </c>
      <c r="N21" s="9"/>
      <c r="O21" s="9"/>
      <c r="P21" s="126">
        <f t="shared" ref="P21:U21" ca="1" si="1">SUM(P6:P20)</f>
        <v>26.788289285714285</v>
      </c>
      <c r="Q21" s="127">
        <f t="shared" ca="1" si="1"/>
        <v>27.465979208931905</v>
      </c>
      <c r="R21" s="126">
        <f t="shared" ca="1" si="1"/>
        <v>26.767334285714288</v>
      </c>
      <c r="S21" s="127">
        <f t="shared" ca="1" si="1"/>
        <v>27.445024208931908</v>
      </c>
      <c r="T21" s="126">
        <f t="shared" ca="1" si="1"/>
        <v>26.730617676125245</v>
      </c>
      <c r="U21" s="127">
        <f t="shared" ca="1" si="1"/>
        <v>27.400964277425061</v>
      </c>
    </row>
    <row r="22" spans="1:21" ht="16.5" customHeight="1" thickBot="1" x14ac:dyDescent="0.3">
      <c r="A22" s="5" t="s">
        <v>103</v>
      </c>
      <c r="B22" s="106"/>
      <c r="C22" s="6"/>
      <c r="D22" s="6"/>
      <c r="E22" s="125">
        <f ca="1">'ROLLS HS'!L54</f>
        <v>-16.537499999999966</v>
      </c>
      <c r="F22" s="124">
        <f ca="1">'ROLLS LS'!K54</f>
        <v>15.875</v>
      </c>
      <c r="G22" s="125">
        <f ca="1">'ROLLS HS'!L57</f>
        <v>-17.076666666666636</v>
      </c>
      <c r="H22" s="124">
        <f ca="1">'ROLLS LS'!K57</f>
        <v>15.557499999999999</v>
      </c>
      <c r="I22" s="125">
        <f ca="1">'ROLLS HS'!L60</f>
        <v>-19.77249999999998</v>
      </c>
      <c r="J22" s="124">
        <f ca="1">'ROLLS LS'!K60</f>
        <v>13.97</v>
      </c>
      <c r="L22" s="5" t="s">
        <v>103</v>
      </c>
      <c r="M22" s="106"/>
      <c r="N22" s="6"/>
      <c r="O22" s="6"/>
      <c r="P22" s="125">
        <f t="shared" ref="P22:U22" ca="1" si="2">E22</f>
        <v>-16.537499999999966</v>
      </c>
      <c r="Q22" s="124">
        <f t="shared" ca="1" si="2"/>
        <v>15.875</v>
      </c>
      <c r="R22" s="125">
        <f t="shared" ca="1" si="2"/>
        <v>-17.076666666666636</v>
      </c>
      <c r="S22" s="124">
        <f t="shared" ca="1" si="2"/>
        <v>15.557499999999999</v>
      </c>
      <c r="T22" s="125">
        <f t="shared" ca="1" si="2"/>
        <v>-19.77249999999998</v>
      </c>
      <c r="U22" s="124">
        <f t="shared" ca="1" si="2"/>
        <v>13.97</v>
      </c>
    </row>
    <row r="23" spans="1:21" ht="16.5" customHeight="1" thickBot="1" x14ac:dyDescent="0.3">
      <c r="A23" s="8" t="s">
        <v>115</v>
      </c>
      <c r="B23" s="110"/>
      <c r="C23" s="9"/>
      <c r="D23" s="9"/>
      <c r="E23" s="126">
        <f ca="1">E22-E21</f>
        <v>-54.315408333333309</v>
      </c>
      <c r="F23" s="127">
        <f ca="1">F22-F21</f>
        <v>-22.580598256550957</v>
      </c>
      <c r="G23" s="126">
        <f ca="1">G22-G21</f>
        <v>-54.833619999999982</v>
      </c>
      <c r="H23" s="127">
        <f t="shared" ref="H23:J23" ca="1" si="3">H22-H21</f>
        <v>-22.877143256550958</v>
      </c>
      <c r="I23" s="126">
        <f ca="1">I22-I21</f>
        <v>-57.492736723744272</v>
      </c>
      <c r="J23" s="127">
        <f t="shared" ca="1" si="3"/>
        <v>-24.420583325044106</v>
      </c>
      <c r="L23" s="8" t="s">
        <v>115</v>
      </c>
      <c r="M23" s="110"/>
      <c r="N23" s="9"/>
      <c r="O23" s="9"/>
      <c r="P23" s="126">
        <f t="shared" ref="P23:U23" ca="1" si="4">P22-P21</f>
        <v>-43.325789285714251</v>
      </c>
      <c r="Q23" s="127">
        <f t="shared" ca="1" si="4"/>
        <v>-11.590979208931905</v>
      </c>
      <c r="R23" s="126">
        <f t="shared" ca="1" si="4"/>
        <v>-43.844000952380924</v>
      </c>
      <c r="S23" s="127">
        <f t="shared" ca="1" si="4"/>
        <v>-11.887524208931909</v>
      </c>
      <c r="T23" s="126">
        <f t="shared" ca="1" si="4"/>
        <v>-46.503117676125228</v>
      </c>
      <c r="U23" s="127">
        <f t="shared" ca="1" si="4"/>
        <v>-13.43096427742506</v>
      </c>
    </row>
    <row r="24" spans="1:21" x14ac:dyDescent="0.25">
      <c r="A24" s="5" t="s">
        <v>86</v>
      </c>
      <c r="B24" s="107"/>
      <c r="C24" s="6"/>
      <c r="D24" s="6"/>
      <c r="E24" s="128">
        <f ca="1">'Loading Arrival'!G9</f>
        <v>45918</v>
      </c>
      <c r="F24" s="128">
        <f ca="1">'Loading Arrival'!G9</f>
        <v>45918</v>
      </c>
      <c r="G24" s="128">
        <f ca="1">'Loading Arrival'!H9</f>
        <v>45932</v>
      </c>
      <c r="H24" s="129">
        <f ca="1">'Loading Arrival'!H9</f>
        <v>45932</v>
      </c>
      <c r="I24" s="128">
        <f ca="1">'Loading Arrival'!I9</f>
        <v>45946</v>
      </c>
      <c r="J24" s="129">
        <f ca="1">'Loading Arrival'!I9</f>
        <v>45946</v>
      </c>
      <c r="L24" s="5" t="s">
        <v>86</v>
      </c>
      <c r="M24" s="107"/>
      <c r="N24" s="6"/>
      <c r="O24" s="6"/>
      <c r="P24" s="128">
        <f t="shared" ref="P24:U24" ca="1" si="5">E24</f>
        <v>45918</v>
      </c>
      <c r="Q24" s="129">
        <f t="shared" ca="1" si="5"/>
        <v>45918</v>
      </c>
      <c r="R24" s="128">
        <f t="shared" ca="1" si="5"/>
        <v>45932</v>
      </c>
      <c r="S24" s="129">
        <f t="shared" ca="1" si="5"/>
        <v>45932</v>
      </c>
      <c r="T24" s="128">
        <f t="shared" ca="1" si="5"/>
        <v>45946</v>
      </c>
      <c r="U24" s="129">
        <f t="shared" ca="1" si="5"/>
        <v>45946</v>
      </c>
    </row>
    <row r="25" spans="1:21" ht="15.75" thickBot="1" x14ac:dyDescent="0.3">
      <c r="A25" s="7" t="s">
        <v>101</v>
      </c>
      <c r="B25" s="108"/>
      <c r="C25" s="105"/>
      <c r="D25" s="105"/>
      <c r="E25" s="503">
        <f ca="1">'Loading Arrival'!G9</f>
        <v>45918</v>
      </c>
      <c r="F25" s="504"/>
      <c r="G25" s="505">
        <f ca="1">'Loading Arrival'!H9</f>
        <v>45932</v>
      </c>
      <c r="H25" s="506"/>
      <c r="I25" s="507">
        <f ca="1">'Loading Arrival'!I9</f>
        <v>45946</v>
      </c>
      <c r="J25" s="504"/>
      <c r="L25" s="7" t="s">
        <v>101</v>
      </c>
      <c r="M25" s="108"/>
      <c r="N25" s="105"/>
      <c r="O25" s="105"/>
      <c r="P25" s="503">
        <f ca="1">E25</f>
        <v>45918</v>
      </c>
      <c r="Q25" s="504"/>
      <c r="R25" s="505">
        <f ca="1">G25</f>
        <v>45932</v>
      </c>
      <c r="S25" s="506"/>
      <c r="T25" s="507">
        <f ca="1">I25</f>
        <v>45946</v>
      </c>
      <c r="U25" s="504"/>
    </row>
  </sheetData>
  <mergeCells count="20">
    <mergeCell ref="T3:U3"/>
    <mergeCell ref="E3:F3"/>
    <mergeCell ref="G3:H3"/>
    <mergeCell ref="I3:J3"/>
    <mergeCell ref="P3:Q3"/>
    <mergeCell ref="R3:S3"/>
    <mergeCell ref="A4:D4"/>
    <mergeCell ref="E4:F4"/>
    <mergeCell ref="G4:H4"/>
    <mergeCell ref="I4:J4"/>
    <mergeCell ref="L4:O4"/>
    <mergeCell ref="R4:S4"/>
    <mergeCell ref="T4:U4"/>
    <mergeCell ref="E25:F25"/>
    <mergeCell ref="G25:H25"/>
    <mergeCell ref="I25:J25"/>
    <mergeCell ref="P25:Q25"/>
    <mergeCell ref="R25:S25"/>
    <mergeCell ref="T25:U25"/>
    <mergeCell ref="P4:Q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3:AD27"/>
  <sheetViews>
    <sheetView workbookViewId="0">
      <selection activeCell="P34" sqref="P34"/>
    </sheetView>
  </sheetViews>
  <sheetFormatPr defaultRowHeight="15" x14ac:dyDescent="0.25"/>
  <cols>
    <col min="1" max="1" width="18.7109375" bestFit="1" customWidth="1"/>
    <col min="2" max="2" width="13.28515625" bestFit="1" customWidth="1"/>
    <col min="3" max="3" width="8" bestFit="1" customWidth="1"/>
    <col min="4" max="4" width="8.140625" bestFit="1" customWidth="1"/>
    <col min="5" max="7" width="10.140625" bestFit="1" customWidth="1"/>
    <col min="8" max="8" width="7.42578125" bestFit="1" customWidth="1"/>
    <col min="10" max="10" width="17.7109375" bestFit="1" customWidth="1"/>
    <col min="11" max="11" width="11.5703125" bestFit="1" customWidth="1"/>
    <col min="12" max="12" width="6.28515625" bestFit="1" customWidth="1"/>
    <col min="13" max="13" width="8.140625" bestFit="1" customWidth="1"/>
    <col min="14" max="17" width="7.140625" bestFit="1" customWidth="1"/>
    <col min="18" max="18" width="8" bestFit="1" customWidth="1"/>
    <col min="19" max="19" width="7.140625" bestFit="1" customWidth="1"/>
    <col min="21" max="21" width="17.7109375" bestFit="1" customWidth="1"/>
    <col min="22" max="22" width="11.5703125" bestFit="1" customWidth="1"/>
    <col min="23" max="23" width="6.140625" bestFit="1" customWidth="1"/>
    <col min="24" max="24" width="9.5703125" bestFit="1" customWidth="1"/>
    <col min="25" max="30" width="7" bestFit="1" customWidth="1"/>
  </cols>
  <sheetData>
    <row r="3" spans="1:30" ht="15.75" thickBot="1" x14ac:dyDescent="0.3">
      <c r="E3" s="511" t="s">
        <v>47</v>
      </c>
      <c r="F3" s="512"/>
      <c r="G3" s="511" t="s">
        <v>48</v>
      </c>
      <c r="H3" s="512"/>
      <c r="N3" s="511" t="s">
        <v>47</v>
      </c>
      <c r="O3" s="512"/>
      <c r="P3" s="511" t="s">
        <v>48</v>
      </c>
      <c r="Q3" s="512"/>
      <c r="R3" s="511" t="s">
        <v>49</v>
      </c>
      <c r="S3" s="512"/>
      <c r="Y3" s="511" t="s">
        <v>47</v>
      </c>
      <c r="Z3" s="512"/>
      <c r="AA3" s="511" t="s">
        <v>48</v>
      </c>
      <c r="AB3" s="512"/>
      <c r="AC3" s="511" t="s">
        <v>49</v>
      </c>
      <c r="AD3" s="512"/>
    </row>
    <row r="4" spans="1:30" ht="15.75" thickBot="1" x14ac:dyDescent="0.3">
      <c r="A4" s="340" t="s">
        <v>80</v>
      </c>
      <c r="B4" s="144"/>
      <c r="C4" s="144"/>
      <c r="D4" s="145"/>
      <c r="E4" s="349"/>
      <c r="F4" s="339"/>
      <c r="G4" s="354"/>
      <c r="H4" s="343"/>
      <c r="J4" s="340" t="s">
        <v>79</v>
      </c>
      <c r="K4" s="144"/>
      <c r="L4" s="144"/>
      <c r="M4" s="144"/>
      <c r="N4" s="345"/>
      <c r="O4" s="359"/>
      <c r="P4" s="339"/>
      <c r="Q4" s="359"/>
      <c r="R4" s="354"/>
      <c r="S4" s="343"/>
      <c r="T4" s="344"/>
      <c r="U4" s="340" t="s">
        <v>78</v>
      </c>
      <c r="V4" s="144"/>
      <c r="W4" s="144"/>
      <c r="X4" s="144"/>
      <c r="Y4" s="345"/>
      <c r="Z4" s="359"/>
      <c r="AA4" s="339"/>
      <c r="AB4" s="359"/>
      <c r="AC4" s="354"/>
      <c r="AD4" s="343"/>
    </row>
    <row r="5" spans="1:30" x14ac:dyDescent="0.25">
      <c r="A5" t="s">
        <v>160</v>
      </c>
      <c r="E5" s="350">
        <f ca="1">'Loading Arrival'!B3</f>
        <v>45910</v>
      </c>
      <c r="F5" s="337">
        <f ca="1">E5</f>
        <v>45910</v>
      </c>
      <c r="G5" s="350">
        <f ca="1">'Loading Arrival'!C3</f>
        <v>45924</v>
      </c>
      <c r="H5" s="338">
        <f ca="1">G5</f>
        <v>45924</v>
      </c>
      <c r="I5" s="344"/>
      <c r="J5" t="s">
        <v>160</v>
      </c>
      <c r="N5" s="336">
        <f ca="1">'Loading Arrival'!$B$11</f>
        <v>45903</v>
      </c>
      <c r="O5" s="356">
        <f ca="1">'Loading Arrival'!$B$11</f>
        <v>45903</v>
      </c>
      <c r="P5" s="336">
        <f ca="1">'Loading Arrival'!$C$11</f>
        <v>45917</v>
      </c>
      <c r="Q5" s="356">
        <f ca="1">'Loading Arrival'!$C$11</f>
        <v>45917</v>
      </c>
      <c r="R5" s="336">
        <f ca="1">'Loading Arrival'!$D$11</f>
        <v>45931</v>
      </c>
      <c r="S5" s="356">
        <f ca="1">'Loading Arrival'!$D$11</f>
        <v>45931</v>
      </c>
      <c r="T5" s="5"/>
      <c r="U5" s="5" t="s">
        <v>160</v>
      </c>
      <c r="Y5" s="336">
        <f ca="1">'Loading Arrival'!$B$11</f>
        <v>45903</v>
      </c>
      <c r="Z5" s="356">
        <f ca="1">'Loading Arrival'!$B$11</f>
        <v>45903</v>
      </c>
      <c r="AA5" s="336">
        <f ca="1">'Loading Arrival'!$C$11</f>
        <v>45917</v>
      </c>
      <c r="AB5" s="356">
        <f ca="1">'Loading Arrival'!$C$11</f>
        <v>45917</v>
      </c>
      <c r="AC5" s="336">
        <f ca="1">'Loading Arrival'!$D$11</f>
        <v>45931</v>
      </c>
      <c r="AD5" s="356">
        <f ca="1">'Loading Arrival'!$D$11</f>
        <v>45931</v>
      </c>
    </row>
    <row r="6" spans="1:30" x14ac:dyDescent="0.25">
      <c r="A6" t="s">
        <v>161</v>
      </c>
      <c r="D6" s="342"/>
      <c r="E6" s="351">
        <f ca="1">'Loading Arrival'!B3</f>
        <v>45910</v>
      </c>
      <c r="F6" s="341">
        <f ca="1">E6</f>
        <v>45910</v>
      </c>
      <c r="G6" s="128">
        <f ca="1">'Loading Arrival'!C3</f>
        <v>45924</v>
      </c>
      <c r="H6" s="352">
        <f ca="1">'Loading Arrival'!C3</f>
        <v>45924</v>
      </c>
      <c r="I6" s="344"/>
      <c r="J6" t="s">
        <v>161</v>
      </c>
      <c r="N6" s="357">
        <f ca="1">N5</f>
        <v>45903</v>
      </c>
      <c r="O6" s="358">
        <f ca="1">O5</f>
        <v>45903</v>
      </c>
      <c r="P6" s="355">
        <f ca="1">P5</f>
        <v>45917</v>
      </c>
      <c r="Q6" s="351">
        <f ca="1">Q5</f>
        <v>45917</v>
      </c>
      <c r="R6" s="357">
        <f t="shared" ref="R6:S6" ca="1" si="0">R5</f>
        <v>45931</v>
      </c>
      <c r="S6" s="358">
        <f t="shared" ca="1" si="0"/>
        <v>45931</v>
      </c>
      <c r="T6" s="5"/>
      <c r="U6" s="360" t="s">
        <v>161</v>
      </c>
      <c r="Y6" s="357">
        <f ca="1">Y5</f>
        <v>45903</v>
      </c>
      <c r="Z6" s="358">
        <f ca="1">Z5</f>
        <v>45903</v>
      </c>
      <c r="AA6" s="355">
        <f ca="1">AA5</f>
        <v>45917</v>
      </c>
      <c r="AB6" s="351">
        <f ca="1">AB5</f>
        <v>45917</v>
      </c>
      <c r="AC6" s="357">
        <f t="shared" ref="AC6" ca="1" si="1">AC5</f>
        <v>45931</v>
      </c>
      <c r="AD6" s="358">
        <f t="shared" ref="AD6" ca="1" si="2">AD5</f>
        <v>45931</v>
      </c>
    </row>
    <row r="7" spans="1:30" x14ac:dyDescent="0.25">
      <c r="A7" s="153"/>
      <c r="B7" s="130"/>
      <c r="C7" s="10"/>
      <c r="D7" s="10"/>
      <c r="E7" s="132" t="s">
        <v>87</v>
      </c>
      <c r="F7" s="346" t="s">
        <v>88</v>
      </c>
      <c r="G7" s="132" t="s">
        <v>87</v>
      </c>
      <c r="H7" s="353" t="s">
        <v>88</v>
      </c>
      <c r="I7" s="344"/>
      <c r="J7" s="131"/>
      <c r="K7" s="130"/>
      <c r="L7" s="10"/>
      <c r="M7" s="10"/>
      <c r="N7" s="132" t="s">
        <v>87</v>
      </c>
      <c r="O7" s="133" t="s">
        <v>88</v>
      </c>
      <c r="P7" s="132" t="s">
        <v>87</v>
      </c>
      <c r="Q7" s="133" t="s">
        <v>88</v>
      </c>
      <c r="R7" s="132" t="s">
        <v>87</v>
      </c>
      <c r="S7" s="133" t="s">
        <v>88</v>
      </c>
      <c r="U7" s="131"/>
      <c r="V7" s="130"/>
      <c r="W7" s="10"/>
      <c r="X7" s="10"/>
      <c r="Y7" s="132" t="s">
        <v>87</v>
      </c>
      <c r="Z7" s="133" t="s">
        <v>88</v>
      </c>
      <c r="AA7" s="132" t="s">
        <v>87</v>
      </c>
      <c r="AB7" s="133" t="s">
        <v>88</v>
      </c>
      <c r="AC7" s="132" t="s">
        <v>87</v>
      </c>
      <c r="AD7" s="133" t="s">
        <v>88</v>
      </c>
    </row>
    <row r="8" spans="1:30" ht="15.75" thickBot="1" x14ac:dyDescent="0.3">
      <c r="A8" s="5" t="s">
        <v>55</v>
      </c>
      <c r="B8" s="106">
        <f>VLOOKUP(A4,Freight!$A$2:$F$11,2,0)</f>
        <v>5600000</v>
      </c>
      <c r="C8" s="6"/>
      <c r="D8" s="6"/>
      <c r="E8" s="120">
        <f>$B8/$B$9</f>
        <v>20.74074074074074</v>
      </c>
      <c r="F8" s="347">
        <f>$B8/$B$9</f>
        <v>20.74074074074074</v>
      </c>
      <c r="G8" s="120">
        <f>B8/B$9</f>
        <v>20.74074074074074</v>
      </c>
      <c r="H8" s="347">
        <f>B8/B$9</f>
        <v>20.74074074074074</v>
      </c>
      <c r="J8" s="5" t="s">
        <v>55</v>
      </c>
      <c r="K8" s="106">
        <f>VLOOKUP(J4,Freight!$A$2:$F$11,2,0)</f>
        <v>5100000</v>
      </c>
      <c r="L8" s="6"/>
      <c r="M8" s="6"/>
      <c r="N8" s="120">
        <f>K8/K$9</f>
        <v>34</v>
      </c>
      <c r="O8" s="121">
        <f>K8/K$9</f>
        <v>34</v>
      </c>
      <c r="P8" s="120">
        <f>K8/K$9</f>
        <v>34</v>
      </c>
      <c r="Q8" s="121">
        <f>K8/K$9</f>
        <v>34</v>
      </c>
      <c r="R8" s="120">
        <f>K8/K$9</f>
        <v>34</v>
      </c>
      <c r="S8" s="121">
        <f>K8/K$9</f>
        <v>34</v>
      </c>
      <c r="U8" s="5" t="s">
        <v>55</v>
      </c>
      <c r="V8" s="106">
        <f>VLOOKUP(U4,Freight!$A$2:$F$11,2,0)</f>
        <v>4600000</v>
      </c>
      <c r="W8" s="6"/>
      <c r="X8" s="6"/>
      <c r="Y8" s="120">
        <f>V8/V$9</f>
        <v>46.938775510204081</v>
      </c>
      <c r="Z8" s="121">
        <f>V8/V$9</f>
        <v>46.938775510204081</v>
      </c>
      <c r="AA8" s="120">
        <f>V8/V$9</f>
        <v>46.938775510204081</v>
      </c>
      <c r="AB8" s="121">
        <f>V8/V$9</f>
        <v>46.938775510204081</v>
      </c>
      <c r="AC8" s="120">
        <f>V8/V$9</f>
        <v>46.938775510204081</v>
      </c>
      <c r="AD8" s="121">
        <f>V8/V$9</f>
        <v>46.938775510204081</v>
      </c>
    </row>
    <row r="9" spans="1:30" x14ac:dyDescent="0.25">
      <c r="A9" s="5" t="s">
        <v>56</v>
      </c>
      <c r="B9" s="106">
        <v>270000</v>
      </c>
      <c r="C9" s="3" t="s">
        <v>81</v>
      </c>
      <c r="D9" s="4" t="s">
        <v>82</v>
      </c>
      <c r="E9" s="122"/>
      <c r="F9" s="348"/>
      <c r="G9" s="122"/>
      <c r="H9" s="348"/>
      <c r="J9" s="5" t="s">
        <v>56</v>
      </c>
      <c r="K9" s="106">
        <v>150000</v>
      </c>
      <c r="L9" s="3" t="s">
        <v>81</v>
      </c>
      <c r="M9" s="4" t="s">
        <v>82</v>
      </c>
      <c r="N9" s="122"/>
      <c r="O9" s="123"/>
      <c r="P9" s="122"/>
      <c r="Q9" s="123"/>
      <c r="R9" s="122"/>
      <c r="S9" s="123"/>
      <c r="U9" s="5" t="s">
        <v>56</v>
      </c>
      <c r="V9" s="106">
        <v>98000</v>
      </c>
      <c r="W9" s="3" t="s">
        <v>81</v>
      </c>
      <c r="X9" s="4" t="s">
        <v>82</v>
      </c>
      <c r="Y9" s="122"/>
      <c r="Z9" s="123"/>
      <c r="AA9" s="122"/>
      <c r="AB9" s="123"/>
      <c r="AC9" s="122"/>
      <c r="AD9" s="123"/>
    </row>
    <row r="10" spans="1:30" ht="15.75" thickBot="1" x14ac:dyDescent="0.3">
      <c r="A10" s="5" t="s">
        <v>57</v>
      </c>
      <c r="B10" s="106">
        <f>C10*D10</f>
        <v>550000</v>
      </c>
      <c r="C10" s="135">
        <f>VLOOKUP($A$4,Freight!$A$2:$F$11,5,0)</f>
        <v>55000</v>
      </c>
      <c r="D10" s="105">
        <v>10</v>
      </c>
      <c r="E10" s="120">
        <f>B$10/B$9</f>
        <v>2.0370370370370372</v>
      </c>
      <c r="F10" s="347">
        <f>B$10/B$9</f>
        <v>2.0370370370370372</v>
      </c>
      <c r="G10" s="120">
        <f>B10/B$9</f>
        <v>2.0370370370370372</v>
      </c>
      <c r="H10" s="347">
        <f>B10/B$9</f>
        <v>2.0370370370370372</v>
      </c>
      <c r="J10" s="5" t="s">
        <v>57</v>
      </c>
      <c r="K10" s="106">
        <f>L10*M10</f>
        <v>402500</v>
      </c>
      <c r="L10" s="7">
        <f>VLOOKUP(J$4,Freight!$A$2:$F$11,5,0)</f>
        <v>57500</v>
      </c>
      <c r="M10" s="105">
        <v>7</v>
      </c>
      <c r="N10" s="120">
        <f>K$10/K$9</f>
        <v>2.6833333333333331</v>
      </c>
      <c r="O10" s="121">
        <f>K$10/K$9</f>
        <v>2.6833333333333331</v>
      </c>
      <c r="P10" s="120">
        <f>K10/K$9</f>
        <v>2.6833333333333331</v>
      </c>
      <c r="Q10" s="121">
        <f>K10/K$9</f>
        <v>2.6833333333333331</v>
      </c>
      <c r="R10" s="120">
        <f>K10/K$9</f>
        <v>2.6833333333333331</v>
      </c>
      <c r="S10" s="121">
        <f>K10/K$9</f>
        <v>2.6833333333333331</v>
      </c>
      <c r="U10" s="5" t="s">
        <v>57</v>
      </c>
      <c r="V10" s="106">
        <f>W10*X10</f>
        <v>212500</v>
      </c>
      <c r="W10" s="7">
        <f>VLOOKUP(U$4,Freight!$A$2:$F$11,5,0)</f>
        <v>42500</v>
      </c>
      <c r="X10" s="105">
        <v>5</v>
      </c>
      <c r="Y10" s="120">
        <f>V$10/V$9</f>
        <v>2.1683673469387754</v>
      </c>
      <c r="Z10" s="121">
        <f>V$10/V$9</f>
        <v>2.1683673469387754</v>
      </c>
      <c r="AA10" s="120">
        <f>V10/V$9</f>
        <v>2.1683673469387754</v>
      </c>
      <c r="AB10" s="121">
        <f>V10/V$9</f>
        <v>2.1683673469387754</v>
      </c>
      <c r="AC10" s="120">
        <f>V10/V$9</f>
        <v>2.1683673469387754</v>
      </c>
      <c r="AD10" s="121">
        <f>V10/V$9</f>
        <v>2.1683673469387754</v>
      </c>
    </row>
    <row r="11" spans="1:30" x14ac:dyDescent="0.25">
      <c r="A11" s="5" t="s">
        <v>58</v>
      </c>
      <c r="B11" s="106">
        <v>8500</v>
      </c>
      <c r="C11" s="6"/>
      <c r="D11" s="6"/>
      <c r="E11" s="120">
        <f>B11/B$9</f>
        <v>3.1481481481481478E-2</v>
      </c>
      <c r="F11" s="347">
        <f>B11/B$9</f>
        <v>3.1481481481481478E-2</v>
      </c>
      <c r="G11" s="120">
        <f>B11/B$9</f>
        <v>3.1481481481481478E-2</v>
      </c>
      <c r="H11" s="347">
        <f>B11/B$9</f>
        <v>3.1481481481481478E-2</v>
      </c>
      <c r="J11" s="5" t="s">
        <v>58</v>
      </c>
      <c r="K11" s="106">
        <v>8500</v>
      </c>
      <c r="L11" s="6"/>
      <c r="M11" s="6"/>
      <c r="N11" s="120">
        <f>K11/K$9</f>
        <v>5.6666666666666664E-2</v>
      </c>
      <c r="O11" s="121">
        <f>K11/K$9</f>
        <v>5.6666666666666664E-2</v>
      </c>
      <c r="P11" s="120">
        <f>K11/K$9</f>
        <v>5.6666666666666664E-2</v>
      </c>
      <c r="Q11" s="121">
        <f>K11/K$9</f>
        <v>5.6666666666666664E-2</v>
      </c>
      <c r="R11" s="120">
        <f>K11/K$9</f>
        <v>5.6666666666666664E-2</v>
      </c>
      <c r="S11" s="121">
        <f>K11/K$9</f>
        <v>5.6666666666666664E-2</v>
      </c>
      <c r="U11" s="5" t="s">
        <v>58</v>
      </c>
      <c r="V11" s="106">
        <v>8500</v>
      </c>
      <c r="W11" s="6"/>
      <c r="X11" s="6"/>
      <c r="Y11" s="120">
        <f>V11/V$9</f>
        <v>8.673469387755102E-2</v>
      </c>
      <c r="Z11" s="121">
        <f>V11/V$9</f>
        <v>8.673469387755102E-2</v>
      </c>
      <c r="AA11" s="120">
        <f>V11/V$9</f>
        <v>8.673469387755102E-2</v>
      </c>
      <c r="AB11" s="121">
        <f>V11/V$9</f>
        <v>8.673469387755102E-2</v>
      </c>
      <c r="AC11" s="120">
        <f>V11/V$9</f>
        <v>8.673469387755102E-2</v>
      </c>
      <c r="AD11" s="121">
        <f>V11/V$9</f>
        <v>8.673469387755102E-2</v>
      </c>
    </row>
    <row r="12" spans="1:30" ht="15.75" thickBot="1" x14ac:dyDescent="0.3">
      <c r="A12" s="5" t="s">
        <v>127</v>
      </c>
      <c r="B12" s="106">
        <v>25000</v>
      </c>
      <c r="C12" s="6"/>
      <c r="D12" s="6"/>
      <c r="E12" s="120">
        <f>B12/B$9</f>
        <v>9.2592592592592587E-2</v>
      </c>
      <c r="F12" s="347">
        <f>B12/B$9</f>
        <v>9.2592592592592587E-2</v>
      </c>
      <c r="G12" s="120">
        <f>B12/B$9</f>
        <v>9.2592592592592587E-2</v>
      </c>
      <c r="H12" s="121">
        <f>B12/B$9</f>
        <v>9.2592592592592587E-2</v>
      </c>
      <c r="J12" s="5" t="s">
        <v>127</v>
      </c>
      <c r="K12" s="106">
        <v>25000</v>
      </c>
      <c r="L12" s="6"/>
      <c r="M12" s="6"/>
      <c r="N12" s="120">
        <f>K12/K$9</f>
        <v>0.16666666666666666</v>
      </c>
      <c r="O12" s="121">
        <f>K12/K$9</f>
        <v>0.16666666666666666</v>
      </c>
      <c r="P12" s="120">
        <f>K12/K$9</f>
        <v>0.16666666666666666</v>
      </c>
      <c r="Q12" s="121">
        <f>K12/K$9</f>
        <v>0.16666666666666666</v>
      </c>
      <c r="R12" s="120">
        <f>K12/K$9</f>
        <v>0.16666666666666666</v>
      </c>
      <c r="S12" s="121">
        <f>K12/K$9</f>
        <v>0.16666666666666666</v>
      </c>
      <c r="U12" s="5" t="s">
        <v>127</v>
      </c>
      <c r="V12" s="106">
        <v>25000</v>
      </c>
      <c r="W12" s="6"/>
      <c r="X12" s="6"/>
      <c r="Y12" s="120">
        <f>V12/V$9</f>
        <v>0.25510204081632654</v>
      </c>
      <c r="Z12" s="121">
        <f>V12/V$9</f>
        <v>0.25510204081632654</v>
      </c>
      <c r="AA12" s="120">
        <f>V12/V$9</f>
        <v>0.25510204081632654</v>
      </c>
      <c r="AB12" s="121">
        <f>V12/V$9</f>
        <v>0.25510204081632654</v>
      </c>
      <c r="AC12" s="120">
        <f>V12/V$9</f>
        <v>0.25510204081632654</v>
      </c>
      <c r="AD12" s="121">
        <f>V12/V$9</f>
        <v>0.25510204081632654</v>
      </c>
    </row>
    <row r="13" spans="1:30" x14ac:dyDescent="0.25">
      <c r="A13" s="5" t="s">
        <v>128</v>
      </c>
      <c r="B13" s="106">
        <v>25000</v>
      </c>
      <c r="C13" s="3" t="s">
        <v>81</v>
      </c>
      <c r="D13" s="4" t="s">
        <v>82</v>
      </c>
      <c r="E13" s="120">
        <f>B13/B$9</f>
        <v>9.2592592592592587E-2</v>
      </c>
      <c r="F13" s="121">
        <f>B13/B$9</f>
        <v>9.2592592592592587E-2</v>
      </c>
      <c r="G13" s="120">
        <f>B13/B$9</f>
        <v>9.2592592592592587E-2</v>
      </c>
      <c r="H13" s="121">
        <f>B13/B$9</f>
        <v>9.2592592592592587E-2</v>
      </c>
      <c r="J13" s="5" t="s">
        <v>128</v>
      </c>
      <c r="K13" s="106">
        <v>25000</v>
      </c>
      <c r="L13" s="3" t="s">
        <v>81</v>
      </c>
      <c r="M13" s="4" t="s">
        <v>82</v>
      </c>
      <c r="N13" s="120">
        <f>K13/K$9</f>
        <v>0.16666666666666666</v>
      </c>
      <c r="O13" s="121">
        <f>K13/K$9</f>
        <v>0.16666666666666666</v>
      </c>
      <c r="P13" s="120">
        <f>K13/K$9</f>
        <v>0.16666666666666666</v>
      </c>
      <c r="Q13" s="121">
        <f>K13/K$9</f>
        <v>0.16666666666666666</v>
      </c>
      <c r="R13" s="120">
        <f>K13/K$9</f>
        <v>0.16666666666666666</v>
      </c>
      <c r="S13" s="121">
        <f>K13/K$9</f>
        <v>0.16666666666666666</v>
      </c>
      <c r="U13" s="5" t="s">
        <v>128</v>
      </c>
      <c r="V13" s="106">
        <v>25000</v>
      </c>
      <c r="W13" s="3" t="s">
        <v>81</v>
      </c>
      <c r="X13" s="4" t="s">
        <v>82</v>
      </c>
      <c r="Y13" s="120">
        <f>V13/V$9</f>
        <v>0.25510204081632654</v>
      </c>
      <c r="Z13" s="121">
        <f>V13/V$9</f>
        <v>0.25510204081632654</v>
      </c>
      <c r="AA13" s="120">
        <f>V13/V$9</f>
        <v>0.25510204081632654</v>
      </c>
      <c r="AB13" s="121">
        <f>V13/V$9</f>
        <v>0.25510204081632654</v>
      </c>
      <c r="AC13" s="120">
        <f>V13/V$9</f>
        <v>0.25510204081632654</v>
      </c>
      <c r="AD13" s="121">
        <f>V13/V$9</f>
        <v>0.25510204081632654</v>
      </c>
    </row>
    <row r="14" spans="1:30" ht="15.75" thickBot="1" x14ac:dyDescent="0.3">
      <c r="A14" s="5" t="s">
        <v>83</v>
      </c>
      <c r="B14" s="109">
        <f ca="1">(D14*((C14)/365)*VLOOKUP(EOMONTH(E5,-1)+1,Tullet!$A$4:$S$25,2,0))*B9</f>
        <v>935550.00000000012</v>
      </c>
      <c r="C14" s="103">
        <v>5.5E-2</v>
      </c>
      <c r="D14" s="105">
        <v>60</v>
      </c>
      <c r="E14" s="120">
        <f ca="1">(D14*((C14)/365)*VLOOKUP(EOMONTH(E5,-1)+1,Tullet!$A$4:$S$27,2,0))</f>
        <v>3.4650000000000003</v>
      </c>
      <c r="F14" s="124">
        <f ca="1">(D14*((C14)/365)*VLOOKUP(EOMONTH(E5,-1)+1,Tullet!$N$4:$S$27,3,0))</f>
        <v>4.0907787328767116</v>
      </c>
      <c r="G14" s="120">
        <f ca="1">($D$14*(($C$14)/365)*VLOOKUP(EOMONTH(G5,-1)+1,Tullet!$A$4:$S$27,2,0))</f>
        <v>3.4650000000000003</v>
      </c>
      <c r="H14" s="124">
        <f ca="1">($D$14*(($C$14)/365)*VLOOKUP(EOMONTH(G5,-1)+1,Tullet!$N$4:$S$27,3,0))</f>
        <v>4.0907787328767116</v>
      </c>
      <c r="J14" s="5" t="s">
        <v>83</v>
      </c>
      <c r="K14" s="106">
        <f ca="1">(M14*((L14)/365)*VLOOKUP(EOMONTH(N5,-1)+1,Tullet!$A$4:$S$27,2,0))*K9</f>
        <v>519750.00000000006</v>
      </c>
      <c r="L14" s="103">
        <v>5.5E-2</v>
      </c>
      <c r="M14" s="105">
        <v>60</v>
      </c>
      <c r="N14" s="120">
        <f ca="1">(M14*((L14)/365)*VLOOKUP(EOMONTH(N5,-1)+1,Tullet!$A$4:$S$27,2,0))</f>
        <v>3.4650000000000003</v>
      </c>
      <c r="O14" s="124">
        <f ca="1">(M14*((L14)/365)*VLOOKUP(EOMONTH(N5,-1)+1,Tullet!$N$4:$S$27,3,0))</f>
        <v>4.0907787328767116</v>
      </c>
      <c r="P14" s="120">
        <f ca="1">(M$14*((L$14)/365)*VLOOKUP(EOMONTH(P5,-1)+1,Tullet!$A$4:$S$27,2,0))</f>
        <v>3.4650000000000003</v>
      </c>
      <c r="Q14" s="124">
        <f ca="1">(M$14*((L$14)/365)*VLOOKUP(EOMONTH(P5,-1)+1,Tullet!$N$4:$S$27,3,0))</f>
        <v>4.0907787328767116</v>
      </c>
      <c r="R14" s="120">
        <f ca="1">(M$14*((L$14)/365)*VLOOKUP(EOMONTH(R5,-1)+1,Tullet!$A$4:$S$27,2,0))</f>
        <v>3.4310958904109592</v>
      </c>
      <c r="S14" s="124">
        <f ca="1">(M$14*((L$14)/365)*VLOOKUP(EOMONTH(R5,-1)+1,Tullet!$N$4:$S$27,3,0))</f>
        <v>4.0500938013698624</v>
      </c>
      <c r="U14" s="5" t="s">
        <v>83</v>
      </c>
      <c r="V14" s="109">
        <f ca="1">(X14*((W14)/365)*VLOOKUP(EOMONTH(Y5,-1)+1,Tullet!$A$4:$S$27,2,0))*V9</f>
        <v>339570.00000000006</v>
      </c>
      <c r="W14" s="103">
        <v>5.5E-2</v>
      </c>
      <c r="X14" s="105">
        <v>60</v>
      </c>
      <c r="Y14" s="120">
        <f ca="1">(X14*((W14)/365)*VLOOKUP(EOMONTH(Y5,-1)+1,Tullet!$A$4:$S$27,2,0))</f>
        <v>3.4650000000000003</v>
      </c>
      <c r="Z14" s="124">
        <f ca="1">(X14*((W14)/365)*VLOOKUP(EOMONTH(Y5,-1)+1,Tullet!$N$4:$S$27,3,0))</f>
        <v>4.0907787328767116</v>
      </c>
      <c r="AA14" s="120">
        <f ca="1">(X$14*((W$14)/365)*VLOOKUP(EOMONTH(AA5,-1)+1,Tullet!$A$4:$S$27,2,0))</f>
        <v>3.4650000000000003</v>
      </c>
      <c r="AB14" s="124">
        <f ca="1">(X$14*((W$14)/365)*VLOOKUP(EOMONTH(AA5,-1)+1,Tullet!$N$4:$S$27,3,0))</f>
        <v>4.0907787328767116</v>
      </c>
      <c r="AC14" s="120">
        <f ca="1">(X$14*((W$14)/365)*VLOOKUP(EOMONTH(AC5,-1)+1,Tullet!$A$4:$S$27,2,0))</f>
        <v>3.4310958904109592</v>
      </c>
      <c r="AD14" s="124">
        <f ca="1">(X$14*((W$14)/365)*VLOOKUP(EOMONTH(AC5,-1)+1,Tullet!$N$4:$S$27,3,0))</f>
        <v>4.0500938013698624</v>
      </c>
    </row>
    <row r="15" spans="1:30" ht="15.75" thickBot="1" x14ac:dyDescent="0.3">
      <c r="A15" s="5" t="s">
        <v>59</v>
      </c>
      <c r="B15" s="106"/>
      <c r="C15" s="6"/>
      <c r="D15" s="6"/>
      <c r="E15" s="122"/>
      <c r="F15" s="123"/>
      <c r="G15" s="122"/>
      <c r="H15" s="123"/>
      <c r="J15" s="5" t="s">
        <v>59</v>
      </c>
      <c r="K15" s="106"/>
      <c r="L15" s="6"/>
      <c r="M15" s="6"/>
      <c r="N15" s="122"/>
      <c r="O15" s="123"/>
      <c r="P15" s="122"/>
      <c r="Q15" s="123"/>
      <c r="R15" s="122"/>
      <c r="S15" s="123"/>
      <c r="U15" s="5" t="s">
        <v>59</v>
      </c>
      <c r="V15" s="106"/>
      <c r="W15" s="6"/>
      <c r="X15" s="6"/>
      <c r="Y15" s="122"/>
      <c r="Z15" s="123"/>
      <c r="AA15" s="122"/>
      <c r="AB15" s="123"/>
      <c r="AC15" s="122"/>
      <c r="AD15" s="123"/>
    </row>
    <row r="16" spans="1:30" x14ac:dyDescent="0.25">
      <c r="A16" s="5" t="s">
        <v>60</v>
      </c>
      <c r="B16" s="106">
        <f ca="1">B9*VLOOKUP(EOMONTH(E5,-1)+1,Tullet!$A$4:$S$25,2,0)*0.1%</f>
        <v>103477.5</v>
      </c>
      <c r="C16" s="3" t="s">
        <v>81</v>
      </c>
      <c r="D16" s="4" t="s">
        <v>84</v>
      </c>
      <c r="E16" s="120">
        <f ca="1">VLOOKUP(EOMONTH(E5,-1)+1,Tullet!$A$4:$S$27,2,0)*0.00075</f>
        <v>0.28743750000000001</v>
      </c>
      <c r="F16" s="121">
        <f ca="1">VLOOKUP(EOMONTH(E5,-1)+1,Tullet!$N$3:$S$27,3,0)*0.00075</f>
        <v>0.33934869034090903</v>
      </c>
      <c r="G16" s="120">
        <f ca="1">VLOOKUP(EOMONTH(G5,-1)+1,Tullet!$A$4:$S$27,2,0)*0.00075</f>
        <v>0.28743750000000001</v>
      </c>
      <c r="H16" s="121">
        <f ca="1">VLOOKUP(EOMONTH(G5,-1)+1,Tullet!$N$3:$S$27,3,0)*0.00075</f>
        <v>0.33934869034090903</v>
      </c>
      <c r="J16" s="5" t="s">
        <v>60</v>
      </c>
      <c r="K16" s="106">
        <f ca="1">K9*VLOOKUP(EOMONTH(N5,-1)+1,Tullet!$A$4:$S$25,2,0)*0.1%</f>
        <v>57487.5</v>
      </c>
      <c r="L16" s="3" t="s">
        <v>81</v>
      </c>
      <c r="M16" s="4" t="s">
        <v>84</v>
      </c>
      <c r="N16" s="120">
        <f ca="1">VLOOKUP(EOMONTH(N5,-1)+1,Tullet!$A$4:$S$27,2,0)*0.00075</f>
        <v>0.28743750000000001</v>
      </c>
      <c r="O16" s="121">
        <f ca="1">VLOOKUP(EOMONTH(N5,-1)+1,Tullet!$N$3:$S$27,3,0)*0.00075</f>
        <v>0.33934869034090903</v>
      </c>
      <c r="P16" s="120">
        <f ca="1">VLOOKUP(EOMONTH(P5,-1)+1,Tullet!$A$4:$S$27,2,0)*0.00075</f>
        <v>0.28743750000000001</v>
      </c>
      <c r="Q16" s="121">
        <f ca="1">VLOOKUP(EOMONTH(P5,-1)+1,Tullet!$N$3:$S$27,3,0)*0.00075</f>
        <v>0.33934869034090903</v>
      </c>
      <c r="R16" s="120">
        <f ca="1">VLOOKUP(EOMONTH(R5,-1)+1,Tullet!$A$4:$S$27,2,0)*0.00075</f>
        <v>0.28462500000000002</v>
      </c>
      <c r="S16" s="121">
        <f ca="1">VLOOKUP(EOMONTH(R5,-1)+1,Tullet!$N$3:$S$27,3,0)*0.00075</f>
        <v>0.33597369034090907</v>
      </c>
      <c r="U16" s="5" t="s">
        <v>60</v>
      </c>
      <c r="V16" s="106">
        <f ca="1">V9*VLOOKUP(EOMONTH(Y5,-1)+1,Tullet!$A$4:$S$25,2,0)*0.1%</f>
        <v>37558.5</v>
      </c>
      <c r="W16" s="3" t="s">
        <v>81</v>
      </c>
      <c r="X16" s="4" t="s">
        <v>84</v>
      </c>
      <c r="Y16" s="120">
        <f ca="1">VLOOKUP(EOMONTH(Y5,-1)+1,Tullet!$A$4:$S$27,2,0)*0.00075</f>
        <v>0.28743750000000001</v>
      </c>
      <c r="Z16" s="121">
        <f ca="1">VLOOKUP(EOMONTH(Y5,-1)+1,Tullet!$N$3:$S$27,3,0)*0.00075</f>
        <v>0.33934869034090903</v>
      </c>
      <c r="AA16" s="120">
        <f ca="1">VLOOKUP(EOMONTH(AA5,-1)+1,Tullet!$A$4:$S$27,2,0)*0.00075</f>
        <v>0.28743750000000001</v>
      </c>
      <c r="AB16" s="121">
        <f ca="1">VLOOKUP(EOMONTH(AA5,-1)+1,Tullet!$N$3:$S$27,3,0)*0.00075</f>
        <v>0.33934869034090903</v>
      </c>
      <c r="AC16" s="120">
        <f ca="1">VLOOKUP(EOMONTH(AC5,-1)+1,Tullet!$A$4:$S$27,2,0)*0.00075</f>
        <v>0.28462500000000002</v>
      </c>
      <c r="AD16" s="121">
        <f ca="1">VLOOKUP(EOMONTH(AC5,-1)+1,Tullet!$N$3:$S$27,3,0)*0.00075</f>
        <v>0.33597369034090907</v>
      </c>
    </row>
    <row r="17" spans="1:30" ht="15.75" thickBot="1" x14ac:dyDescent="0.3">
      <c r="A17" s="5" t="s">
        <v>61</v>
      </c>
      <c r="B17" s="106">
        <f ca="1">C17*$B$9*VLOOKUP(EOMONTH(E26,-1)+1,Tullet!$E$50:$I$83,4,0)</f>
        <v>318532.5</v>
      </c>
      <c r="C17" s="104">
        <v>3.0000000000000001E-3</v>
      </c>
      <c r="D17" s="105" t="s">
        <v>85</v>
      </c>
      <c r="E17" s="120">
        <f ca="1">$C$17*VLOOKUP(EOMONTH(E26,-1)+1,Tullet!$E$50:$I$83,4,0)</f>
        <v>1.1797500000000001</v>
      </c>
      <c r="F17" s="120">
        <f ca="1">$C$17*VLOOKUP(EOMONTH(F26,-1)+1,Tullet!$E$50:$I$83,4,0)</f>
        <v>1.1797500000000001</v>
      </c>
      <c r="G17" s="120">
        <f ca="1">$C$17*VLOOKUP(EOMONTH(G26,-1)+1,Tullet!$E$53:$I$83,4,0)</f>
        <v>1.1692500000000001</v>
      </c>
      <c r="H17" s="120">
        <f ca="1">$C$17*VLOOKUP(EOMONTH(H26,-1)+1,Tullet!$E$53:$I$83,4,0)</f>
        <v>1.1692500000000001</v>
      </c>
      <c r="I17" s="141"/>
      <c r="J17" s="149" t="s">
        <v>61</v>
      </c>
      <c r="K17" s="106">
        <f ca="1">L17*$K$9*VLOOKUP(EOMONTH(N26,-1)+1,Tullet!$E$50:$I$83,4,0)</f>
        <v>177187.5</v>
      </c>
      <c r="L17" s="335">
        <v>3.0000000000000001E-3</v>
      </c>
      <c r="M17" s="151" t="s">
        <v>85</v>
      </c>
      <c r="N17" s="120">
        <f ca="1">$L$17*VLOOKUP(EOMONTH(N26,-1)+1,Tullet!$E$50:$I$83,4,0)</f>
        <v>1.1812500000000001</v>
      </c>
      <c r="O17" s="120">
        <f ca="1">$L$17*VLOOKUP(EOMONTH(O26,-1)+1,Tullet!$E$50:$I$83,4,0)</f>
        <v>1.1812500000000001</v>
      </c>
      <c r="P17" s="120">
        <f ca="1">$L$17*VLOOKUP(EOMONTH(P26,-1)+1,Tullet!$E$50:$I$83,4,0)</f>
        <v>1.1797500000000001</v>
      </c>
      <c r="Q17" s="120">
        <f ca="1">$L$17*VLOOKUP(EOMONTH(Q26,-1)+1,Tullet!$E$50:$I$83,4,0)</f>
        <v>1.1797500000000001</v>
      </c>
      <c r="R17" s="120">
        <f ca="1">$L$17*VLOOKUP(EOMONTH(R26,-1)+1,Tullet!$E$53:$I$83,4,0)</f>
        <v>1.1797500000000001</v>
      </c>
      <c r="S17" s="120">
        <f ca="1">$L$17*VLOOKUP(EOMONTH(S26,-1)+1,Tullet!$E$53:$I$83,4,0)</f>
        <v>1.1797500000000001</v>
      </c>
      <c r="T17" s="141"/>
      <c r="U17" s="149" t="s">
        <v>61</v>
      </c>
      <c r="V17" s="150">
        <f ca="1">W17*$K$9*VLOOKUP(EOMONTH(Y26,-1)+1,Tullet!$E$50:$I$83,4,0)</f>
        <v>177187.5</v>
      </c>
      <c r="W17" s="152">
        <v>3.0000000000000001E-3</v>
      </c>
      <c r="X17" s="151" t="s">
        <v>85</v>
      </c>
      <c r="Y17" s="120">
        <f ca="1">$W$17*VLOOKUP(EOMONTH(Y26,-1)+1,Tullet!$E$50:$I$83,4,0)</f>
        <v>1.1812500000000001</v>
      </c>
      <c r="Z17" s="120">
        <f ca="1">$W$17*VLOOKUP(EOMONTH(Z26,-1)+1,Tullet!$E$50:$I$83,4,0)</f>
        <v>1.1812500000000001</v>
      </c>
      <c r="AA17" s="120">
        <f ca="1">$W$17*VLOOKUP(EOMONTH(AA26,-1)+1,Tullet!$E$50:$I$83,4,0)</f>
        <v>1.1797500000000001</v>
      </c>
      <c r="AB17" s="120">
        <f ca="1">$W$17*VLOOKUP(EOMONTH(AB26,-1)+1,Tullet!$E$50:$I$83,4,0)</f>
        <v>1.1797500000000001</v>
      </c>
      <c r="AC17" s="120">
        <f ca="1">$W$17*VLOOKUP(EOMONTH(AC26,-1)+1,Tullet!$E$53:$I$83,4,0)</f>
        <v>1.1797500000000001</v>
      </c>
      <c r="AD17" s="120">
        <f ca="1">$W$17*VLOOKUP(EOMONTH(AD26,-1)+1,Tullet!$E$53:$I$83,4,0)</f>
        <v>1.1797500000000001</v>
      </c>
    </row>
    <row r="18" spans="1:30" x14ac:dyDescent="0.25">
      <c r="A18" s="5" t="s">
        <v>62</v>
      </c>
      <c r="B18" s="106">
        <v>12500</v>
      </c>
      <c r="C18" s="6"/>
      <c r="D18" s="6"/>
      <c r="E18" s="120">
        <f>B18/B$9</f>
        <v>4.6296296296296294E-2</v>
      </c>
      <c r="F18" s="121">
        <f>B18/B$9</f>
        <v>4.6296296296296294E-2</v>
      </c>
      <c r="G18" s="120">
        <f>B18/B$9</f>
        <v>4.6296296296296294E-2</v>
      </c>
      <c r="H18" s="121">
        <f>B18/B$9</f>
        <v>4.6296296296296294E-2</v>
      </c>
      <c r="J18" s="5" t="s">
        <v>62</v>
      </c>
      <c r="K18" s="106">
        <v>12500</v>
      </c>
      <c r="L18" s="6"/>
      <c r="M18" s="6"/>
      <c r="N18" s="120">
        <f>K18/K$9</f>
        <v>8.3333333333333329E-2</v>
      </c>
      <c r="O18" s="121">
        <f>K18/K$9</f>
        <v>8.3333333333333329E-2</v>
      </c>
      <c r="P18" s="120">
        <f>K18/K$9</f>
        <v>8.3333333333333329E-2</v>
      </c>
      <c r="Q18" s="121">
        <f>K18/K$9</f>
        <v>8.3333333333333329E-2</v>
      </c>
      <c r="R18" s="120">
        <f>K18/K$9</f>
        <v>8.3333333333333329E-2</v>
      </c>
      <c r="S18" s="121">
        <f>K18/K$9</f>
        <v>8.3333333333333329E-2</v>
      </c>
      <c r="U18" s="5" t="s">
        <v>62</v>
      </c>
      <c r="V18" s="106">
        <v>12500</v>
      </c>
      <c r="W18" s="6"/>
      <c r="X18" s="6"/>
      <c r="Y18" s="120">
        <f>V18/V$9</f>
        <v>0.12755102040816327</v>
      </c>
      <c r="Z18" s="121">
        <f>V18/V$9</f>
        <v>0.12755102040816327</v>
      </c>
      <c r="AA18" s="120">
        <f>V18/V$9</f>
        <v>0.12755102040816327</v>
      </c>
      <c r="AB18" s="121">
        <f>V18/V$9</f>
        <v>0.12755102040816327</v>
      </c>
      <c r="AC18" s="120">
        <f>V18/V$9</f>
        <v>0.12755102040816327</v>
      </c>
      <c r="AD18" s="121">
        <f>V18/V$9</f>
        <v>0.12755102040816327</v>
      </c>
    </row>
    <row r="19" spans="1:30" x14ac:dyDescent="0.25">
      <c r="A19" s="5" t="s">
        <v>63</v>
      </c>
      <c r="B19" s="106">
        <v>1250</v>
      </c>
      <c r="C19" s="6"/>
      <c r="D19" s="6"/>
      <c r="E19" s="120">
        <f>B19/B$9</f>
        <v>4.6296296296296294E-3</v>
      </c>
      <c r="F19" s="121">
        <f>B19/B$9</f>
        <v>4.6296296296296294E-3</v>
      </c>
      <c r="G19" s="120">
        <f>B19/B$9</f>
        <v>4.6296296296296294E-3</v>
      </c>
      <c r="H19" s="121">
        <f>B19/B$9</f>
        <v>4.6296296296296294E-3</v>
      </c>
      <c r="J19" s="5" t="s">
        <v>63</v>
      </c>
      <c r="K19" s="106">
        <v>1250</v>
      </c>
      <c r="L19" s="6"/>
      <c r="M19" s="6"/>
      <c r="N19" s="120">
        <f>K19/K$9</f>
        <v>8.3333333333333332E-3</v>
      </c>
      <c r="O19" s="121">
        <f>K19/K$9</f>
        <v>8.3333333333333332E-3</v>
      </c>
      <c r="P19" s="120">
        <f>K19/K$9</f>
        <v>8.3333333333333332E-3</v>
      </c>
      <c r="Q19" s="121">
        <f>K19/K$9</f>
        <v>8.3333333333333332E-3</v>
      </c>
      <c r="R19" s="120">
        <f>K19/K$9</f>
        <v>8.3333333333333332E-3</v>
      </c>
      <c r="S19" s="121">
        <f>K19/K$9</f>
        <v>8.3333333333333332E-3</v>
      </c>
      <c r="U19" s="5" t="s">
        <v>63</v>
      </c>
      <c r="V19" s="106">
        <v>1250</v>
      </c>
      <c r="W19" s="6"/>
      <c r="X19" s="6"/>
      <c r="Y19" s="120">
        <f>V19/V$9</f>
        <v>1.2755102040816327E-2</v>
      </c>
      <c r="Z19" s="121">
        <f>V19/V$9</f>
        <v>1.2755102040816327E-2</v>
      </c>
      <c r="AA19" s="120">
        <f>V19/V$9</f>
        <v>1.2755102040816327E-2</v>
      </c>
      <c r="AB19" s="121">
        <f>V19/V$9</f>
        <v>1.2755102040816327E-2</v>
      </c>
      <c r="AC19" s="120">
        <f>V19/V$9</f>
        <v>1.2755102040816327E-2</v>
      </c>
      <c r="AD19" s="121">
        <f>V19/V$9</f>
        <v>1.2755102040816327E-2</v>
      </c>
    </row>
    <row r="20" spans="1:30" x14ac:dyDescent="0.25">
      <c r="A20" s="5" t="s">
        <v>64</v>
      </c>
      <c r="B20" s="106">
        <v>1250</v>
      </c>
      <c r="C20" s="6"/>
      <c r="D20" s="6"/>
      <c r="E20" s="120">
        <f>B20/B$9</f>
        <v>4.6296296296296294E-3</v>
      </c>
      <c r="F20" s="121">
        <f>B20/B$9</f>
        <v>4.6296296296296294E-3</v>
      </c>
      <c r="G20" s="120">
        <f>B20/B$9</f>
        <v>4.6296296296296294E-3</v>
      </c>
      <c r="H20" s="121">
        <f>B20/B$9</f>
        <v>4.6296296296296294E-3</v>
      </c>
      <c r="J20" s="5" t="s">
        <v>64</v>
      </c>
      <c r="K20" s="106">
        <v>1250</v>
      </c>
      <c r="L20" s="6"/>
      <c r="M20" s="6"/>
      <c r="N20" s="120">
        <f>K20/K$9</f>
        <v>8.3333333333333332E-3</v>
      </c>
      <c r="O20" s="121">
        <f>K20/K$9</f>
        <v>8.3333333333333332E-3</v>
      </c>
      <c r="P20" s="120">
        <f>K20/K$9</f>
        <v>8.3333333333333332E-3</v>
      </c>
      <c r="Q20" s="121">
        <f>K20/K$9</f>
        <v>8.3333333333333332E-3</v>
      </c>
      <c r="R20" s="120">
        <f>K20/K$9</f>
        <v>8.3333333333333332E-3</v>
      </c>
      <c r="S20" s="121">
        <f>K20/K$9</f>
        <v>8.3333333333333332E-3</v>
      </c>
      <c r="U20" s="5" t="s">
        <v>64</v>
      </c>
      <c r="V20" s="106">
        <v>1250</v>
      </c>
      <c r="W20" s="6"/>
      <c r="X20" s="6"/>
      <c r="Y20" s="120">
        <f>V20/V$9</f>
        <v>1.2755102040816327E-2</v>
      </c>
      <c r="Z20" s="121">
        <f>V20/V$9</f>
        <v>1.2755102040816327E-2</v>
      </c>
      <c r="AA20" s="120">
        <f>V20/V$9</f>
        <v>1.2755102040816327E-2</v>
      </c>
      <c r="AB20" s="121">
        <f>V20/V$9</f>
        <v>1.2755102040816327E-2</v>
      </c>
      <c r="AC20" s="120">
        <f>V20/V$9</f>
        <v>1.2755102040816327E-2</v>
      </c>
      <c r="AD20" s="121">
        <f>V20/V$9</f>
        <v>1.2755102040816327E-2</v>
      </c>
    </row>
    <row r="21" spans="1:30" x14ac:dyDescent="0.25">
      <c r="A21" s="5" t="s">
        <v>65</v>
      </c>
      <c r="B21" s="106">
        <v>20000</v>
      </c>
      <c r="C21" s="6"/>
      <c r="D21" s="6"/>
      <c r="E21" s="120">
        <f>B21/B$9</f>
        <v>7.407407407407407E-2</v>
      </c>
      <c r="F21" s="121">
        <f>B21/B$9</f>
        <v>7.407407407407407E-2</v>
      </c>
      <c r="G21" s="120">
        <f>B21/B$9</f>
        <v>7.407407407407407E-2</v>
      </c>
      <c r="H21" s="121">
        <f>B21/B$9</f>
        <v>7.407407407407407E-2</v>
      </c>
      <c r="J21" s="5" t="s">
        <v>65</v>
      </c>
      <c r="K21" s="106">
        <v>15000</v>
      </c>
      <c r="L21" s="6"/>
      <c r="M21" s="6"/>
      <c r="N21" s="120">
        <f>K21/K$9</f>
        <v>0.1</v>
      </c>
      <c r="O21" s="121">
        <f>K21/K$9</f>
        <v>0.1</v>
      </c>
      <c r="P21" s="120">
        <f>K21/K$9</f>
        <v>0.1</v>
      </c>
      <c r="Q21" s="121">
        <f>K21/K$9</f>
        <v>0.1</v>
      </c>
      <c r="R21" s="120">
        <f>K21/K$9</f>
        <v>0.1</v>
      </c>
      <c r="S21" s="121">
        <f>K21/K$9</f>
        <v>0.1</v>
      </c>
      <c r="U21" s="5" t="s">
        <v>65</v>
      </c>
      <c r="V21" s="106">
        <v>15000</v>
      </c>
      <c r="W21" s="6"/>
      <c r="X21" s="6"/>
      <c r="Y21" s="120">
        <f>V21/V$9</f>
        <v>0.15306122448979592</v>
      </c>
      <c r="Z21" s="121">
        <f>V21/V$9</f>
        <v>0.15306122448979592</v>
      </c>
      <c r="AA21" s="120">
        <f>V21/V$9</f>
        <v>0.15306122448979592</v>
      </c>
      <c r="AB21" s="121">
        <f>V21/V$9</f>
        <v>0.15306122448979592</v>
      </c>
      <c r="AC21" s="120">
        <f>V21/V$9</f>
        <v>0.15306122448979592</v>
      </c>
      <c r="AD21" s="121">
        <f>V21/V$9</f>
        <v>0.15306122448979592</v>
      </c>
    </row>
    <row r="22" spans="1:30" ht="15.75" thickBot="1" x14ac:dyDescent="0.3">
      <c r="A22" s="5" t="s">
        <v>66</v>
      </c>
      <c r="B22" s="106">
        <v>10000</v>
      </c>
      <c r="C22" s="6"/>
      <c r="D22" s="6"/>
      <c r="E22" s="120">
        <f>B22/B$9</f>
        <v>3.7037037037037035E-2</v>
      </c>
      <c r="F22" s="121">
        <f>B22/B$9</f>
        <v>3.7037037037037035E-2</v>
      </c>
      <c r="G22" s="120">
        <f>B22/B$9</f>
        <v>3.7037037037037035E-2</v>
      </c>
      <c r="H22" s="121">
        <f>B22/B$9</f>
        <v>3.7037037037037035E-2</v>
      </c>
      <c r="J22" s="5" t="s">
        <v>66</v>
      </c>
      <c r="K22" s="106">
        <v>10000</v>
      </c>
      <c r="L22" s="6"/>
      <c r="M22" s="6"/>
      <c r="N22" s="120">
        <f>K22/K$9</f>
        <v>6.6666666666666666E-2</v>
      </c>
      <c r="O22" s="121">
        <f>K22/K$9</f>
        <v>6.6666666666666666E-2</v>
      </c>
      <c r="P22" s="120">
        <f>K22/K$9</f>
        <v>6.6666666666666666E-2</v>
      </c>
      <c r="Q22" s="121">
        <f>K22/K$9</f>
        <v>6.6666666666666666E-2</v>
      </c>
      <c r="R22" s="120">
        <f>K22/K$9</f>
        <v>6.6666666666666666E-2</v>
      </c>
      <c r="S22" s="121">
        <f>K22/K$9</f>
        <v>6.6666666666666666E-2</v>
      </c>
      <c r="U22" s="5" t="s">
        <v>66</v>
      </c>
      <c r="V22" s="106">
        <v>10000</v>
      </c>
      <c r="W22" s="6"/>
      <c r="X22" s="6"/>
      <c r="Y22" s="120">
        <f>V22/V$9</f>
        <v>0.10204081632653061</v>
      </c>
      <c r="Z22" s="121">
        <f>V22/V$9</f>
        <v>0.10204081632653061</v>
      </c>
      <c r="AA22" s="120">
        <f>V22/V$9</f>
        <v>0.10204081632653061</v>
      </c>
      <c r="AB22" s="121">
        <f>V22/V$9</f>
        <v>0.10204081632653061</v>
      </c>
      <c r="AC22" s="120">
        <f>V22/V$9</f>
        <v>0.10204081632653061</v>
      </c>
      <c r="AD22" s="121">
        <f>V22/V$9</f>
        <v>0.10204081632653061</v>
      </c>
    </row>
    <row r="23" spans="1:30" ht="15.75" thickBot="1" x14ac:dyDescent="0.3">
      <c r="A23" s="8" t="s">
        <v>102</v>
      </c>
      <c r="B23" s="110">
        <f ca="1">SUM(B8:B22)</f>
        <v>7881060</v>
      </c>
      <c r="C23" s="9"/>
      <c r="D23" s="9"/>
      <c r="E23" s="126">
        <f ca="1">SUM(E8:E22)</f>
        <v>28.093298611111109</v>
      </c>
      <c r="F23" s="127">
        <f ca="1">SUM(F8:F22)</f>
        <v>28.77098853432873</v>
      </c>
      <c r="G23" s="126">
        <f ca="1">SUM(G8:G22)</f>
        <v>28.082798611111112</v>
      </c>
      <c r="H23" s="127">
        <f ca="1">SUM(H8:H22)</f>
        <v>28.760488534328733</v>
      </c>
      <c r="J23" s="8" t="s">
        <v>102</v>
      </c>
      <c r="K23" s="134">
        <f ca="1">SUM(K8:K22)</f>
        <v>6505425</v>
      </c>
      <c r="L23" s="9"/>
      <c r="M23" s="9"/>
      <c r="N23" s="126">
        <f t="shared" ref="N23:S23" ca="1" si="3">SUM(N8:N22)</f>
        <v>42.273687500000001</v>
      </c>
      <c r="O23" s="127">
        <f t="shared" ca="1" si="3"/>
        <v>42.951377423217615</v>
      </c>
      <c r="P23" s="126">
        <f t="shared" ca="1" si="3"/>
        <v>42.272187500000001</v>
      </c>
      <c r="Q23" s="127">
        <f t="shared" ca="1" si="3"/>
        <v>42.949877423217615</v>
      </c>
      <c r="R23" s="126">
        <f t="shared" ca="1" si="3"/>
        <v>42.235470890410951</v>
      </c>
      <c r="S23" s="127">
        <f t="shared" ca="1" si="3"/>
        <v>42.905817491710764</v>
      </c>
      <c r="U23" s="8" t="s">
        <v>102</v>
      </c>
      <c r="V23" s="134">
        <f ca="1">SUM(V8:V22)</f>
        <v>5563316</v>
      </c>
      <c r="W23" s="9"/>
      <c r="X23" s="9"/>
      <c r="Y23" s="126">
        <f t="shared" ref="Y23:AD23" ca="1" si="4">SUM(Y8:Y22)</f>
        <v>55.045932397959177</v>
      </c>
      <c r="Z23" s="127">
        <f t="shared" ca="1" si="4"/>
        <v>55.723622321176791</v>
      </c>
      <c r="AA23" s="126">
        <f t="shared" ca="1" si="4"/>
        <v>55.044432397959177</v>
      </c>
      <c r="AB23" s="127">
        <f t="shared" ca="1" si="4"/>
        <v>55.722122321176791</v>
      </c>
      <c r="AC23" s="126">
        <f t="shared" ca="1" si="4"/>
        <v>55.007715788370128</v>
      </c>
      <c r="AD23" s="127">
        <f t="shared" ca="1" si="4"/>
        <v>55.67806238966994</v>
      </c>
    </row>
    <row r="24" spans="1:30" ht="16.5" customHeight="1" thickBot="1" x14ac:dyDescent="0.3">
      <c r="A24" s="5" t="s">
        <v>103</v>
      </c>
      <c r="B24" s="106"/>
      <c r="C24" s="6"/>
      <c r="D24" s="6"/>
      <c r="E24" s="125">
        <f ca="1">'ROLLS HS'!L4</f>
        <v>10.136363636363637</v>
      </c>
      <c r="F24" s="124">
        <f ca="1">'ROLLS LS'!K4</f>
        <v>29.617045454545476</v>
      </c>
      <c r="G24" s="125">
        <f ca="1">'ROLLS HS'!L7</f>
        <v>10.401515151515152</v>
      </c>
      <c r="H24" s="124">
        <f ca="1">'ROLLS LS'!K7</f>
        <v>30.336742424242448</v>
      </c>
      <c r="J24" s="5" t="s">
        <v>103</v>
      </c>
      <c r="K24" s="106"/>
      <c r="L24" s="6"/>
      <c r="M24" s="6"/>
      <c r="N24" s="125">
        <f ca="1">'ROLLS HS'!L14</f>
        <v>10</v>
      </c>
      <c r="O24" s="124">
        <f ca="1">'ROLLS LS'!K14</f>
        <v>28.662500000000023</v>
      </c>
      <c r="P24" s="125">
        <f ca="1">'ROLLS HS'!L17</f>
        <v>10.125</v>
      </c>
      <c r="Q24" s="124">
        <f ca="1">'ROLLS LS'!K17</f>
        <v>29.537500000000023</v>
      </c>
      <c r="R24" s="125">
        <f ca="1">'ROLLS HS'!L20</f>
        <v>10.25</v>
      </c>
      <c r="S24" s="124">
        <f ca="1">'ROLLS LS'!K20</f>
        <v>30.412500000000023</v>
      </c>
      <c r="U24" s="5" t="s">
        <v>103</v>
      </c>
      <c r="V24" s="106"/>
      <c r="W24" s="6"/>
      <c r="X24" s="6"/>
      <c r="Y24" s="125">
        <f ca="1">'ROLLS HS'!L14</f>
        <v>10</v>
      </c>
      <c r="Z24" s="124">
        <f ca="1">'ROLLS LS'!K14</f>
        <v>28.662500000000023</v>
      </c>
      <c r="AA24" s="125">
        <f ca="1">'ROLLS HS'!L17</f>
        <v>10.125</v>
      </c>
      <c r="AB24" s="124">
        <f ca="1">'ROLLS LS'!K17</f>
        <v>29.537500000000023</v>
      </c>
      <c r="AC24" s="125">
        <f ca="1">'ROLLS HS'!L20</f>
        <v>10.25</v>
      </c>
      <c r="AD24" s="124">
        <f ca="1">'ROLLS LS'!K20</f>
        <v>30.412500000000023</v>
      </c>
    </row>
    <row r="25" spans="1:30" ht="16.5" customHeight="1" thickBot="1" x14ac:dyDescent="0.3">
      <c r="A25" s="8" t="s">
        <v>115</v>
      </c>
      <c r="B25" s="110"/>
      <c r="C25" s="9"/>
      <c r="D25" s="9"/>
      <c r="E25" s="126">
        <f ca="1">E24-E23</f>
        <v>-17.956934974747472</v>
      </c>
      <c r="F25" s="127">
        <f ca="1">F24-F23</f>
        <v>0.84605692021674628</v>
      </c>
      <c r="G25" s="126">
        <f ca="1">G24-G23</f>
        <v>-17.68128345959596</v>
      </c>
      <c r="H25" s="127">
        <f ca="1">H24-H23</f>
        <v>1.5762538899137155</v>
      </c>
      <c r="J25" s="8" t="s">
        <v>115</v>
      </c>
      <c r="K25" s="110"/>
      <c r="L25" s="9"/>
      <c r="M25" s="9"/>
      <c r="N25" s="126">
        <f t="shared" ref="N25:S25" ca="1" si="5">N24-N23</f>
        <v>-32.273687500000001</v>
      </c>
      <c r="O25" s="127">
        <f t="shared" ca="1" si="5"/>
        <v>-14.288877423217592</v>
      </c>
      <c r="P25" s="126">
        <f t="shared" ca="1" si="5"/>
        <v>-32.147187500000001</v>
      </c>
      <c r="Q25" s="127">
        <f t="shared" ca="1" si="5"/>
        <v>-13.412377423217592</v>
      </c>
      <c r="R25" s="126">
        <f t="shared" ca="1" si="5"/>
        <v>-31.985470890410951</v>
      </c>
      <c r="S25" s="127">
        <f t="shared" ca="1" si="5"/>
        <v>-12.493317491710741</v>
      </c>
      <c r="U25" s="8" t="s">
        <v>115</v>
      </c>
      <c r="V25" s="110"/>
      <c r="W25" s="9"/>
      <c r="X25" s="9"/>
      <c r="Y25" s="126">
        <f t="shared" ref="Y25:AD25" ca="1" si="6">Y24-Y23</f>
        <v>-45.045932397959177</v>
      </c>
      <c r="Z25" s="127">
        <f t="shared" ca="1" si="6"/>
        <v>-27.061122321176768</v>
      </c>
      <c r="AA25" s="126">
        <f t="shared" ca="1" si="6"/>
        <v>-44.919432397959177</v>
      </c>
      <c r="AB25" s="127">
        <f t="shared" ca="1" si="6"/>
        <v>-26.184622321176768</v>
      </c>
      <c r="AC25" s="126">
        <f t="shared" ca="1" si="6"/>
        <v>-44.757715788370128</v>
      </c>
      <c r="AD25" s="127">
        <f t="shared" ca="1" si="6"/>
        <v>-25.265562389669917</v>
      </c>
    </row>
    <row r="26" spans="1:30" x14ac:dyDescent="0.25">
      <c r="A26" s="5" t="s">
        <v>86</v>
      </c>
      <c r="B26" s="107"/>
      <c r="C26" s="6"/>
      <c r="D26" s="6"/>
      <c r="E26" s="128">
        <f ca="1">'Loading Arrival'!B9</f>
        <v>45955</v>
      </c>
      <c r="F26" s="129">
        <f ca="1">'Loading Arrival'!B9</f>
        <v>45955</v>
      </c>
      <c r="G26" s="128">
        <f ca="1">'Loading Arrival'!C9</f>
        <v>45969</v>
      </c>
      <c r="H26" s="129">
        <f ca="1">'Loading Arrival'!C9</f>
        <v>45969</v>
      </c>
      <c r="J26" s="5" t="s">
        <v>86</v>
      </c>
      <c r="K26" s="107"/>
      <c r="L26" s="6"/>
      <c r="M26" s="6"/>
      <c r="N26" s="128">
        <f ca="1">'Loading Arrival'!$B$17</f>
        <v>45930</v>
      </c>
      <c r="O26" s="128">
        <f ca="1">'Loading Arrival'!$B$17</f>
        <v>45930</v>
      </c>
      <c r="P26" s="128">
        <f ca="1">'Loading Arrival'!$C$17</f>
        <v>45944</v>
      </c>
      <c r="Q26" s="128">
        <f ca="1">'Loading Arrival'!$C$17</f>
        <v>45944</v>
      </c>
      <c r="R26" s="128">
        <f ca="1">'Loading Arrival'!$D$17</f>
        <v>45958</v>
      </c>
      <c r="S26" s="128">
        <f ca="1">'Loading Arrival'!$D$17</f>
        <v>45958</v>
      </c>
      <c r="U26" s="5" t="s">
        <v>86</v>
      </c>
      <c r="V26" s="107"/>
      <c r="W26" s="6"/>
      <c r="X26" s="6"/>
      <c r="Y26" s="128">
        <f ca="1">'Loading Arrival'!$B$17</f>
        <v>45930</v>
      </c>
      <c r="Z26" s="128">
        <f ca="1">'Loading Arrival'!$B$17</f>
        <v>45930</v>
      </c>
      <c r="AA26" s="128">
        <f ca="1">'Loading Arrival'!$C$17</f>
        <v>45944</v>
      </c>
      <c r="AB26" s="128">
        <f ca="1">'Loading Arrival'!$C$17</f>
        <v>45944</v>
      </c>
      <c r="AC26" s="128">
        <f ca="1">'Loading Arrival'!$D$17</f>
        <v>45958</v>
      </c>
      <c r="AD26" s="128">
        <f ca="1">'Loading Arrival'!$D$17</f>
        <v>45958</v>
      </c>
    </row>
    <row r="27" spans="1:30" ht="15.75" thickBot="1" x14ac:dyDescent="0.3">
      <c r="A27" s="7" t="s">
        <v>101</v>
      </c>
      <c r="B27" s="108"/>
      <c r="C27" s="105"/>
      <c r="D27" s="105"/>
      <c r="E27" s="503">
        <f ca="1">'Loading Arrival'!B9</f>
        <v>45955</v>
      </c>
      <c r="F27" s="504"/>
      <c r="G27" s="503">
        <f ca="1">'Loading Arrival'!C9</f>
        <v>45969</v>
      </c>
      <c r="H27" s="504"/>
      <c r="J27" s="7" t="s">
        <v>101</v>
      </c>
      <c r="K27" s="108"/>
      <c r="L27" s="105"/>
      <c r="M27" s="105"/>
      <c r="N27" s="503">
        <f ca="1">'Loading Arrival'!B17</f>
        <v>45930</v>
      </c>
      <c r="O27" s="504"/>
      <c r="P27" s="505">
        <f ca="1">'Loading Arrival'!C17</f>
        <v>45944</v>
      </c>
      <c r="Q27" s="506"/>
      <c r="R27" s="507">
        <f ca="1">'Loading Arrival'!D17</f>
        <v>45958</v>
      </c>
      <c r="S27" s="504"/>
      <c r="U27" s="7" t="s">
        <v>101</v>
      </c>
      <c r="V27" s="108"/>
      <c r="W27" s="105"/>
      <c r="X27" s="105"/>
      <c r="Y27" s="503">
        <f ca="1">'Loading Arrival'!B17</f>
        <v>45930</v>
      </c>
      <c r="Z27" s="504"/>
      <c r="AA27" s="505">
        <f ca="1">'Loading Arrival'!C17</f>
        <v>45944</v>
      </c>
      <c r="AB27" s="506"/>
      <c r="AC27" s="507">
        <f ca="1">'Loading Arrival'!D17</f>
        <v>45958</v>
      </c>
      <c r="AD27" s="504"/>
    </row>
  </sheetData>
  <mergeCells count="16">
    <mergeCell ref="Y27:Z27"/>
    <mergeCell ref="AA27:AB27"/>
    <mergeCell ref="AC27:AD27"/>
    <mergeCell ref="E27:F27"/>
    <mergeCell ref="G27:H27"/>
    <mergeCell ref="N27:O27"/>
    <mergeCell ref="P27:Q27"/>
    <mergeCell ref="R27:S27"/>
    <mergeCell ref="Y3:Z3"/>
    <mergeCell ref="AA3:AB3"/>
    <mergeCell ref="AC3:AD3"/>
    <mergeCell ref="E3:F3"/>
    <mergeCell ref="G3:H3"/>
    <mergeCell ref="N3:O3"/>
    <mergeCell ref="P3:Q3"/>
    <mergeCell ref="R3:S3"/>
  </mergeCells>
  <pageMargins left="0.7" right="0.7" top="0.75" bottom="0.75" header="0.3" footer="0.3"/>
  <pageSetup paperSize="9" orientation="portrait" verticalDpi="0" r:id="rId1"/>
  <customProperties>
    <customPr name="_pios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3:U25"/>
  <sheetViews>
    <sheetView workbookViewId="0">
      <selection activeCell="B33" sqref="B33"/>
    </sheetView>
  </sheetViews>
  <sheetFormatPr defaultRowHeight="15" x14ac:dyDescent="0.25"/>
  <cols>
    <col min="1" max="1" width="17.7109375" bestFit="1" customWidth="1"/>
    <col min="2" max="2" width="11.5703125" bestFit="1" customWidth="1"/>
    <col min="3" max="3" width="6.140625" bestFit="1" customWidth="1"/>
    <col min="4" max="4" width="8.140625" bestFit="1" customWidth="1"/>
    <col min="5" max="5" width="8" bestFit="1" customWidth="1"/>
    <col min="6" max="6" width="7" bestFit="1" customWidth="1"/>
    <col min="7" max="7" width="8" bestFit="1" customWidth="1"/>
    <col min="8" max="8" width="7" bestFit="1" customWidth="1"/>
    <col min="9" max="9" width="8" bestFit="1" customWidth="1"/>
    <col min="10" max="10" width="7" bestFit="1" customWidth="1"/>
    <col min="12" max="12" width="17.7109375" bestFit="1" customWidth="1"/>
    <col min="13" max="13" width="11.5703125" bestFit="1" customWidth="1"/>
    <col min="14" max="14" width="6.140625" bestFit="1" customWidth="1"/>
    <col min="15" max="15" width="8.140625" bestFit="1" customWidth="1"/>
    <col min="16" max="16" width="8" bestFit="1" customWidth="1"/>
    <col min="17" max="17" width="7" bestFit="1" customWidth="1"/>
    <col min="18" max="18" width="8.28515625" customWidth="1"/>
    <col min="19" max="19" width="7" bestFit="1" customWidth="1"/>
    <col min="20" max="20" width="8" bestFit="1" customWidth="1"/>
    <col min="21" max="21" width="7" bestFit="1" customWidth="1"/>
  </cols>
  <sheetData>
    <row r="3" spans="1:21" ht="15.75" thickBot="1" x14ac:dyDescent="0.3">
      <c r="E3" s="511" t="s">
        <v>47</v>
      </c>
      <c r="F3" s="512"/>
      <c r="G3" s="511" t="s">
        <v>48</v>
      </c>
      <c r="H3" s="512"/>
      <c r="I3" s="511" t="s">
        <v>49</v>
      </c>
      <c r="J3" s="512"/>
      <c r="P3" s="511" t="s">
        <v>47</v>
      </c>
      <c r="Q3" s="512"/>
      <c r="R3" s="511" t="s">
        <v>48</v>
      </c>
      <c r="S3" s="512"/>
      <c r="T3" s="511" t="s">
        <v>49</v>
      </c>
      <c r="U3" s="512"/>
    </row>
    <row r="4" spans="1:21" x14ac:dyDescent="0.25">
      <c r="A4" s="509" t="s">
        <v>77</v>
      </c>
      <c r="B4" s="510"/>
      <c r="C4" s="510"/>
      <c r="D4" s="510"/>
      <c r="E4" s="508">
        <f ca="1">'Loading Arrival'!B11</f>
        <v>45903</v>
      </c>
      <c r="F4" s="502"/>
      <c r="G4" s="501">
        <f ca="1">'Loading Arrival'!C11</f>
        <v>45917</v>
      </c>
      <c r="H4" s="502"/>
      <c r="I4" s="501">
        <f ca="1">'Loading Arrival'!D11</f>
        <v>45931</v>
      </c>
      <c r="J4" s="502"/>
      <c r="L4" s="509" t="s">
        <v>76</v>
      </c>
      <c r="M4" s="510"/>
      <c r="N4" s="510"/>
      <c r="O4" s="510"/>
      <c r="P4" s="508">
        <f ca="1">E4</f>
        <v>45903</v>
      </c>
      <c r="Q4" s="502"/>
      <c r="R4" s="501">
        <f ca="1">G4</f>
        <v>45917</v>
      </c>
      <c r="S4" s="502"/>
      <c r="T4" s="501">
        <f ca="1">I4</f>
        <v>45931</v>
      </c>
      <c r="U4" s="502"/>
    </row>
    <row r="5" spans="1:21" x14ac:dyDescent="0.25">
      <c r="A5" s="131"/>
      <c r="B5" s="130"/>
      <c r="C5" s="10"/>
      <c r="D5" s="10"/>
      <c r="E5" s="132" t="s">
        <v>87</v>
      </c>
      <c r="F5" s="133" t="s">
        <v>88</v>
      </c>
      <c r="G5" s="132" t="s">
        <v>87</v>
      </c>
      <c r="H5" s="133" t="s">
        <v>88</v>
      </c>
      <c r="I5" s="132" t="s">
        <v>87</v>
      </c>
      <c r="J5" s="133" t="s">
        <v>88</v>
      </c>
      <c r="L5" s="131"/>
      <c r="M5" s="130"/>
      <c r="N5" s="10"/>
      <c r="O5" s="10"/>
      <c r="P5" s="132" t="s">
        <v>87</v>
      </c>
      <c r="Q5" s="133" t="s">
        <v>88</v>
      </c>
      <c r="R5" s="132" t="s">
        <v>87</v>
      </c>
      <c r="S5" s="133" t="s">
        <v>88</v>
      </c>
      <c r="T5" s="132" t="s">
        <v>87</v>
      </c>
      <c r="U5" s="133" t="s">
        <v>88</v>
      </c>
    </row>
    <row r="6" spans="1:21" ht="15.75" thickBot="1" x14ac:dyDescent="0.3">
      <c r="A6" s="5" t="s">
        <v>55</v>
      </c>
      <c r="B6" s="106">
        <f>VLOOKUP(A4,Freight!$A$2:$F$11,2,0)</f>
        <v>4900000</v>
      </c>
      <c r="C6" s="6"/>
      <c r="D6" s="6"/>
      <c r="E6" s="120">
        <f>B6/B$7</f>
        <v>32.666666666666664</v>
      </c>
      <c r="F6" s="121">
        <f>B6/B$7</f>
        <v>32.666666666666664</v>
      </c>
      <c r="G6" s="120">
        <f>B6/B$7</f>
        <v>32.666666666666664</v>
      </c>
      <c r="H6" s="121">
        <f>B6/B$7</f>
        <v>32.666666666666664</v>
      </c>
      <c r="I6" s="120">
        <f>B6/B$7</f>
        <v>32.666666666666664</v>
      </c>
      <c r="J6" s="121">
        <f>B6/B$7</f>
        <v>32.666666666666664</v>
      </c>
      <c r="L6" s="5" t="s">
        <v>55</v>
      </c>
      <c r="M6" s="106">
        <f>VLOOKUP(L4,Freight!$A$2:$F$11,2,0)</f>
        <v>4200000</v>
      </c>
      <c r="N6" s="6"/>
      <c r="O6" s="6"/>
      <c r="P6" s="120">
        <f>M6/M$7</f>
        <v>42.857142857142854</v>
      </c>
      <c r="Q6" s="121">
        <f>M6/M$7</f>
        <v>42.857142857142854</v>
      </c>
      <c r="R6" s="120">
        <f>M6/M$7</f>
        <v>42.857142857142854</v>
      </c>
      <c r="S6" s="121">
        <f>M6/M$7</f>
        <v>42.857142857142854</v>
      </c>
      <c r="T6" s="120">
        <f>M6/M$7</f>
        <v>42.857142857142854</v>
      </c>
      <c r="U6" s="121">
        <f>M6/M$7</f>
        <v>42.857142857142854</v>
      </c>
    </row>
    <row r="7" spans="1:21" x14ac:dyDescent="0.25">
      <c r="A7" s="5" t="s">
        <v>56</v>
      </c>
      <c r="B7" s="106">
        <v>150000</v>
      </c>
      <c r="C7" s="3" t="s">
        <v>81</v>
      </c>
      <c r="D7" s="4" t="s">
        <v>82</v>
      </c>
      <c r="E7" s="122"/>
      <c r="F7" s="123"/>
      <c r="G7" s="122"/>
      <c r="H7" s="123"/>
      <c r="I7" s="122"/>
      <c r="J7" s="123"/>
      <c r="L7" s="5" t="s">
        <v>56</v>
      </c>
      <c r="M7" s="106">
        <v>98000</v>
      </c>
      <c r="N7" s="3" t="s">
        <v>81</v>
      </c>
      <c r="O7" s="4" t="s">
        <v>82</v>
      </c>
      <c r="P7" s="122"/>
      <c r="Q7" s="123"/>
      <c r="R7" s="122"/>
      <c r="S7" s="123"/>
      <c r="T7" s="122"/>
      <c r="U7" s="123"/>
    </row>
    <row r="8" spans="1:21" ht="15.75" thickBot="1" x14ac:dyDescent="0.3">
      <c r="A8" s="5" t="s">
        <v>57</v>
      </c>
      <c r="B8" s="106">
        <f>C8*D8</f>
        <v>575000</v>
      </c>
      <c r="C8" s="7">
        <f>VLOOKUP(A$4,Freight!$A$2:$F$11,5,0)</f>
        <v>57500</v>
      </c>
      <c r="D8" s="105">
        <v>10</v>
      </c>
      <c r="E8" s="120">
        <f>B$8/B$7</f>
        <v>3.8333333333333335</v>
      </c>
      <c r="F8" s="121">
        <f>B$8/B$7</f>
        <v>3.8333333333333335</v>
      </c>
      <c r="G8" s="120">
        <f>B8/B$7</f>
        <v>3.8333333333333335</v>
      </c>
      <c r="H8" s="121">
        <f>B8/B$7</f>
        <v>3.8333333333333335</v>
      </c>
      <c r="I8" s="120">
        <f>B8/B$7</f>
        <v>3.8333333333333335</v>
      </c>
      <c r="J8" s="121">
        <f>B8/B$7</f>
        <v>3.8333333333333335</v>
      </c>
      <c r="L8" s="5" t="s">
        <v>57</v>
      </c>
      <c r="M8" s="106">
        <f>N8*O8</f>
        <v>297500</v>
      </c>
      <c r="N8" s="7">
        <f>VLOOKUP(L$4,Freight!$A$2:$F$11,5,0)</f>
        <v>42500</v>
      </c>
      <c r="O8" s="105">
        <v>7</v>
      </c>
      <c r="P8" s="120">
        <f>M$8/M$7</f>
        <v>3.0357142857142856</v>
      </c>
      <c r="Q8" s="121">
        <f>M$8/M$7</f>
        <v>3.0357142857142856</v>
      </c>
      <c r="R8" s="120">
        <f>M8/M$7</f>
        <v>3.0357142857142856</v>
      </c>
      <c r="S8" s="121">
        <f>M8/M$7</f>
        <v>3.0357142857142856</v>
      </c>
      <c r="T8" s="120">
        <f>M8/M$7</f>
        <v>3.0357142857142856</v>
      </c>
      <c r="U8" s="121">
        <f>M8/M$7</f>
        <v>3.0357142857142856</v>
      </c>
    </row>
    <row r="9" spans="1:21" x14ac:dyDescent="0.25">
      <c r="A9" s="5" t="s">
        <v>58</v>
      </c>
      <c r="B9" s="106">
        <v>15000</v>
      </c>
      <c r="C9" s="6"/>
      <c r="D9" s="6"/>
      <c r="E9" s="120">
        <f>B9/B$7</f>
        <v>0.1</v>
      </c>
      <c r="F9" s="121">
        <f>B9/B$7</f>
        <v>0.1</v>
      </c>
      <c r="G9" s="120">
        <f>B9/B$7</f>
        <v>0.1</v>
      </c>
      <c r="H9" s="121">
        <f>B9/B$7</f>
        <v>0.1</v>
      </c>
      <c r="I9" s="120">
        <f>B9/B$7</f>
        <v>0.1</v>
      </c>
      <c r="J9" s="121">
        <f>B9/B$7</f>
        <v>0.1</v>
      </c>
      <c r="L9" s="5" t="s">
        <v>58</v>
      </c>
      <c r="M9" s="106">
        <v>15000</v>
      </c>
      <c r="N9" s="6"/>
      <c r="O9" s="6"/>
      <c r="P9" s="120">
        <f>M9/M$7</f>
        <v>0.15306122448979592</v>
      </c>
      <c r="Q9" s="121">
        <f>M9/M$7</f>
        <v>0.15306122448979592</v>
      </c>
      <c r="R9" s="120">
        <f>M9/M$7</f>
        <v>0.15306122448979592</v>
      </c>
      <c r="S9" s="121">
        <f>M9/M$7</f>
        <v>0.15306122448979592</v>
      </c>
      <c r="T9" s="120">
        <f>M9/M$7</f>
        <v>0.15306122448979592</v>
      </c>
      <c r="U9" s="121">
        <f>M9/M$7</f>
        <v>0.15306122448979592</v>
      </c>
    </row>
    <row r="10" spans="1:21" ht="15.75" thickBot="1" x14ac:dyDescent="0.3">
      <c r="A10" s="5" t="s">
        <v>127</v>
      </c>
      <c r="B10" s="106">
        <v>25000</v>
      </c>
      <c r="C10" s="6"/>
      <c r="D10" s="6"/>
      <c r="E10" s="120">
        <f>B10/B$7</f>
        <v>0.16666666666666666</v>
      </c>
      <c r="F10" s="121">
        <f>B10/B$7</f>
        <v>0.16666666666666666</v>
      </c>
      <c r="G10" s="120">
        <f>B10/B$7</f>
        <v>0.16666666666666666</v>
      </c>
      <c r="H10" s="121">
        <f>B10/B$7</f>
        <v>0.16666666666666666</v>
      </c>
      <c r="I10" s="120">
        <f>B10/B$7</f>
        <v>0.16666666666666666</v>
      </c>
      <c r="J10" s="121">
        <f>B10/B$7</f>
        <v>0.16666666666666666</v>
      </c>
      <c r="L10" s="5" t="s">
        <v>127</v>
      </c>
      <c r="M10" s="106">
        <v>25000</v>
      </c>
      <c r="N10" s="6"/>
      <c r="O10" s="6"/>
      <c r="P10" s="120">
        <f>M10/M$7</f>
        <v>0.25510204081632654</v>
      </c>
      <c r="Q10" s="121">
        <f>M10/M$7</f>
        <v>0.25510204081632654</v>
      </c>
      <c r="R10" s="120">
        <f>M10/M$7</f>
        <v>0.25510204081632654</v>
      </c>
      <c r="S10" s="121">
        <f>M10/M$7</f>
        <v>0.25510204081632654</v>
      </c>
      <c r="T10" s="120">
        <f>M10/M$7</f>
        <v>0.25510204081632654</v>
      </c>
      <c r="U10" s="121">
        <f>M10/M$7</f>
        <v>0.25510204081632654</v>
      </c>
    </row>
    <row r="11" spans="1:21" x14ac:dyDescent="0.25">
      <c r="A11" s="5" t="s">
        <v>128</v>
      </c>
      <c r="B11" s="106">
        <v>25000</v>
      </c>
      <c r="C11" s="3" t="s">
        <v>81</v>
      </c>
      <c r="D11" s="4" t="s">
        <v>82</v>
      </c>
      <c r="E11" s="120">
        <f>B11/B$7</f>
        <v>0.16666666666666666</v>
      </c>
      <c r="F11" s="121">
        <f>B11/B$7</f>
        <v>0.16666666666666666</v>
      </c>
      <c r="G11" s="120">
        <f>B11/B$7</f>
        <v>0.16666666666666666</v>
      </c>
      <c r="H11" s="121">
        <f>B11/B$7</f>
        <v>0.16666666666666666</v>
      </c>
      <c r="I11" s="120">
        <f>B11/B$7</f>
        <v>0.16666666666666666</v>
      </c>
      <c r="J11" s="121">
        <f>B11/B$7</f>
        <v>0.16666666666666666</v>
      </c>
      <c r="L11" s="5" t="s">
        <v>128</v>
      </c>
      <c r="M11" s="106">
        <v>25000</v>
      </c>
      <c r="N11" s="3" t="s">
        <v>81</v>
      </c>
      <c r="O11" s="4" t="s">
        <v>82</v>
      </c>
      <c r="P11" s="120">
        <f>M11/M$7</f>
        <v>0.25510204081632654</v>
      </c>
      <c r="Q11" s="121">
        <f>M11/M$7</f>
        <v>0.25510204081632654</v>
      </c>
      <c r="R11" s="120">
        <f>M11/M$7</f>
        <v>0.25510204081632654</v>
      </c>
      <c r="S11" s="121">
        <f>M11/M$7</f>
        <v>0.25510204081632654</v>
      </c>
      <c r="T11" s="120">
        <f>M11/M$7</f>
        <v>0.25510204081632654</v>
      </c>
      <c r="U11" s="121">
        <f>M11/M$7</f>
        <v>0.25510204081632654</v>
      </c>
    </row>
    <row r="12" spans="1:21" ht="15.75" thickBot="1" x14ac:dyDescent="0.3">
      <c r="A12" s="5" t="s">
        <v>83</v>
      </c>
      <c r="B12" s="106">
        <f ca="1">(D12*((C12)/365)*VLOOKUP(EOMONTH(E4,-1)+1,Tullet!$A$4:$S$27,2,0))*B7</f>
        <v>519750.00000000006</v>
      </c>
      <c r="C12" s="103">
        <v>5.5E-2</v>
      </c>
      <c r="D12" s="105">
        <v>60</v>
      </c>
      <c r="E12" s="120">
        <f ca="1">(D12*((C12)/365)*VLOOKUP(EOMONTH(E4,-1)+1,Tullet!$A$4:$S$27,2,0))</f>
        <v>3.4650000000000003</v>
      </c>
      <c r="F12" s="124">
        <f ca="1">(D12*((C12)/365)*VLOOKUP(EOMONTH(E4,-1)+1,Tullet!$N$4:$S$27,3,0))</f>
        <v>4.0907787328767116</v>
      </c>
      <c r="G12" s="120">
        <f ca="1">(D$12*((C$12)/365)*VLOOKUP(EOMONTH(G4,-1)+1,Tullet!$A$4:$S$27,2,0))</f>
        <v>3.4650000000000003</v>
      </c>
      <c r="H12" s="124">
        <f ca="1">(D$12*((C$12)/365)*VLOOKUP(EOMONTH(G4,-1)+1,Tullet!$N$4:$S$27,3,0))</f>
        <v>4.0907787328767116</v>
      </c>
      <c r="I12" s="120">
        <f ca="1">(D$12*((C$12)/365)*VLOOKUP(EOMONTH(I4,-1)+1,Tullet!$A$4:$S$27,2,0))</f>
        <v>3.4310958904109592</v>
      </c>
      <c r="J12" s="124">
        <f ca="1">(D$12*((C$12)/365)*VLOOKUP(EOMONTH(I4,-1)+1,Tullet!$N$4:$S$27,3,0))</f>
        <v>4.0500938013698624</v>
      </c>
      <c r="L12" s="5" t="s">
        <v>83</v>
      </c>
      <c r="M12" s="109">
        <f ca="1">(O12*((N12)/365)*VLOOKUP(EOMONTH(P4,-1)+1,Tullet!$A$4:$S$27,2,0))*M7</f>
        <v>339570.00000000006</v>
      </c>
      <c r="N12" s="103">
        <v>5.5E-2</v>
      </c>
      <c r="O12" s="105">
        <v>60</v>
      </c>
      <c r="P12" s="120">
        <f ca="1">(O12*((N12)/365)*VLOOKUP(EOMONTH(P4,-1)+1,Tullet!$A$4:$S$27,2,0))</f>
        <v>3.4650000000000003</v>
      </c>
      <c r="Q12" s="124">
        <f ca="1">(O12*((N12)/365)*VLOOKUP(EOMONTH(P4,-1)+1,Tullet!$N$4:$S$27,3,0))</f>
        <v>4.0907787328767116</v>
      </c>
      <c r="R12" s="120">
        <f ca="1">(O$12*((N$12)/365)*VLOOKUP(EOMONTH(R4,-1)+1,Tullet!$A$4:$S$27,2,0))</f>
        <v>3.4650000000000003</v>
      </c>
      <c r="S12" s="124">
        <f ca="1">(O$12*((N$12)/365)*VLOOKUP(EOMONTH(R4,-1)+1,Tullet!$N$4:$S$27,3,0))</f>
        <v>4.0907787328767116</v>
      </c>
      <c r="T12" s="120">
        <f ca="1">(O$12*((N$12)/365)*VLOOKUP(EOMONTH(T4,-1)+1,Tullet!$A$4:$S$27,2,0))</f>
        <v>3.4310958904109592</v>
      </c>
      <c r="U12" s="124">
        <f ca="1">(O$12*((N$12)/365)*VLOOKUP(EOMONTH(T4,-1)+1,Tullet!$N$4:$S$27,3,0))</f>
        <v>4.0500938013698624</v>
      </c>
    </row>
    <row r="13" spans="1:21" ht="15.75" thickBot="1" x14ac:dyDescent="0.3">
      <c r="A13" s="5" t="s">
        <v>59</v>
      </c>
      <c r="B13" s="106"/>
      <c r="C13" s="6"/>
      <c r="D13" s="6"/>
      <c r="E13" s="122"/>
      <c r="F13" s="123"/>
      <c r="G13" s="122"/>
      <c r="H13" s="123"/>
      <c r="I13" s="122"/>
      <c r="J13" s="123"/>
      <c r="L13" s="5" t="s">
        <v>59</v>
      </c>
      <c r="M13" s="106"/>
      <c r="N13" s="6"/>
      <c r="O13" s="6"/>
      <c r="P13" s="122"/>
      <c r="Q13" s="123"/>
      <c r="R13" s="122"/>
      <c r="S13" s="123"/>
      <c r="T13" s="122"/>
      <c r="U13" s="123"/>
    </row>
    <row r="14" spans="1:21" x14ac:dyDescent="0.25">
      <c r="A14" s="5" t="s">
        <v>60</v>
      </c>
      <c r="B14" s="106">
        <f ca="1">B7*VLOOKUP(EOMONTH(E4,-1)+1,Tullet!$A$4:$S$27,2,0)*0.1%</f>
        <v>57487.5</v>
      </c>
      <c r="C14" s="3" t="s">
        <v>81</v>
      </c>
      <c r="D14" s="4" t="s">
        <v>84</v>
      </c>
      <c r="E14" s="120">
        <f ca="1">VLOOKUP(EOMONTH(E4,-1)+1,Tullet!$A$4:$S$27,2,0)*0.00075</f>
        <v>0.28743750000000001</v>
      </c>
      <c r="F14" s="121">
        <f ca="1">VLOOKUP(EOMONTH(E4,-1)+1,Tullet!$N$3:$S$27,3,0)*0.00075</f>
        <v>0.33934869034090903</v>
      </c>
      <c r="G14" s="120">
        <f ca="1">VLOOKUP(EOMONTH(G4,-1)+1,Tullet!$A$4:$S$27,2,0)*0.00075</f>
        <v>0.28743750000000001</v>
      </c>
      <c r="H14" s="121">
        <f ca="1">VLOOKUP(EOMONTH(G4,-1)+1,Tullet!$N$3:$S$27,3,0)*0.00075</f>
        <v>0.33934869034090903</v>
      </c>
      <c r="I14" s="120">
        <f ca="1">VLOOKUP(EOMONTH(I4,-1)+1,Tullet!$A$4:$S$27,2,0)*0.00075</f>
        <v>0.28462500000000002</v>
      </c>
      <c r="J14" s="121">
        <f ca="1">VLOOKUP(EOMONTH(I4,-1)+1,Tullet!$N$3:$S$27,3,0)*0.00075</f>
        <v>0.33597369034090907</v>
      </c>
      <c r="L14" s="5" t="s">
        <v>60</v>
      </c>
      <c r="M14" s="106">
        <f ca="1">M7*VLOOKUP(EOMONTH(P4,-1)+1,Tullet!$A$4:$S$27,2,0)*0.1%</f>
        <v>37558.5</v>
      </c>
      <c r="N14" s="3" t="s">
        <v>81</v>
      </c>
      <c r="O14" s="4" t="s">
        <v>84</v>
      </c>
      <c r="P14" s="120">
        <f ca="1">VLOOKUP(EOMONTH(P4,-1)+1,Tullet!$A$4:$S$27,2,0)*0.00075</f>
        <v>0.28743750000000001</v>
      </c>
      <c r="Q14" s="121">
        <f ca="1">VLOOKUP(EOMONTH(P4,-1)+1,Tullet!$N$3:$S$27,3,0)*0.00075</f>
        <v>0.33934869034090903</v>
      </c>
      <c r="R14" s="120">
        <f ca="1">VLOOKUP(EOMONTH(R4,-1)+1,Tullet!$A$4:$S$27,2,0)*0.00075</f>
        <v>0.28743750000000001</v>
      </c>
      <c r="S14" s="121">
        <f ca="1">VLOOKUP(EOMONTH(R4,-1)+1,Tullet!$N$3:$S$27,3,0)*0.00075</f>
        <v>0.33934869034090903</v>
      </c>
      <c r="T14" s="120">
        <f ca="1">VLOOKUP(EOMONTH(T4,-1)+1,Tullet!$A$4:$S$27,2,0)*0.00075</f>
        <v>0.28462500000000002</v>
      </c>
      <c r="U14" s="121">
        <f ca="1">VLOOKUP(EOMONTH(T4,-1)+1,Tullet!$N$3:$S$27,3,0)*0.00075</f>
        <v>0.33597369034090907</v>
      </c>
    </row>
    <row r="15" spans="1:21" ht="15.75" thickBot="1" x14ac:dyDescent="0.3">
      <c r="A15" s="5" t="s">
        <v>61</v>
      </c>
      <c r="B15" s="106">
        <f ca="1">C15*$B$7*VLOOKUP(EOMONTH(E24,-1)+1,Tullet!$E$35:$I$63,4,0)</f>
        <v>20655450</v>
      </c>
      <c r="C15" s="104">
        <v>3.0000000000000001E-3</v>
      </c>
      <c r="D15" s="105" t="s">
        <v>85</v>
      </c>
      <c r="E15" s="147">
        <f ca="1">C$15*VLOOKUP(EOMONTH(E24,-1)+1,Tullet!$E$35:$I$63,4,0)</f>
        <v>137.703</v>
      </c>
      <c r="F15" s="148">
        <f ca="1">C$15*VLOOKUP(EOMONTH(F24,-1)+1,Tullet!$N$35:$S$63,3,0)</f>
        <v>1.2929999999999999</v>
      </c>
      <c r="G15" s="147">
        <f ca="1">C$15*VLOOKUP(EOMONTH(G24,-1)+1,Tullet!$E$35:$I$63,4,0)</f>
        <v>137.79300000000001</v>
      </c>
      <c r="H15" s="148">
        <f ca="1">C$15*VLOOKUP(EOMONTH(H24,-1)+1,Tullet!$N$35:$S$63,3,0)</f>
        <v>1.2757499999999999</v>
      </c>
      <c r="I15" s="147">
        <f ca="1">C$15*VLOOKUP(EOMONTH(I24,-1)+1,Tullet!$E$35:$I$63,4,0)</f>
        <v>137.79300000000001</v>
      </c>
      <c r="J15" s="148">
        <f ca="1">C$15*VLOOKUP(EOMONTH(J24,-1)+1,Tullet!$N$35:$S$63,3,0)</f>
        <v>1.2757499999999999</v>
      </c>
      <c r="L15" s="5" t="s">
        <v>61</v>
      </c>
      <c r="M15" s="106">
        <f ca="1">N15*$M$7*VLOOKUP(EOMONTH(P24,-1)+1,Tullet!$E$35:$I$63,4,0)</f>
        <v>13494894</v>
      </c>
      <c r="N15" s="104">
        <v>3.0000000000000001E-3</v>
      </c>
      <c r="O15" s="105" t="s">
        <v>85</v>
      </c>
      <c r="P15" s="147">
        <f ca="1">N$15*VLOOKUP(EOMONTH(P24,-1)+1,Tullet!$E$35:$I$63,4,0)</f>
        <v>137.703</v>
      </c>
      <c r="Q15" s="148">
        <f ca="1">N$15*VLOOKUP(EOMONTH(Q24,-1)+1,Tullet!$N$35:$S$63,3,0)</f>
        <v>1.2929999999999999</v>
      </c>
      <c r="R15" s="147">
        <f ca="1">N$15*VLOOKUP(EOMONTH(R24,-1)+1,Tullet!$E$35:$I$63,4,0)</f>
        <v>137.79300000000001</v>
      </c>
      <c r="S15" s="148">
        <f ca="1">N$15*VLOOKUP(EOMONTH(S24,-1)+1,Tullet!$N$35:$S$63,3,0)</f>
        <v>1.2757499999999999</v>
      </c>
      <c r="T15" s="147">
        <f ca="1">N$15*VLOOKUP(EOMONTH(T24,-1)+1,Tullet!$E$35:$I$63,4,0)</f>
        <v>137.79300000000001</v>
      </c>
      <c r="U15" s="148">
        <f ca="1">N$15*VLOOKUP(EOMONTH(U24,-1)+1,Tullet!$N$35:$S$63,3,0)</f>
        <v>1.2757499999999999</v>
      </c>
    </row>
    <row r="16" spans="1:21" x14ac:dyDescent="0.25">
      <c r="A16" s="5" t="s">
        <v>62</v>
      </c>
      <c r="B16" s="106">
        <v>12500</v>
      </c>
      <c r="C16" s="6"/>
      <c r="D16" s="6"/>
      <c r="E16" s="120">
        <f>B16/B$7</f>
        <v>8.3333333333333329E-2</v>
      </c>
      <c r="F16" s="121">
        <f>B16/B$7</f>
        <v>8.3333333333333329E-2</v>
      </c>
      <c r="G16" s="120">
        <f>B16/B$7</f>
        <v>8.3333333333333329E-2</v>
      </c>
      <c r="H16" s="121">
        <f>B16/B$7</f>
        <v>8.3333333333333329E-2</v>
      </c>
      <c r="I16" s="120">
        <f>B16/B$7</f>
        <v>8.3333333333333329E-2</v>
      </c>
      <c r="J16" s="121">
        <f>B16/B$7</f>
        <v>8.3333333333333329E-2</v>
      </c>
      <c r="L16" s="5" t="s">
        <v>62</v>
      </c>
      <c r="M16" s="106">
        <v>12500</v>
      </c>
      <c r="N16" s="6"/>
      <c r="O16" s="6"/>
      <c r="P16" s="120">
        <f>M16/M$7</f>
        <v>0.12755102040816327</v>
      </c>
      <c r="Q16" s="121">
        <f>M16/M$7</f>
        <v>0.12755102040816327</v>
      </c>
      <c r="R16" s="120">
        <f>M16/M$7</f>
        <v>0.12755102040816327</v>
      </c>
      <c r="S16" s="121">
        <f>M16/M$7</f>
        <v>0.12755102040816327</v>
      </c>
      <c r="T16" s="120">
        <f>M16/M$7</f>
        <v>0.12755102040816327</v>
      </c>
      <c r="U16" s="121">
        <f>M16/M$7</f>
        <v>0.12755102040816327</v>
      </c>
    </row>
    <row r="17" spans="1:21" x14ac:dyDescent="0.25">
      <c r="A17" s="5" t="s">
        <v>63</v>
      </c>
      <c r="B17" s="106">
        <v>1250</v>
      </c>
      <c r="C17" s="6"/>
      <c r="D17" s="6"/>
      <c r="E17" s="120">
        <f>B17/B$7</f>
        <v>8.3333333333333332E-3</v>
      </c>
      <c r="F17" s="121">
        <f>B17/B$7</f>
        <v>8.3333333333333332E-3</v>
      </c>
      <c r="G17" s="120">
        <f>B17/B$7</f>
        <v>8.3333333333333332E-3</v>
      </c>
      <c r="H17" s="121">
        <f>B17/B$7</f>
        <v>8.3333333333333332E-3</v>
      </c>
      <c r="I17" s="120">
        <f>B17/B$7</f>
        <v>8.3333333333333332E-3</v>
      </c>
      <c r="J17" s="121">
        <f>B17/B$7</f>
        <v>8.3333333333333332E-3</v>
      </c>
      <c r="L17" s="5" t="s">
        <v>63</v>
      </c>
      <c r="M17" s="106">
        <v>1250</v>
      </c>
      <c r="N17" s="6"/>
      <c r="O17" s="6"/>
      <c r="P17" s="120">
        <f>M17/M$7</f>
        <v>1.2755102040816327E-2</v>
      </c>
      <c r="Q17" s="121">
        <f>M17/M$7</f>
        <v>1.2755102040816327E-2</v>
      </c>
      <c r="R17" s="120">
        <f>M17/M$7</f>
        <v>1.2755102040816327E-2</v>
      </c>
      <c r="S17" s="121">
        <f>M17/M$7</f>
        <v>1.2755102040816327E-2</v>
      </c>
      <c r="T17" s="120">
        <f>M17/M$7</f>
        <v>1.2755102040816327E-2</v>
      </c>
      <c r="U17" s="121">
        <f>M17/M$7</f>
        <v>1.2755102040816327E-2</v>
      </c>
    </row>
    <row r="18" spans="1:21" x14ac:dyDescent="0.25">
      <c r="A18" s="5" t="s">
        <v>64</v>
      </c>
      <c r="B18" s="106">
        <v>1250</v>
      </c>
      <c r="C18" s="6"/>
      <c r="D18" s="6"/>
      <c r="E18" s="120">
        <f>B18/B$7</f>
        <v>8.3333333333333332E-3</v>
      </c>
      <c r="F18" s="121">
        <f>B18/B$7</f>
        <v>8.3333333333333332E-3</v>
      </c>
      <c r="G18" s="120">
        <f>B18/B$7</f>
        <v>8.3333333333333332E-3</v>
      </c>
      <c r="H18" s="121">
        <f>B18/B$7</f>
        <v>8.3333333333333332E-3</v>
      </c>
      <c r="I18" s="120">
        <f>B18/B$7</f>
        <v>8.3333333333333332E-3</v>
      </c>
      <c r="J18" s="121">
        <f>B18/B$7</f>
        <v>8.3333333333333332E-3</v>
      </c>
      <c r="L18" s="5" t="s">
        <v>64</v>
      </c>
      <c r="M18" s="106">
        <v>1250</v>
      </c>
      <c r="N18" s="6"/>
      <c r="O18" s="6"/>
      <c r="P18" s="120">
        <f>M18/M$7</f>
        <v>1.2755102040816327E-2</v>
      </c>
      <c r="Q18" s="121">
        <f>M18/M$7</f>
        <v>1.2755102040816327E-2</v>
      </c>
      <c r="R18" s="120">
        <f>M18/M$7</f>
        <v>1.2755102040816327E-2</v>
      </c>
      <c r="S18" s="121">
        <f>M18/M$7</f>
        <v>1.2755102040816327E-2</v>
      </c>
      <c r="T18" s="120">
        <f>M18/M$7</f>
        <v>1.2755102040816327E-2</v>
      </c>
      <c r="U18" s="121">
        <f>M18/M$7</f>
        <v>1.2755102040816327E-2</v>
      </c>
    </row>
    <row r="19" spans="1:21" x14ac:dyDescent="0.25">
      <c r="A19" s="5" t="s">
        <v>65</v>
      </c>
      <c r="B19" s="106">
        <v>15000</v>
      </c>
      <c r="C19" s="6"/>
      <c r="D19" s="6"/>
      <c r="E19" s="120">
        <f>B19/B$7</f>
        <v>0.1</v>
      </c>
      <c r="F19" s="121">
        <f>B19/B$7</f>
        <v>0.1</v>
      </c>
      <c r="G19" s="120">
        <f>B19/B$7</f>
        <v>0.1</v>
      </c>
      <c r="H19" s="121">
        <f>B19/B$7</f>
        <v>0.1</v>
      </c>
      <c r="I19" s="120">
        <f>B19/B$7</f>
        <v>0.1</v>
      </c>
      <c r="J19" s="121">
        <f>B19/B$7</f>
        <v>0.1</v>
      </c>
      <c r="L19" s="5" t="s">
        <v>65</v>
      </c>
      <c r="M19" s="106">
        <v>15000</v>
      </c>
      <c r="N19" s="6"/>
      <c r="O19" s="6"/>
      <c r="P19" s="120">
        <f>M19/M$7</f>
        <v>0.15306122448979592</v>
      </c>
      <c r="Q19" s="121">
        <f>M19/M$7</f>
        <v>0.15306122448979592</v>
      </c>
      <c r="R19" s="120">
        <f>M19/M$7</f>
        <v>0.15306122448979592</v>
      </c>
      <c r="S19" s="121">
        <f>M19/M$7</f>
        <v>0.15306122448979592</v>
      </c>
      <c r="T19" s="120">
        <f>M19/M$7</f>
        <v>0.15306122448979592</v>
      </c>
      <c r="U19" s="121">
        <f>M19/M$7</f>
        <v>0.15306122448979592</v>
      </c>
    </row>
    <row r="20" spans="1:21" ht="15.75" thickBot="1" x14ac:dyDescent="0.3">
      <c r="A20" s="5" t="s">
        <v>66</v>
      </c>
      <c r="B20" s="106">
        <v>10000</v>
      </c>
      <c r="C20" s="6"/>
      <c r="D20" s="6"/>
      <c r="E20" s="120">
        <f>B20/B$7</f>
        <v>6.6666666666666666E-2</v>
      </c>
      <c r="F20" s="121">
        <f>B20/B$7</f>
        <v>6.6666666666666666E-2</v>
      </c>
      <c r="G20" s="120">
        <f>B20/B$7</f>
        <v>6.6666666666666666E-2</v>
      </c>
      <c r="H20" s="121">
        <f>B20/B$7</f>
        <v>6.6666666666666666E-2</v>
      </c>
      <c r="I20" s="120">
        <f>B20/B$7</f>
        <v>6.6666666666666666E-2</v>
      </c>
      <c r="J20" s="121">
        <f>B20/B$7</f>
        <v>6.6666666666666666E-2</v>
      </c>
      <c r="L20" s="5" t="s">
        <v>66</v>
      </c>
      <c r="M20" s="106">
        <v>10000</v>
      </c>
      <c r="N20" s="6"/>
      <c r="O20" s="6"/>
      <c r="P20" s="120">
        <f>M20/M$7</f>
        <v>0.10204081632653061</v>
      </c>
      <c r="Q20" s="121">
        <f>M20/M$7</f>
        <v>0.10204081632653061</v>
      </c>
      <c r="R20" s="120">
        <f>M20/M$7</f>
        <v>0.10204081632653061</v>
      </c>
      <c r="S20" s="121">
        <f>M20/M$7</f>
        <v>0.10204081632653061</v>
      </c>
      <c r="T20" s="120">
        <f>M20/M$7</f>
        <v>0.10204081632653061</v>
      </c>
      <c r="U20" s="121">
        <f>M20/M$7</f>
        <v>0.10204081632653061</v>
      </c>
    </row>
    <row r="21" spans="1:21" ht="15.75" thickBot="1" x14ac:dyDescent="0.3">
      <c r="A21" s="8" t="s">
        <v>102</v>
      </c>
      <c r="B21" s="134">
        <f ca="1">SUM(B6:B20)</f>
        <v>26962687.5</v>
      </c>
      <c r="C21" s="9"/>
      <c r="D21" s="9"/>
      <c r="E21" s="126">
        <f t="shared" ref="E21:J21" ca="1" si="0">SUM(E6:E20)</f>
        <v>178.65543750000001</v>
      </c>
      <c r="F21" s="127">
        <f t="shared" ca="1" si="0"/>
        <v>42.923127423217622</v>
      </c>
      <c r="G21" s="126">
        <f t="shared" ca="1" si="0"/>
        <v>178.74543749999998</v>
      </c>
      <c r="H21" s="127">
        <f t="shared" ca="1" si="0"/>
        <v>42.905877423217625</v>
      </c>
      <c r="I21" s="126">
        <f t="shared" ca="1" si="0"/>
        <v>178.70872089041094</v>
      </c>
      <c r="J21" s="127">
        <f t="shared" ca="1" si="0"/>
        <v>42.861817491710774</v>
      </c>
      <c r="L21" s="8" t="s">
        <v>102</v>
      </c>
      <c r="M21" s="134">
        <f ca="1">SUM(M6:M20)</f>
        <v>18572522.5</v>
      </c>
      <c r="N21" s="9"/>
      <c r="O21" s="9"/>
      <c r="P21" s="126">
        <f t="shared" ref="P21:U21" ca="1" si="1">SUM(P6:P20)</f>
        <v>188.41972321428571</v>
      </c>
      <c r="Q21" s="127">
        <f t="shared" ca="1" si="1"/>
        <v>52.68741313750332</v>
      </c>
      <c r="R21" s="126">
        <f t="shared" ca="1" si="1"/>
        <v>188.50972321428571</v>
      </c>
      <c r="S21" s="127">
        <f t="shared" ca="1" si="1"/>
        <v>52.670163137503323</v>
      </c>
      <c r="T21" s="126">
        <f t="shared" ca="1" si="1"/>
        <v>188.47300660469668</v>
      </c>
      <c r="U21" s="127">
        <f t="shared" ca="1" si="1"/>
        <v>52.626103205996472</v>
      </c>
    </row>
    <row r="22" spans="1:21" ht="16.5" customHeight="1" thickBot="1" x14ac:dyDescent="0.3">
      <c r="A22" s="5" t="s">
        <v>103</v>
      </c>
      <c r="B22" s="106"/>
      <c r="C22" s="6"/>
      <c r="D22" s="6"/>
      <c r="E22" s="125">
        <f ca="1">'ROLLS HS'!L34</f>
        <v>10</v>
      </c>
      <c r="F22" s="124">
        <f ca="1">'ROLLS LS'!K34</f>
        <v>28.662500000000023</v>
      </c>
      <c r="G22" s="125">
        <f ca="1">'ROLLS HS'!L37</f>
        <v>10.083333333333334</v>
      </c>
      <c r="H22" s="124">
        <f ca="1">'ROLLS LS'!K37</f>
        <v>29.245833333333355</v>
      </c>
      <c r="I22" s="125">
        <f ca="1">'ROLLS HS'!L40</f>
        <v>10.25</v>
      </c>
      <c r="J22" s="124">
        <f ca="1">'ROLLS LS'!K40</f>
        <v>30.412500000000023</v>
      </c>
      <c r="L22" s="5" t="s">
        <v>103</v>
      </c>
      <c r="M22" s="106"/>
      <c r="N22" s="6"/>
      <c r="O22" s="6"/>
      <c r="P22" s="125">
        <f t="shared" ref="P22:U22" ca="1" si="2">E22</f>
        <v>10</v>
      </c>
      <c r="Q22" s="124">
        <f t="shared" ca="1" si="2"/>
        <v>28.662500000000023</v>
      </c>
      <c r="R22" s="125">
        <f t="shared" ca="1" si="2"/>
        <v>10.083333333333334</v>
      </c>
      <c r="S22" s="124">
        <f t="shared" ca="1" si="2"/>
        <v>29.245833333333355</v>
      </c>
      <c r="T22" s="125">
        <f t="shared" ca="1" si="2"/>
        <v>10.25</v>
      </c>
      <c r="U22" s="124">
        <f t="shared" ca="1" si="2"/>
        <v>30.412500000000023</v>
      </c>
    </row>
    <row r="23" spans="1:21" ht="16.5" customHeight="1" thickBot="1" x14ac:dyDescent="0.3">
      <c r="A23" s="8" t="s">
        <v>115</v>
      </c>
      <c r="B23" s="110"/>
      <c r="C23" s="9"/>
      <c r="D23" s="9"/>
      <c r="E23" s="126">
        <f t="shared" ref="E23:J23" ca="1" si="3">E22-E21</f>
        <v>-168.65543750000001</v>
      </c>
      <c r="F23" s="127">
        <f t="shared" ca="1" si="3"/>
        <v>-14.260627423217599</v>
      </c>
      <c r="G23" s="126">
        <f t="shared" ca="1" si="3"/>
        <v>-168.66210416666664</v>
      </c>
      <c r="H23" s="127">
        <f t="shared" ca="1" si="3"/>
        <v>-13.66004408988427</v>
      </c>
      <c r="I23" s="126">
        <f t="shared" ca="1" si="3"/>
        <v>-168.45872089041094</v>
      </c>
      <c r="J23" s="127">
        <f t="shared" ca="1" si="3"/>
        <v>-12.449317491710751</v>
      </c>
      <c r="L23" s="8" t="s">
        <v>115</v>
      </c>
      <c r="M23" s="110"/>
      <c r="N23" s="9"/>
      <c r="O23" s="9"/>
      <c r="P23" s="126">
        <f t="shared" ref="P23:U23" ca="1" si="4">P22-P21</f>
        <v>-178.41972321428571</v>
      </c>
      <c r="Q23" s="127">
        <f t="shared" ca="1" si="4"/>
        <v>-24.024913137503297</v>
      </c>
      <c r="R23" s="126">
        <f t="shared" ca="1" si="4"/>
        <v>-178.42638988095237</v>
      </c>
      <c r="S23" s="127">
        <f t="shared" ca="1" si="4"/>
        <v>-23.424329804169968</v>
      </c>
      <c r="T23" s="126">
        <f t="shared" ca="1" si="4"/>
        <v>-178.22300660469668</v>
      </c>
      <c r="U23" s="127">
        <f t="shared" ca="1" si="4"/>
        <v>-22.213603205996449</v>
      </c>
    </row>
    <row r="24" spans="1:21" x14ac:dyDescent="0.25">
      <c r="A24" s="5" t="s">
        <v>86</v>
      </c>
      <c r="B24" s="107"/>
      <c r="C24" s="6"/>
      <c r="D24" s="6"/>
      <c r="E24" s="128">
        <f ca="1">'Loading Arrival'!B35</f>
        <v>45923</v>
      </c>
      <c r="F24" s="129">
        <f ca="1">'Loading Arrival'!B17</f>
        <v>45930</v>
      </c>
      <c r="G24" s="128">
        <f ca="1">'Loading Arrival'!C17</f>
        <v>45944</v>
      </c>
      <c r="H24" s="129">
        <f ca="1">'Loading Arrival'!C17</f>
        <v>45944</v>
      </c>
      <c r="I24" s="128">
        <f ca="1">'Loading Arrival'!D17</f>
        <v>45958</v>
      </c>
      <c r="J24" s="129">
        <f ca="1">'Loading Arrival'!D17</f>
        <v>45958</v>
      </c>
      <c r="L24" s="5" t="s">
        <v>86</v>
      </c>
      <c r="M24" s="107"/>
      <c r="N24" s="6"/>
      <c r="O24" s="6"/>
      <c r="P24" s="128">
        <f t="shared" ref="P24:U24" ca="1" si="5">E24</f>
        <v>45923</v>
      </c>
      <c r="Q24" s="129">
        <f t="shared" ca="1" si="5"/>
        <v>45930</v>
      </c>
      <c r="R24" s="128">
        <f t="shared" ca="1" si="5"/>
        <v>45944</v>
      </c>
      <c r="S24" s="129">
        <f t="shared" ca="1" si="5"/>
        <v>45944</v>
      </c>
      <c r="T24" s="128">
        <f t="shared" ca="1" si="5"/>
        <v>45958</v>
      </c>
      <c r="U24" s="129">
        <f t="shared" ca="1" si="5"/>
        <v>45958</v>
      </c>
    </row>
    <row r="25" spans="1:21" ht="15.75" thickBot="1" x14ac:dyDescent="0.3">
      <c r="A25" s="7" t="s">
        <v>101</v>
      </c>
      <c r="B25" s="108"/>
      <c r="C25" s="105"/>
      <c r="D25" s="105"/>
      <c r="E25" s="503">
        <f ca="1">'Loading Arrival'!B35</f>
        <v>45923</v>
      </c>
      <c r="F25" s="504"/>
      <c r="G25" s="505">
        <f>'Loading Arrival'!L9</f>
        <v>0</v>
      </c>
      <c r="H25" s="506"/>
      <c r="I25" s="507">
        <f>'Loading Arrival'!N9</f>
        <v>0</v>
      </c>
      <c r="J25" s="504"/>
      <c r="L25" s="7" t="s">
        <v>101</v>
      </c>
      <c r="M25" s="108"/>
      <c r="N25" s="105"/>
      <c r="O25" s="105"/>
      <c r="P25" s="503">
        <f>'Loading Arrival'!V9</f>
        <v>0</v>
      </c>
      <c r="Q25" s="504"/>
      <c r="R25" s="505">
        <f>'Loading Arrival'!W9</f>
        <v>0</v>
      </c>
      <c r="S25" s="506"/>
      <c r="T25" s="507">
        <f>'Loading Arrival'!Y9</f>
        <v>0</v>
      </c>
      <c r="U25" s="504"/>
    </row>
  </sheetData>
  <mergeCells count="20">
    <mergeCell ref="E25:F25"/>
    <mergeCell ref="G25:H25"/>
    <mergeCell ref="I25:J25"/>
    <mergeCell ref="A4:D4"/>
    <mergeCell ref="E4:F4"/>
    <mergeCell ref="G4:H4"/>
    <mergeCell ref="P25:Q25"/>
    <mergeCell ref="R25:S25"/>
    <mergeCell ref="T25:U25"/>
    <mergeCell ref="I4:J4"/>
    <mergeCell ref="L4:O4"/>
    <mergeCell ref="P4:Q4"/>
    <mergeCell ref="R4:S4"/>
    <mergeCell ref="T4:U4"/>
    <mergeCell ref="T3:U3"/>
    <mergeCell ref="E3:F3"/>
    <mergeCell ref="G3:H3"/>
    <mergeCell ref="I3:J3"/>
    <mergeCell ref="P3:Q3"/>
    <mergeCell ref="R3:S3"/>
  </mergeCells>
  <pageMargins left="0.7" right="0.7" top="0.75" bottom="0.75" header="0.3" footer="0.3"/>
  <pageSetup paperSize="9" orientation="portrait" verticalDpi="0" r:id="rId1"/>
  <customProperties>
    <customPr name="_pios_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3:U25"/>
  <sheetViews>
    <sheetView workbookViewId="0">
      <selection activeCell="B12" sqref="B12"/>
    </sheetView>
  </sheetViews>
  <sheetFormatPr defaultRowHeight="15" x14ac:dyDescent="0.25"/>
  <cols>
    <col min="1" max="1" width="17.7109375" bestFit="1" customWidth="1"/>
    <col min="2" max="2" width="11.5703125" bestFit="1" customWidth="1"/>
    <col min="3" max="3" width="6.140625" bestFit="1" customWidth="1"/>
    <col min="4" max="4" width="8.140625" bestFit="1" customWidth="1"/>
    <col min="5" max="5" width="8" bestFit="1" customWidth="1"/>
    <col min="6" max="6" width="7" bestFit="1" customWidth="1"/>
    <col min="7" max="7" width="8" bestFit="1" customWidth="1"/>
    <col min="8" max="8" width="7" bestFit="1" customWidth="1"/>
    <col min="9" max="9" width="8" bestFit="1" customWidth="1"/>
    <col min="10" max="10" width="7" bestFit="1" customWidth="1"/>
    <col min="12" max="12" width="17.7109375" bestFit="1" customWidth="1"/>
    <col min="13" max="13" width="11.5703125" bestFit="1" customWidth="1"/>
    <col min="14" max="14" width="6.140625" bestFit="1" customWidth="1"/>
    <col min="15" max="15" width="8.140625" bestFit="1" customWidth="1"/>
    <col min="16" max="16" width="8" bestFit="1" customWidth="1"/>
    <col min="17" max="17" width="7" bestFit="1" customWidth="1"/>
    <col min="18" max="18" width="8" bestFit="1" customWidth="1"/>
    <col min="19" max="19" width="7" bestFit="1" customWidth="1"/>
    <col min="20" max="20" width="8" bestFit="1" customWidth="1"/>
    <col min="21" max="21" width="7" bestFit="1" customWidth="1"/>
  </cols>
  <sheetData>
    <row r="3" spans="1:21" ht="15.75" thickBot="1" x14ac:dyDescent="0.3">
      <c r="E3" s="511" t="s">
        <v>47</v>
      </c>
      <c r="F3" s="512"/>
      <c r="G3" s="511" t="s">
        <v>48</v>
      </c>
      <c r="H3" s="512"/>
      <c r="I3" s="511" t="s">
        <v>49</v>
      </c>
      <c r="J3" s="512"/>
      <c r="P3" s="511" t="s">
        <v>47</v>
      </c>
      <c r="Q3" s="512"/>
      <c r="R3" s="511" t="s">
        <v>48</v>
      </c>
      <c r="S3" s="512"/>
      <c r="T3" s="511" t="s">
        <v>49</v>
      </c>
      <c r="U3" s="512"/>
    </row>
    <row r="4" spans="1:21" x14ac:dyDescent="0.25">
      <c r="A4" s="509" t="s">
        <v>75</v>
      </c>
      <c r="B4" s="510"/>
      <c r="C4" s="510"/>
      <c r="D4" s="510"/>
      <c r="E4" s="508">
        <f ca="1">'Loading Arrival'!B11</f>
        <v>45903</v>
      </c>
      <c r="F4" s="502"/>
      <c r="G4" s="501">
        <f ca="1">'Loading Arrival'!C11</f>
        <v>45917</v>
      </c>
      <c r="H4" s="502"/>
      <c r="I4" s="501">
        <f ca="1">'Loading Arrival'!D11</f>
        <v>45931</v>
      </c>
      <c r="J4" s="502"/>
      <c r="L4" s="509" t="s">
        <v>74</v>
      </c>
      <c r="M4" s="510"/>
      <c r="N4" s="510"/>
      <c r="O4" s="510"/>
      <c r="P4" s="508">
        <f ca="1">E4</f>
        <v>45903</v>
      </c>
      <c r="Q4" s="502"/>
      <c r="R4" s="501">
        <f ca="1">G4</f>
        <v>45917</v>
      </c>
      <c r="S4" s="502"/>
      <c r="T4" s="501">
        <f ca="1">I4</f>
        <v>45931</v>
      </c>
      <c r="U4" s="502"/>
    </row>
    <row r="5" spans="1:21" x14ac:dyDescent="0.25">
      <c r="A5" s="131"/>
      <c r="B5" s="130"/>
      <c r="C5" s="10"/>
      <c r="D5" s="10"/>
      <c r="E5" s="132" t="s">
        <v>87</v>
      </c>
      <c r="F5" s="133" t="s">
        <v>88</v>
      </c>
      <c r="G5" s="132" t="s">
        <v>87</v>
      </c>
      <c r="H5" s="133" t="s">
        <v>88</v>
      </c>
      <c r="I5" s="132" t="s">
        <v>87</v>
      </c>
      <c r="J5" s="133" t="s">
        <v>88</v>
      </c>
      <c r="L5" s="131"/>
      <c r="M5" s="130"/>
      <c r="N5" s="10"/>
      <c r="O5" s="10"/>
      <c r="P5" s="132" t="s">
        <v>87</v>
      </c>
      <c r="Q5" s="133" t="s">
        <v>88</v>
      </c>
      <c r="R5" s="132" t="s">
        <v>87</v>
      </c>
      <c r="S5" s="133" t="s">
        <v>88</v>
      </c>
      <c r="T5" s="132" t="s">
        <v>87</v>
      </c>
      <c r="U5" s="133" t="s">
        <v>88</v>
      </c>
    </row>
    <row r="6" spans="1:21" ht="15.75" thickBot="1" x14ac:dyDescent="0.3">
      <c r="A6" s="5" t="s">
        <v>55</v>
      </c>
      <c r="B6" s="106">
        <f>VLOOKUP(A4,Freight!$A$2:$F$11,2,0)</f>
        <v>4800000</v>
      </c>
      <c r="C6" s="6"/>
      <c r="D6" s="6"/>
      <c r="E6" s="120">
        <f>B6/B$7</f>
        <v>32</v>
      </c>
      <c r="F6" s="121">
        <f>B6/B$7</f>
        <v>32</v>
      </c>
      <c r="G6" s="120">
        <f>B6/B$7</f>
        <v>32</v>
      </c>
      <c r="H6" s="121">
        <f>B6/B$7</f>
        <v>32</v>
      </c>
      <c r="I6" s="120">
        <f>B6/B$7</f>
        <v>32</v>
      </c>
      <c r="J6" s="121">
        <f>B6/B$7</f>
        <v>32</v>
      </c>
      <c r="L6" s="5" t="s">
        <v>55</v>
      </c>
      <c r="M6" s="106">
        <f>VLOOKUP(L4,Freight!$A$2:$F$11,2,0)</f>
        <v>4300000</v>
      </c>
      <c r="N6" s="6"/>
      <c r="O6" s="6"/>
      <c r="P6" s="120">
        <f>M6/M$7</f>
        <v>43</v>
      </c>
      <c r="Q6" s="121">
        <f>M6/M$7</f>
        <v>43</v>
      </c>
      <c r="R6" s="120">
        <f>M6/M$7</f>
        <v>43</v>
      </c>
      <c r="S6" s="121">
        <f>M6/M$7</f>
        <v>43</v>
      </c>
      <c r="T6" s="120">
        <f>M6/M$7</f>
        <v>43</v>
      </c>
      <c r="U6" s="121">
        <f>M6/M$7</f>
        <v>43</v>
      </c>
    </row>
    <row r="7" spans="1:21" x14ac:dyDescent="0.25">
      <c r="A7" s="5" t="s">
        <v>56</v>
      </c>
      <c r="B7" s="106">
        <v>150000</v>
      </c>
      <c r="C7" s="3" t="s">
        <v>81</v>
      </c>
      <c r="D7" s="4" t="s">
        <v>82</v>
      </c>
      <c r="E7" s="122"/>
      <c r="F7" s="123"/>
      <c r="G7" s="122"/>
      <c r="H7" s="123"/>
      <c r="I7" s="122"/>
      <c r="J7" s="123"/>
      <c r="L7" s="5" t="s">
        <v>56</v>
      </c>
      <c r="M7" s="106">
        <v>100000</v>
      </c>
      <c r="N7" s="3" t="s">
        <v>81</v>
      </c>
      <c r="O7" s="4" t="s">
        <v>82</v>
      </c>
      <c r="P7" s="122"/>
      <c r="Q7" s="123"/>
      <c r="R7" s="122"/>
      <c r="S7" s="123"/>
      <c r="T7" s="122"/>
      <c r="U7" s="123"/>
    </row>
    <row r="8" spans="1:21" ht="15.75" thickBot="1" x14ac:dyDescent="0.3">
      <c r="A8" s="5" t="s">
        <v>57</v>
      </c>
      <c r="B8" s="106">
        <f>C8*D8</f>
        <v>402500</v>
      </c>
      <c r="C8" s="7">
        <f>VLOOKUP(A$4,Freight!$A$2:$F$11,5,0)</f>
        <v>57500</v>
      </c>
      <c r="D8" s="105">
        <v>7</v>
      </c>
      <c r="E8" s="120">
        <f>B$8/B$7</f>
        <v>2.6833333333333331</v>
      </c>
      <c r="F8" s="121">
        <f>B$8/B$7</f>
        <v>2.6833333333333331</v>
      </c>
      <c r="G8" s="120">
        <f>B8/B$7</f>
        <v>2.6833333333333331</v>
      </c>
      <c r="H8" s="121">
        <f>B8/B$7</f>
        <v>2.6833333333333331</v>
      </c>
      <c r="I8" s="120">
        <f>B8/B$7</f>
        <v>2.6833333333333331</v>
      </c>
      <c r="J8" s="121">
        <f>B8/B$7</f>
        <v>2.6833333333333331</v>
      </c>
      <c r="L8" s="5" t="s">
        <v>57</v>
      </c>
      <c r="M8" s="106">
        <f>N8*O8</f>
        <v>212500</v>
      </c>
      <c r="N8" s="7">
        <f>VLOOKUP(L$4,Freight!$A$2:$F$11,5,0)</f>
        <v>42500</v>
      </c>
      <c r="O8" s="105">
        <v>5</v>
      </c>
      <c r="P8" s="120">
        <f>M$8/M$7</f>
        <v>2.125</v>
      </c>
      <c r="Q8" s="121">
        <f>M$8/M$7</f>
        <v>2.125</v>
      </c>
      <c r="R8" s="120">
        <f>M8/M$7</f>
        <v>2.125</v>
      </c>
      <c r="S8" s="121">
        <f>M8/M$7</f>
        <v>2.125</v>
      </c>
      <c r="T8" s="120">
        <f>M8/M$7</f>
        <v>2.125</v>
      </c>
      <c r="U8" s="121">
        <f>M8/M$7</f>
        <v>2.125</v>
      </c>
    </row>
    <row r="9" spans="1:21" x14ac:dyDescent="0.25">
      <c r="A9" s="5" t="s">
        <v>58</v>
      </c>
      <c r="B9" s="106">
        <v>15000</v>
      </c>
      <c r="C9" s="6"/>
      <c r="D9" s="6"/>
      <c r="E9" s="120">
        <f>B9/B$7</f>
        <v>0.1</v>
      </c>
      <c r="F9" s="121">
        <f>B9/B$7</f>
        <v>0.1</v>
      </c>
      <c r="G9" s="120">
        <f>B9/B$7</f>
        <v>0.1</v>
      </c>
      <c r="H9" s="121">
        <f>B9/B$7</f>
        <v>0.1</v>
      </c>
      <c r="I9" s="120">
        <f>B9/B$7</f>
        <v>0.1</v>
      </c>
      <c r="J9" s="121">
        <f>B9/B$7</f>
        <v>0.1</v>
      </c>
      <c r="L9" s="5" t="s">
        <v>58</v>
      </c>
      <c r="M9" s="106">
        <v>8500</v>
      </c>
      <c r="N9" s="6"/>
      <c r="O9" s="6"/>
      <c r="P9" s="120">
        <f>M9/M$7</f>
        <v>8.5000000000000006E-2</v>
      </c>
      <c r="Q9" s="121">
        <f>M9/M$7</f>
        <v>8.5000000000000006E-2</v>
      </c>
      <c r="R9" s="120">
        <f>M9/M$7</f>
        <v>8.5000000000000006E-2</v>
      </c>
      <c r="S9" s="121">
        <f>M9/M$7</f>
        <v>8.5000000000000006E-2</v>
      </c>
      <c r="T9" s="120">
        <f>M9/M$7</f>
        <v>8.5000000000000006E-2</v>
      </c>
      <c r="U9" s="121">
        <f>M9/M$7</f>
        <v>8.5000000000000006E-2</v>
      </c>
    </row>
    <row r="10" spans="1:21" ht="15.75" thickBot="1" x14ac:dyDescent="0.3">
      <c r="A10" s="5" t="s">
        <v>127</v>
      </c>
      <c r="B10" s="106">
        <v>25000</v>
      </c>
      <c r="C10" s="6"/>
      <c r="D10" s="6"/>
      <c r="E10" s="120">
        <f>B10/B$7</f>
        <v>0.16666666666666666</v>
      </c>
      <c r="F10" s="121">
        <f>B10/B$7</f>
        <v>0.16666666666666666</v>
      </c>
      <c r="G10" s="120">
        <f>B10/B$7</f>
        <v>0.16666666666666666</v>
      </c>
      <c r="H10" s="121">
        <f>B10/B$7</f>
        <v>0.16666666666666666</v>
      </c>
      <c r="I10" s="120">
        <f>B10/B$7</f>
        <v>0.16666666666666666</v>
      </c>
      <c r="J10" s="121">
        <f>B10/B$7</f>
        <v>0.16666666666666666</v>
      </c>
      <c r="L10" s="5" t="s">
        <v>127</v>
      </c>
      <c r="M10" s="106">
        <v>25000</v>
      </c>
      <c r="N10" s="6"/>
      <c r="O10" s="6"/>
      <c r="P10" s="120">
        <f>M10/M$7</f>
        <v>0.25</v>
      </c>
      <c r="Q10" s="121">
        <f>M10/M$7</f>
        <v>0.25</v>
      </c>
      <c r="R10" s="120">
        <f>M10/M$7</f>
        <v>0.25</v>
      </c>
      <c r="S10" s="121">
        <f>M10/M$7</f>
        <v>0.25</v>
      </c>
      <c r="T10" s="120">
        <f>M10/M$7</f>
        <v>0.25</v>
      </c>
      <c r="U10" s="121">
        <f>M10/M$7</f>
        <v>0.25</v>
      </c>
    </row>
    <row r="11" spans="1:21" x14ac:dyDescent="0.25">
      <c r="A11" s="5" t="s">
        <v>128</v>
      </c>
      <c r="B11" s="106">
        <v>25000</v>
      </c>
      <c r="C11" s="3" t="s">
        <v>81</v>
      </c>
      <c r="D11" s="4" t="s">
        <v>82</v>
      </c>
      <c r="E11" s="120">
        <f>B11/B$7</f>
        <v>0.16666666666666666</v>
      </c>
      <c r="F11" s="121">
        <f>B11/B$7</f>
        <v>0.16666666666666666</v>
      </c>
      <c r="G11" s="120">
        <f>B11/B$7</f>
        <v>0.16666666666666666</v>
      </c>
      <c r="H11" s="121">
        <f>B11/B$7</f>
        <v>0.16666666666666666</v>
      </c>
      <c r="I11" s="120">
        <f>B11/B$7</f>
        <v>0.16666666666666666</v>
      </c>
      <c r="J11" s="121">
        <f>B11/B$7</f>
        <v>0.16666666666666666</v>
      </c>
      <c r="L11" s="5" t="s">
        <v>128</v>
      </c>
      <c r="M11" s="106">
        <v>25000</v>
      </c>
      <c r="N11" s="3" t="s">
        <v>81</v>
      </c>
      <c r="O11" s="4" t="s">
        <v>82</v>
      </c>
      <c r="P11" s="120">
        <f>M11/M$7</f>
        <v>0.25</v>
      </c>
      <c r="Q11" s="121">
        <f>M11/M$7</f>
        <v>0.25</v>
      </c>
      <c r="R11" s="120">
        <f>M11/M$7</f>
        <v>0.25</v>
      </c>
      <c r="S11" s="121">
        <f>M11/M$7</f>
        <v>0.25</v>
      </c>
      <c r="T11" s="120">
        <f>M11/M$7</f>
        <v>0.25</v>
      </c>
      <c r="U11" s="121">
        <f>M11/M$7</f>
        <v>0.25</v>
      </c>
    </row>
    <row r="12" spans="1:21" ht="15.75" thickBot="1" x14ac:dyDescent="0.3">
      <c r="A12" s="5" t="s">
        <v>83</v>
      </c>
      <c r="B12" s="109">
        <f ca="1">(D12*((C12)/365)*VLOOKUP(EOMONTH(E4,-1)+1,Tullet!$A$4:$S$25,2,0))*B7</f>
        <v>519750.00000000006</v>
      </c>
      <c r="C12" s="103">
        <v>5.5E-2</v>
      </c>
      <c r="D12" s="105">
        <v>60</v>
      </c>
      <c r="E12" s="120">
        <f ca="1">(D12*((C12)/365)*VLOOKUP(EOMONTH(E4,-1)+1,Tullet!$A$4:$S$27,2,0))</f>
        <v>3.4650000000000003</v>
      </c>
      <c r="F12" s="124">
        <f ca="1">(D12*((C12)/365)*VLOOKUP(EOMONTH(E4,-1)+1,Tullet!$N$4:$S$27,3,0))</f>
        <v>4.0907787328767116</v>
      </c>
      <c r="G12" s="120">
        <f ca="1">(D$12*((C$12)/365)*VLOOKUP(EOMONTH(G4,-1)+1,Tullet!$A$4:$S$27,2,0))</f>
        <v>3.4650000000000003</v>
      </c>
      <c r="H12" s="124">
        <f ca="1">(D$12*((C$12)/365)*VLOOKUP(EOMONTH(G4,-1)+1,Tullet!$N$4:$S$27,3,0))</f>
        <v>4.0907787328767116</v>
      </c>
      <c r="I12" s="120">
        <f ca="1">(D$12*((C$12)/365)*VLOOKUP(EOMONTH(I4,-1)+1,Tullet!$A$4:$S$27,2,0))</f>
        <v>3.4310958904109592</v>
      </c>
      <c r="J12" s="124">
        <f ca="1">(D$12*((C$12)/365)*VLOOKUP(EOMONTH(I4,-1)+1,Tullet!$N$4:$S$27,3,0))</f>
        <v>4.0500938013698624</v>
      </c>
      <c r="L12" s="5" t="s">
        <v>83</v>
      </c>
      <c r="M12" s="109">
        <f ca="1">(O12*((N12)/365)*VLOOKUP(EOMONTH(P4,-1)+1,Tullet!$A$4:$S$25,2,0))*M7</f>
        <v>346500.00000000006</v>
      </c>
      <c r="N12" s="103">
        <v>5.5E-2</v>
      </c>
      <c r="O12" s="105">
        <v>60</v>
      </c>
      <c r="P12" s="120">
        <f ca="1">(O12*((N12)/365)*VLOOKUP(EOMONTH(P4,-1)+1,Tullet!$A$4:$S$27,2,0))</f>
        <v>3.4650000000000003</v>
      </c>
      <c r="Q12" s="124">
        <f ca="1">(O12*((N12)/365)*VLOOKUP(EOMONTH(P4,-1)+1,Tullet!$N$4:$S$27,3,0))</f>
        <v>4.0907787328767116</v>
      </c>
      <c r="R12" s="120">
        <f ca="1">(O$12*((N$12)/365)*VLOOKUP(EOMONTH(R4,-1)+1,Tullet!$A$4:$S$27,2,0))</f>
        <v>3.4650000000000003</v>
      </c>
      <c r="S12" s="124">
        <f ca="1">(O$12*((N$12)/365)*VLOOKUP(EOMONTH(R4,-1)+1,Tullet!$N$4:$S$27,3,0))</f>
        <v>4.0907787328767116</v>
      </c>
      <c r="T12" s="120">
        <f ca="1">(O$12*((N$12)/365)*VLOOKUP(EOMONTH(T4,-1)+1,Tullet!$A$4:$S$27,2,0))</f>
        <v>3.4310958904109592</v>
      </c>
      <c r="U12" s="124">
        <f ca="1">(O$12*((N$12)/365)*VLOOKUP(EOMONTH(T4,-1)+1,Tullet!$N$4:$S$27,3,0))</f>
        <v>4.0500938013698624</v>
      </c>
    </row>
    <row r="13" spans="1:21" ht="15.75" thickBot="1" x14ac:dyDescent="0.3">
      <c r="A13" s="5" t="s">
        <v>59</v>
      </c>
      <c r="B13" s="106"/>
      <c r="C13" s="6"/>
      <c r="D13" s="6"/>
      <c r="E13" s="122"/>
      <c r="F13" s="123"/>
      <c r="G13" s="122"/>
      <c r="H13" s="123"/>
      <c r="I13" s="122"/>
      <c r="J13" s="123"/>
      <c r="L13" s="5" t="s">
        <v>59</v>
      </c>
      <c r="M13" s="106"/>
      <c r="N13" s="6"/>
      <c r="O13" s="6"/>
      <c r="P13" s="122"/>
      <c r="Q13" s="123"/>
      <c r="R13" s="122"/>
      <c r="S13" s="123"/>
      <c r="T13" s="122"/>
      <c r="U13" s="123"/>
    </row>
    <row r="14" spans="1:21" x14ac:dyDescent="0.25">
      <c r="A14" s="5" t="s">
        <v>60</v>
      </c>
      <c r="B14" s="106">
        <f ca="1">B7*VLOOKUP(EOMONTH(E4,-1)+1,Tullet!$A$4:$S$25,2,0)*0.1%</f>
        <v>57487.5</v>
      </c>
      <c r="C14" s="3" t="s">
        <v>81</v>
      </c>
      <c r="D14" s="4" t="s">
        <v>84</v>
      </c>
      <c r="E14" s="120">
        <f ca="1">VLOOKUP(EOMONTH(E4,-1)+1,Tullet!$A$4:$S$27,2,0)*0.00075</f>
        <v>0.28743750000000001</v>
      </c>
      <c r="F14" s="121">
        <f ca="1">VLOOKUP(EOMONTH(E4,-1)+1,Tullet!$N$3:$S$27,3,0)*0.00075</f>
        <v>0.33934869034090903</v>
      </c>
      <c r="G14" s="120">
        <f ca="1">VLOOKUP(EOMONTH(G4,-1)+1,Tullet!$A$4:$S$27,2,0)*0.00075</f>
        <v>0.28743750000000001</v>
      </c>
      <c r="H14" s="121">
        <f ca="1">VLOOKUP(EOMONTH(G4,-1)+1,Tullet!$N$3:$S$27,3,0)*0.00075</f>
        <v>0.33934869034090903</v>
      </c>
      <c r="I14" s="120">
        <f ca="1">VLOOKUP(EOMONTH(I4,-1)+1,Tullet!$A$4:$S$27,2,0)*0.00075</f>
        <v>0.28462500000000002</v>
      </c>
      <c r="J14" s="121">
        <f ca="1">VLOOKUP(EOMONTH(I4,-1)+1,Tullet!$N$3:$S$27,3,0)*0.00075</f>
        <v>0.33597369034090907</v>
      </c>
      <c r="L14" s="5" t="s">
        <v>60</v>
      </c>
      <c r="M14" s="106">
        <f ca="1">M7*VLOOKUP(EOMONTH(P4,-1)+1,Tullet!$A$4:$S$25,2,0)*0.1%</f>
        <v>38325</v>
      </c>
      <c r="N14" s="3" t="s">
        <v>81</v>
      </c>
      <c r="O14" s="4" t="s">
        <v>84</v>
      </c>
      <c r="P14" s="120">
        <f ca="1">VLOOKUP(EOMONTH(P4,-1)+1,Tullet!$A$4:$S$27,2,0)*0.00075</f>
        <v>0.28743750000000001</v>
      </c>
      <c r="Q14" s="121">
        <f ca="1">VLOOKUP(EOMONTH(P4,-1)+1,Tullet!$N$3:$S$27,3,0)*0.00075</f>
        <v>0.33934869034090903</v>
      </c>
      <c r="R14" s="120">
        <f ca="1">VLOOKUP(EOMONTH(R4,-1)+1,Tullet!$A$4:$S$27,2,0)*0.00075</f>
        <v>0.28743750000000001</v>
      </c>
      <c r="S14" s="121">
        <f ca="1">VLOOKUP(EOMONTH(R4,-1)+1,Tullet!$N$3:$S$27,3,0)*0.00075</f>
        <v>0.33934869034090903</v>
      </c>
      <c r="T14" s="120">
        <f ca="1">VLOOKUP(EOMONTH(T4,-1)+1,Tullet!$A$4:$S$27,2,0)*0.00075</f>
        <v>0.28462500000000002</v>
      </c>
      <c r="U14" s="121">
        <f ca="1">VLOOKUP(EOMONTH(T4,-1)+1,Tullet!$N$3:$S$27,3,0)*0.00075</f>
        <v>0.33597369034090907</v>
      </c>
    </row>
    <row r="15" spans="1:21" ht="15.75" thickBot="1" x14ac:dyDescent="0.3">
      <c r="A15" s="5" t="s">
        <v>61</v>
      </c>
      <c r="B15" s="106">
        <f ca="1">C15*$B$7*VLOOKUP(EOMONTH(E24,-1)+1,Tullet!$E$50:$I$83,4,0)</f>
        <v>177187.5</v>
      </c>
      <c r="C15" s="104">
        <v>3.0000000000000001E-3</v>
      </c>
      <c r="D15" s="105" t="s">
        <v>85</v>
      </c>
      <c r="E15" s="120">
        <f ca="1">$C$15*VLOOKUP(EOMONTH(E24,-1)+1,Tullet!$E$50:$I$83,4,0)</f>
        <v>1.1812500000000001</v>
      </c>
      <c r="F15" s="120">
        <f ca="1">$C$15*VLOOKUP(EOMONTH(F24,-1)+1,Tullet!$E$50:$I$83,4,0)</f>
        <v>1.1812500000000001</v>
      </c>
      <c r="G15" s="120">
        <f ca="1">$C$15*VLOOKUP(EOMONTH(G24,-1)+1,Tullet!$E$50:$I$83,4,0)</f>
        <v>1.1797500000000001</v>
      </c>
      <c r="H15" s="120">
        <f ca="1">$C$15*VLOOKUP(EOMONTH(H24,-1)+1,Tullet!$E$50:$I$83,4,0)</f>
        <v>1.1797500000000001</v>
      </c>
      <c r="I15" s="120">
        <f ca="1">$C$15*VLOOKUP(EOMONTH(I24,-1)+1,Tullet!$E$53:$I$83,4,0)</f>
        <v>1.1797500000000001</v>
      </c>
      <c r="J15" s="120">
        <f ca="1">$C$15*VLOOKUP(EOMONTH(J24,-1)+1,Tullet!$E$53:$I$83,4,0)</f>
        <v>1.1797500000000001</v>
      </c>
      <c r="L15" s="5" t="s">
        <v>61</v>
      </c>
      <c r="M15" s="106">
        <f ca="1">N15*$B$7*VLOOKUP(EOMONTH(P24,-1)+1,Tullet!$E$50:$I$83,4,0)</f>
        <v>177187.5</v>
      </c>
      <c r="N15" s="104">
        <v>3.0000000000000001E-3</v>
      </c>
      <c r="O15" s="105" t="s">
        <v>85</v>
      </c>
      <c r="P15" s="120">
        <f ca="1">$N$15*VLOOKUP(EOMONTH(P24,-1)+1,Tullet!$E$50:$I$83,4,0)</f>
        <v>1.1812500000000001</v>
      </c>
      <c r="Q15" s="120">
        <f ca="1">$N$15*VLOOKUP(EOMONTH(Q24,-1)+1,Tullet!$E$50:$I$83,4,0)</f>
        <v>1.1812500000000001</v>
      </c>
      <c r="R15" s="120">
        <f ca="1">$N$15*VLOOKUP(EOMONTH(R24,-1)+1,Tullet!$E$50:$I$83,4,0)</f>
        <v>1.1797500000000001</v>
      </c>
      <c r="S15" s="120">
        <f ca="1">$N$15*VLOOKUP(EOMONTH(S24,-1)+1,Tullet!$E$50:$I$83,4,0)</f>
        <v>1.1797500000000001</v>
      </c>
      <c r="T15" s="120">
        <f ca="1">$N$15*VLOOKUP(EOMONTH(T24,-1)+1,Tullet!$E$53:$I$83,4,0)</f>
        <v>1.1797500000000001</v>
      </c>
      <c r="U15" s="120">
        <f ca="1">$N$15*VLOOKUP(EOMONTH(U24,-1)+1,Tullet!$E$53:$I$83,4,0)</f>
        <v>1.1797500000000001</v>
      </c>
    </row>
    <row r="16" spans="1:21" x14ac:dyDescent="0.25">
      <c r="A16" s="5" t="s">
        <v>62</v>
      </c>
      <c r="B16" s="106">
        <v>12500</v>
      </c>
      <c r="C16" s="6"/>
      <c r="D16" s="6"/>
      <c r="E16" s="120">
        <f>B16/B$7</f>
        <v>8.3333333333333329E-2</v>
      </c>
      <c r="F16" s="121">
        <f>B16/B$7</f>
        <v>8.3333333333333329E-2</v>
      </c>
      <c r="G16" s="120">
        <f>B16/B$7</f>
        <v>8.3333333333333329E-2</v>
      </c>
      <c r="H16" s="121">
        <f>B16/B$7</f>
        <v>8.3333333333333329E-2</v>
      </c>
      <c r="I16" s="120">
        <f>B16/B$7</f>
        <v>8.3333333333333329E-2</v>
      </c>
      <c r="J16" s="121">
        <f>B16/B$7</f>
        <v>8.3333333333333329E-2</v>
      </c>
      <c r="L16" s="5" t="s">
        <v>62</v>
      </c>
      <c r="M16" s="106">
        <v>12500</v>
      </c>
      <c r="N16" s="6"/>
      <c r="O16" s="6"/>
      <c r="P16" s="120">
        <f>M16/M$7</f>
        <v>0.125</v>
      </c>
      <c r="Q16" s="121">
        <f>M16/M$7</f>
        <v>0.125</v>
      </c>
      <c r="R16" s="120">
        <f>M16/M$7</f>
        <v>0.125</v>
      </c>
      <c r="S16" s="121">
        <f>M16/M$7</f>
        <v>0.125</v>
      </c>
      <c r="T16" s="120">
        <f>M16/M$7</f>
        <v>0.125</v>
      </c>
      <c r="U16" s="121">
        <f>M16/M$7</f>
        <v>0.125</v>
      </c>
    </row>
    <row r="17" spans="1:21" x14ac:dyDescent="0.25">
      <c r="A17" s="5" t="s">
        <v>63</v>
      </c>
      <c r="B17" s="106">
        <v>1250</v>
      </c>
      <c r="C17" s="6"/>
      <c r="D17" s="6"/>
      <c r="E17" s="120">
        <f>B17/B$7</f>
        <v>8.3333333333333332E-3</v>
      </c>
      <c r="F17" s="121">
        <f>B17/B$7</f>
        <v>8.3333333333333332E-3</v>
      </c>
      <c r="G17" s="120">
        <f>B17/B$7</f>
        <v>8.3333333333333332E-3</v>
      </c>
      <c r="H17" s="121">
        <f>B17/B$7</f>
        <v>8.3333333333333332E-3</v>
      </c>
      <c r="I17" s="120">
        <f>B17/B$7</f>
        <v>8.3333333333333332E-3</v>
      </c>
      <c r="J17" s="121">
        <f>B17/B$7</f>
        <v>8.3333333333333332E-3</v>
      </c>
      <c r="L17" s="5" t="s">
        <v>63</v>
      </c>
      <c r="M17" s="106">
        <v>1250</v>
      </c>
      <c r="N17" s="6"/>
      <c r="O17" s="6"/>
      <c r="P17" s="120">
        <f>M17/M$7</f>
        <v>1.2500000000000001E-2</v>
      </c>
      <c r="Q17" s="121">
        <f>M17/M$7</f>
        <v>1.2500000000000001E-2</v>
      </c>
      <c r="R17" s="120">
        <f>M17/M$7</f>
        <v>1.2500000000000001E-2</v>
      </c>
      <c r="S17" s="121">
        <f>M17/M$7</f>
        <v>1.2500000000000001E-2</v>
      </c>
      <c r="T17" s="120">
        <f>M17/M$7</f>
        <v>1.2500000000000001E-2</v>
      </c>
      <c r="U17" s="121">
        <f>M17/M$7</f>
        <v>1.2500000000000001E-2</v>
      </c>
    </row>
    <row r="18" spans="1:21" x14ac:dyDescent="0.25">
      <c r="A18" s="5" t="s">
        <v>64</v>
      </c>
      <c r="B18" s="106">
        <v>1250</v>
      </c>
      <c r="C18" s="6"/>
      <c r="D18" s="6"/>
      <c r="E18" s="120">
        <f>B18/B$7</f>
        <v>8.3333333333333332E-3</v>
      </c>
      <c r="F18" s="121">
        <f>B18/B$7</f>
        <v>8.3333333333333332E-3</v>
      </c>
      <c r="G18" s="120">
        <f>B18/B$7</f>
        <v>8.3333333333333332E-3</v>
      </c>
      <c r="H18" s="121">
        <f>B18/B$7</f>
        <v>8.3333333333333332E-3</v>
      </c>
      <c r="I18" s="120">
        <f>B18/B$7</f>
        <v>8.3333333333333332E-3</v>
      </c>
      <c r="J18" s="121">
        <f>B18/B$7</f>
        <v>8.3333333333333332E-3</v>
      </c>
      <c r="L18" s="5" t="s">
        <v>64</v>
      </c>
      <c r="M18" s="106">
        <v>1250</v>
      </c>
      <c r="N18" s="6"/>
      <c r="O18" s="6"/>
      <c r="P18" s="120">
        <f>M18/M$7</f>
        <v>1.2500000000000001E-2</v>
      </c>
      <c r="Q18" s="121">
        <f>M18/M$7</f>
        <v>1.2500000000000001E-2</v>
      </c>
      <c r="R18" s="120">
        <f>M18/M$7</f>
        <v>1.2500000000000001E-2</v>
      </c>
      <c r="S18" s="121">
        <f>M18/M$7</f>
        <v>1.2500000000000001E-2</v>
      </c>
      <c r="T18" s="120">
        <f>M18/M$7</f>
        <v>1.2500000000000001E-2</v>
      </c>
      <c r="U18" s="121">
        <f>M18/M$7</f>
        <v>1.2500000000000001E-2</v>
      </c>
    </row>
    <row r="19" spans="1:21" x14ac:dyDescent="0.25">
      <c r="A19" s="5" t="s">
        <v>65</v>
      </c>
      <c r="B19" s="106">
        <v>15000</v>
      </c>
      <c r="C19" s="6"/>
      <c r="D19" s="6"/>
      <c r="E19" s="120">
        <f>B19/B$7</f>
        <v>0.1</v>
      </c>
      <c r="F19" s="121">
        <f>B19/B$7</f>
        <v>0.1</v>
      </c>
      <c r="G19" s="120">
        <f>B19/B$7</f>
        <v>0.1</v>
      </c>
      <c r="H19" s="121">
        <f>B19/B$7</f>
        <v>0.1</v>
      </c>
      <c r="I19" s="120">
        <f>B19/B$7</f>
        <v>0.1</v>
      </c>
      <c r="J19" s="121">
        <f>B19/B$7</f>
        <v>0.1</v>
      </c>
      <c r="L19" s="5" t="s">
        <v>65</v>
      </c>
      <c r="M19" s="106">
        <v>15000</v>
      </c>
      <c r="N19" s="6"/>
      <c r="O19" s="6"/>
      <c r="P19" s="120">
        <f>M19/M$7</f>
        <v>0.15</v>
      </c>
      <c r="Q19" s="121">
        <f>M19/M$7</f>
        <v>0.15</v>
      </c>
      <c r="R19" s="120">
        <f>M19/M$7</f>
        <v>0.15</v>
      </c>
      <c r="S19" s="121">
        <f>M19/M$7</f>
        <v>0.15</v>
      </c>
      <c r="T19" s="120">
        <f>M19/M$7</f>
        <v>0.15</v>
      </c>
      <c r="U19" s="121">
        <f>M19/M$7</f>
        <v>0.15</v>
      </c>
    </row>
    <row r="20" spans="1:21" ht="15.75" thickBot="1" x14ac:dyDescent="0.3">
      <c r="A20" s="5" t="s">
        <v>66</v>
      </c>
      <c r="B20" s="106">
        <v>10000</v>
      </c>
      <c r="C20" s="6"/>
      <c r="D20" s="6"/>
      <c r="E20" s="120">
        <f>B20/B$7</f>
        <v>6.6666666666666666E-2</v>
      </c>
      <c r="F20" s="121">
        <f>B20/B$7</f>
        <v>6.6666666666666666E-2</v>
      </c>
      <c r="G20" s="120">
        <f>B20/B$7</f>
        <v>6.6666666666666666E-2</v>
      </c>
      <c r="H20" s="121">
        <f>B20/B$7</f>
        <v>6.6666666666666666E-2</v>
      </c>
      <c r="I20" s="120">
        <f>B20/B$7</f>
        <v>6.6666666666666666E-2</v>
      </c>
      <c r="J20" s="121">
        <f>B20/B$7</f>
        <v>6.6666666666666666E-2</v>
      </c>
      <c r="L20" s="5" t="s">
        <v>66</v>
      </c>
      <c r="M20" s="106">
        <v>10000</v>
      </c>
      <c r="N20" s="6"/>
      <c r="O20" s="6"/>
      <c r="P20" s="120">
        <f>M20/M$7</f>
        <v>0.1</v>
      </c>
      <c r="Q20" s="121">
        <f>M20/M$7</f>
        <v>0.1</v>
      </c>
      <c r="R20" s="120">
        <f>M20/M$7</f>
        <v>0.1</v>
      </c>
      <c r="S20" s="121">
        <f>M20/M$7</f>
        <v>0.1</v>
      </c>
      <c r="T20" s="120">
        <f>M20/M$7</f>
        <v>0.1</v>
      </c>
      <c r="U20" s="121">
        <f>M20/M$7</f>
        <v>0.1</v>
      </c>
    </row>
    <row r="21" spans="1:21" ht="15.75" thickBot="1" x14ac:dyDescent="0.3">
      <c r="A21" s="8" t="s">
        <v>102</v>
      </c>
      <c r="B21" s="134">
        <f ca="1">SUM(B6:B20)</f>
        <v>6211925</v>
      </c>
      <c r="C21" s="9"/>
      <c r="D21" s="9"/>
      <c r="E21" s="126">
        <f t="shared" ref="E21:J21" ca="1" si="0">SUM(E6:E20)</f>
        <v>40.317020833333338</v>
      </c>
      <c r="F21" s="127">
        <f t="shared" ca="1" si="0"/>
        <v>40.994710756550951</v>
      </c>
      <c r="G21" s="126">
        <f t="shared" ca="1" si="0"/>
        <v>40.315520833333338</v>
      </c>
      <c r="H21" s="127">
        <f t="shared" ca="1" si="0"/>
        <v>40.993210756550951</v>
      </c>
      <c r="I21" s="126">
        <f t="shared" ca="1" si="0"/>
        <v>40.278804223744288</v>
      </c>
      <c r="J21" s="127">
        <f t="shared" ca="1" si="0"/>
        <v>40.9491508250441</v>
      </c>
      <c r="L21" s="8" t="s">
        <v>102</v>
      </c>
      <c r="M21" s="134">
        <f ca="1">SUM(M6:M20)</f>
        <v>5273012.5</v>
      </c>
      <c r="N21" s="9"/>
      <c r="O21" s="9"/>
      <c r="P21" s="126">
        <f t="shared" ref="P21:U21" ca="1" si="1">SUM(P6:P20)</f>
        <v>51.043687500000011</v>
      </c>
      <c r="Q21" s="127">
        <f t="shared" ca="1" si="1"/>
        <v>51.721377423217625</v>
      </c>
      <c r="R21" s="126">
        <f t="shared" ca="1" si="1"/>
        <v>51.042187500000011</v>
      </c>
      <c r="S21" s="127">
        <f t="shared" ca="1" si="1"/>
        <v>51.719877423217625</v>
      </c>
      <c r="T21" s="126">
        <f t="shared" ca="1" si="1"/>
        <v>51.005470890410962</v>
      </c>
      <c r="U21" s="127">
        <f t="shared" ca="1" si="1"/>
        <v>51.675817491710774</v>
      </c>
    </row>
    <row r="22" spans="1:21" ht="16.5" customHeight="1" thickBot="1" x14ac:dyDescent="0.3">
      <c r="A22" s="5" t="s">
        <v>103</v>
      </c>
      <c r="B22" s="106"/>
      <c r="C22" s="6"/>
      <c r="D22" s="6"/>
      <c r="E22" s="125">
        <f ca="1">'ROLLS HS'!L24</f>
        <v>10</v>
      </c>
      <c r="F22" s="124">
        <f ca="1">'ROLLS LS'!K24</f>
        <v>28.662500000000023</v>
      </c>
      <c r="G22" s="125">
        <f ca="1">'ROLLS HS'!L27</f>
        <v>10.071428571428571</v>
      </c>
      <c r="H22" s="124">
        <f ca="1">'ROLLS LS'!K27</f>
        <v>29.162500000000023</v>
      </c>
      <c r="I22" s="125">
        <f ca="1">'ROLLS HS'!L30</f>
        <v>10.25</v>
      </c>
      <c r="J22" s="124">
        <f ca="1">'ROLLS LS'!K30</f>
        <v>30.412500000000023</v>
      </c>
      <c r="L22" s="5" t="s">
        <v>103</v>
      </c>
      <c r="M22" s="106"/>
      <c r="N22" s="6"/>
      <c r="O22" s="6"/>
      <c r="P22" s="125">
        <f t="shared" ref="P22:U22" ca="1" si="2">E22</f>
        <v>10</v>
      </c>
      <c r="Q22" s="124">
        <f t="shared" ca="1" si="2"/>
        <v>28.662500000000023</v>
      </c>
      <c r="R22" s="125">
        <f t="shared" ca="1" si="2"/>
        <v>10.071428571428571</v>
      </c>
      <c r="S22" s="124">
        <f t="shared" ca="1" si="2"/>
        <v>29.162500000000023</v>
      </c>
      <c r="T22" s="125">
        <f t="shared" ca="1" si="2"/>
        <v>10.25</v>
      </c>
      <c r="U22" s="124">
        <f t="shared" ca="1" si="2"/>
        <v>30.412500000000023</v>
      </c>
    </row>
    <row r="23" spans="1:21" ht="16.5" customHeight="1" thickBot="1" x14ac:dyDescent="0.3">
      <c r="A23" s="8" t="s">
        <v>115</v>
      </c>
      <c r="B23" s="110"/>
      <c r="C23" s="9"/>
      <c r="D23" s="9"/>
      <c r="E23" s="126">
        <f t="shared" ref="E23:J23" ca="1" si="3">E22-E21</f>
        <v>-30.317020833333338</v>
      </c>
      <c r="F23" s="127">
        <f t="shared" ca="1" si="3"/>
        <v>-12.332210756550928</v>
      </c>
      <c r="G23" s="126">
        <f t="shared" ca="1" si="3"/>
        <v>-30.244092261904768</v>
      </c>
      <c r="H23" s="127">
        <f t="shared" ca="1" si="3"/>
        <v>-11.830710756550928</v>
      </c>
      <c r="I23" s="126">
        <f t="shared" ca="1" si="3"/>
        <v>-30.028804223744288</v>
      </c>
      <c r="J23" s="127">
        <f t="shared" ca="1" si="3"/>
        <v>-10.536650825044077</v>
      </c>
      <c r="L23" s="8" t="s">
        <v>115</v>
      </c>
      <c r="M23" s="110"/>
      <c r="N23" s="9"/>
      <c r="O23" s="9"/>
      <c r="P23" s="126">
        <f t="shared" ref="P23:U23" ca="1" si="4">P22-P21</f>
        <v>-41.043687500000011</v>
      </c>
      <c r="Q23" s="127">
        <f t="shared" ca="1" si="4"/>
        <v>-23.058877423217602</v>
      </c>
      <c r="R23" s="126">
        <f t="shared" ca="1" si="4"/>
        <v>-40.970758928571442</v>
      </c>
      <c r="S23" s="127">
        <f t="shared" ca="1" si="4"/>
        <v>-22.557377423217602</v>
      </c>
      <c r="T23" s="126">
        <f t="shared" ca="1" si="4"/>
        <v>-40.755470890410962</v>
      </c>
      <c r="U23" s="127">
        <f t="shared" ca="1" si="4"/>
        <v>-21.263317491710751</v>
      </c>
    </row>
    <row r="24" spans="1:21" x14ac:dyDescent="0.25">
      <c r="A24" s="5" t="s">
        <v>86</v>
      </c>
      <c r="B24" s="107"/>
      <c r="C24" s="6"/>
      <c r="D24" s="6"/>
      <c r="E24" s="128">
        <f ca="1">'Loading Arrival'!B17</f>
        <v>45930</v>
      </c>
      <c r="F24" s="129">
        <f ca="1">'Loading Arrival'!B17</f>
        <v>45930</v>
      </c>
      <c r="G24" s="128">
        <f ca="1">'Loading Arrival'!C17</f>
        <v>45944</v>
      </c>
      <c r="H24" s="129">
        <f ca="1">'Loading Arrival'!C17</f>
        <v>45944</v>
      </c>
      <c r="I24" s="128">
        <f ca="1">'Loading Arrival'!D17</f>
        <v>45958</v>
      </c>
      <c r="J24" s="129">
        <f ca="1">'Loading Arrival'!D17</f>
        <v>45958</v>
      </c>
      <c r="L24" s="5" t="s">
        <v>86</v>
      </c>
      <c r="M24" s="107"/>
      <c r="N24" s="6"/>
      <c r="O24" s="6"/>
      <c r="P24" s="128">
        <f t="shared" ref="P24:U24" ca="1" si="5">E24</f>
        <v>45930</v>
      </c>
      <c r="Q24" s="129">
        <f t="shared" ca="1" si="5"/>
        <v>45930</v>
      </c>
      <c r="R24" s="128">
        <f t="shared" ca="1" si="5"/>
        <v>45944</v>
      </c>
      <c r="S24" s="129">
        <f t="shared" ca="1" si="5"/>
        <v>45944</v>
      </c>
      <c r="T24" s="128">
        <f t="shared" ca="1" si="5"/>
        <v>45958</v>
      </c>
      <c r="U24" s="129">
        <f t="shared" ca="1" si="5"/>
        <v>45958</v>
      </c>
    </row>
    <row r="25" spans="1:21" ht="15.75" thickBot="1" x14ac:dyDescent="0.3">
      <c r="A25" s="7" t="s">
        <v>101</v>
      </c>
      <c r="B25" s="108"/>
      <c r="C25" s="105"/>
      <c r="D25" s="105"/>
      <c r="E25" s="503">
        <f>'Loading Arrival'!K9</f>
        <v>0</v>
      </c>
      <c r="F25" s="504"/>
      <c r="G25" s="505">
        <f>'Loading Arrival'!L9</f>
        <v>0</v>
      </c>
      <c r="H25" s="506"/>
      <c r="I25" s="507">
        <f>'Loading Arrival'!N9</f>
        <v>0</v>
      </c>
      <c r="J25" s="504"/>
      <c r="L25" s="7" t="s">
        <v>101</v>
      </c>
      <c r="M25" s="108"/>
      <c r="N25" s="105"/>
      <c r="O25" s="105"/>
      <c r="P25" s="503">
        <f>'Loading Arrival'!V9</f>
        <v>0</v>
      </c>
      <c r="Q25" s="504"/>
      <c r="R25" s="505">
        <f>'Loading Arrival'!W9</f>
        <v>0</v>
      </c>
      <c r="S25" s="506"/>
      <c r="T25" s="507">
        <f>'Loading Arrival'!Y9</f>
        <v>0</v>
      </c>
      <c r="U25" s="504"/>
    </row>
  </sheetData>
  <mergeCells count="20">
    <mergeCell ref="E25:F25"/>
    <mergeCell ref="G25:H25"/>
    <mergeCell ref="I25:J25"/>
    <mergeCell ref="A4:D4"/>
    <mergeCell ref="E4:F4"/>
    <mergeCell ref="G4:H4"/>
    <mergeCell ref="P25:Q25"/>
    <mergeCell ref="R25:S25"/>
    <mergeCell ref="T25:U25"/>
    <mergeCell ref="I4:J4"/>
    <mergeCell ref="L4:O4"/>
    <mergeCell ref="P4:Q4"/>
    <mergeCell ref="R4:S4"/>
    <mergeCell ref="T4:U4"/>
    <mergeCell ref="T3:U3"/>
    <mergeCell ref="E3:F3"/>
    <mergeCell ref="G3:H3"/>
    <mergeCell ref="I3:J3"/>
    <mergeCell ref="P3:Q3"/>
    <mergeCell ref="R3:S3"/>
  </mergeCells>
  <pageMargins left="0.7" right="0.7" top="0.75" bottom="0.75" header="0.3" footer="0.3"/>
  <pageSetup paperSize="9" orientation="portrait" verticalDpi="0" r:id="rId1"/>
  <customProperties>
    <customPr name="_pios_id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3:U25"/>
  <sheetViews>
    <sheetView workbookViewId="0">
      <selection activeCell="U32" sqref="T31:U32"/>
    </sheetView>
  </sheetViews>
  <sheetFormatPr defaultRowHeight="15" x14ac:dyDescent="0.25"/>
  <cols>
    <col min="1" max="1" width="17.7109375" bestFit="1" customWidth="1"/>
    <col min="2" max="2" width="11.5703125" bestFit="1" customWidth="1"/>
    <col min="3" max="3" width="6.140625" bestFit="1" customWidth="1"/>
    <col min="4" max="4" width="8.140625" bestFit="1" customWidth="1"/>
    <col min="5" max="5" width="8" bestFit="1" customWidth="1"/>
    <col min="6" max="6" width="7" bestFit="1" customWidth="1"/>
    <col min="7" max="7" width="8" bestFit="1" customWidth="1"/>
    <col min="8" max="8" width="7" bestFit="1" customWidth="1"/>
    <col min="9" max="9" width="8" bestFit="1" customWidth="1"/>
    <col min="10" max="10" width="7" bestFit="1" customWidth="1"/>
    <col min="12" max="12" width="17.7109375" bestFit="1" customWidth="1"/>
    <col min="13" max="13" width="11.5703125" bestFit="1" customWidth="1"/>
    <col min="14" max="14" width="6.140625" bestFit="1" customWidth="1"/>
    <col min="15" max="15" width="8.140625" bestFit="1" customWidth="1"/>
    <col min="16" max="16" width="8" bestFit="1" customWidth="1"/>
    <col min="17" max="17" width="7" bestFit="1" customWidth="1"/>
    <col min="18" max="18" width="8" bestFit="1" customWidth="1"/>
    <col min="19" max="19" width="7" bestFit="1" customWidth="1"/>
    <col min="20" max="20" width="8" bestFit="1" customWidth="1"/>
    <col min="21" max="21" width="7" bestFit="1" customWidth="1"/>
  </cols>
  <sheetData>
    <row r="3" spans="1:21" ht="15.75" thickBot="1" x14ac:dyDescent="0.3">
      <c r="E3" s="511" t="s">
        <v>47</v>
      </c>
      <c r="F3" s="512"/>
      <c r="G3" s="511" t="s">
        <v>48</v>
      </c>
      <c r="H3" s="512"/>
      <c r="I3" s="511" t="s">
        <v>49</v>
      </c>
      <c r="J3" s="512"/>
      <c r="P3" s="511" t="s">
        <v>47</v>
      </c>
      <c r="Q3" s="512"/>
      <c r="R3" s="511" t="s">
        <v>48</v>
      </c>
      <c r="S3" s="512"/>
      <c r="T3" s="511" t="s">
        <v>49</v>
      </c>
      <c r="U3" s="512"/>
    </row>
    <row r="4" spans="1:21" x14ac:dyDescent="0.25">
      <c r="A4" s="509" t="s">
        <v>73</v>
      </c>
      <c r="B4" s="510"/>
      <c r="C4" s="510"/>
      <c r="D4" s="510"/>
      <c r="E4" s="508">
        <f ca="1">'Loading Arrival'!B11</f>
        <v>45903</v>
      </c>
      <c r="F4" s="502"/>
      <c r="G4" s="501">
        <f ca="1">'Loading Arrival'!C11</f>
        <v>45917</v>
      </c>
      <c r="H4" s="502"/>
      <c r="I4" s="501">
        <f ca="1">'Loading Arrival'!D11</f>
        <v>45931</v>
      </c>
      <c r="J4" s="502"/>
      <c r="L4" s="509" t="s">
        <v>76</v>
      </c>
      <c r="M4" s="510"/>
      <c r="N4" s="510"/>
      <c r="O4" s="510"/>
      <c r="P4" s="508">
        <f ca="1">E4</f>
        <v>45903</v>
      </c>
      <c r="Q4" s="502"/>
      <c r="R4" s="501">
        <f ca="1">G4</f>
        <v>45917</v>
      </c>
      <c r="S4" s="502"/>
      <c r="T4" s="501">
        <f ca="1">I4</f>
        <v>45931</v>
      </c>
      <c r="U4" s="502"/>
    </row>
    <row r="5" spans="1:21" x14ac:dyDescent="0.25">
      <c r="A5" s="131"/>
      <c r="B5" s="130"/>
      <c r="C5" s="10"/>
      <c r="D5" s="10"/>
      <c r="E5" s="132" t="s">
        <v>87</v>
      </c>
      <c r="F5" s="133" t="s">
        <v>88</v>
      </c>
      <c r="G5" s="132" t="s">
        <v>87</v>
      </c>
      <c r="H5" s="133" t="s">
        <v>88</v>
      </c>
      <c r="I5" s="132" t="s">
        <v>87</v>
      </c>
      <c r="J5" s="133" t="s">
        <v>88</v>
      </c>
      <c r="L5" s="131"/>
      <c r="M5" s="130"/>
      <c r="N5" s="10"/>
      <c r="O5" s="10"/>
      <c r="P5" s="132" t="s">
        <v>87</v>
      </c>
      <c r="Q5" s="133" t="s">
        <v>88</v>
      </c>
      <c r="R5" s="132" t="s">
        <v>87</v>
      </c>
      <c r="S5" s="133" t="s">
        <v>88</v>
      </c>
      <c r="T5" s="132" t="s">
        <v>87</v>
      </c>
      <c r="U5" s="133" t="s">
        <v>88</v>
      </c>
    </row>
    <row r="6" spans="1:21" ht="15.75" thickBot="1" x14ac:dyDescent="0.3">
      <c r="A6" s="5" t="s">
        <v>55</v>
      </c>
      <c r="B6" s="106">
        <f>VLOOKUP(A4,Freight!$A$2:$F$11,2,0)</f>
        <v>4600000</v>
      </c>
      <c r="C6" s="6"/>
      <c r="D6" s="6"/>
      <c r="E6" s="120">
        <f>B6/B$7</f>
        <v>31.724137931034484</v>
      </c>
      <c r="F6" s="121">
        <f>B6/B$7</f>
        <v>31.724137931034484</v>
      </c>
      <c r="G6" s="120">
        <f>B6/B$7</f>
        <v>31.724137931034484</v>
      </c>
      <c r="H6" s="121">
        <f>B6/B$7</f>
        <v>31.724137931034484</v>
      </c>
      <c r="I6" s="120">
        <f>B6/B$7</f>
        <v>31.724137931034484</v>
      </c>
      <c r="J6" s="121">
        <f>B6/B$7</f>
        <v>31.724137931034484</v>
      </c>
      <c r="L6" s="5" t="s">
        <v>55</v>
      </c>
      <c r="M6" s="106">
        <f>VLOOKUP(L4,Freight!$A$2:$F$11,2,0)</f>
        <v>4200000</v>
      </c>
      <c r="N6" s="6"/>
      <c r="O6" s="6"/>
      <c r="P6" s="120">
        <f>M6/M$7</f>
        <v>42</v>
      </c>
      <c r="Q6" s="121">
        <f>M6/M$7</f>
        <v>42</v>
      </c>
      <c r="R6" s="120">
        <f>M6/M$7</f>
        <v>42</v>
      </c>
      <c r="S6" s="121">
        <f>M6/M$7</f>
        <v>42</v>
      </c>
      <c r="T6" s="120">
        <f>M6/M$7</f>
        <v>42</v>
      </c>
      <c r="U6" s="121">
        <f>M6/M$7</f>
        <v>42</v>
      </c>
    </row>
    <row r="7" spans="1:21" x14ac:dyDescent="0.25">
      <c r="A7" s="5" t="s">
        <v>56</v>
      </c>
      <c r="B7" s="106">
        <v>145000</v>
      </c>
      <c r="C7" s="3" t="s">
        <v>81</v>
      </c>
      <c r="D7" s="4" t="s">
        <v>82</v>
      </c>
      <c r="E7" s="122"/>
      <c r="F7" s="123"/>
      <c r="G7" s="122"/>
      <c r="H7" s="123"/>
      <c r="I7" s="122"/>
      <c r="J7" s="123"/>
      <c r="L7" s="5" t="s">
        <v>56</v>
      </c>
      <c r="M7" s="106">
        <v>100000</v>
      </c>
      <c r="N7" s="3" t="s">
        <v>81</v>
      </c>
      <c r="O7" s="4" t="s">
        <v>82</v>
      </c>
      <c r="P7" s="122"/>
      <c r="Q7" s="123"/>
      <c r="R7" s="122"/>
      <c r="S7" s="123"/>
      <c r="T7" s="122"/>
      <c r="U7" s="123"/>
    </row>
    <row r="8" spans="1:21" ht="15.75" thickBot="1" x14ac:dyDescent="0.3">
      <c r="A8" s="5" t="s">
        <v>57</v>
      </c>
      <c r="B8" s="106">
        <f>C8*D8</f>
        <v>399000</v>
      </c>
      <c r="C8" s="7">
        <f>VLOOKUP(A$4,Freight!$A$2:$F$11,5,0)</f>
        <v>57000</v>
      </c>
      <c r="D8" s="105">
        <v>7</v>
      </c>
      <c r="E8" s="120">
        <f>B$8/B$7</f>
        <v>2.7517241379310344</v>
      </c>
      <c r="F8" s="121">
        <f>B$8/B$7</f>
        <v>2.7517241379310344</v>
      </c>
      <c r="G8" s="120">
        <f>B8/B$7</f>
        <v>2.7517241379310344</v>
      </c>
      <c r="H8" s="121">
        <f>B8/B$7</f>
        <v>2.7517241379310344</v>
      </c>
      <c r="I8" s="120">
        <f>B8/B$7</f>
        <v>2.7517241379310344</v>
      </c>
      <c r="J8" s="121">
        <f>B8/B$7</f>
        <v>2.7517241379310344</v>
      </c>
      <c r="L8" s="5" t="s">
        <v>57</v>
      </c>
      <c r="M8" s="106">
        <f>N8*O8</f>
        <v>425000</v>
      </c>
      <c r="N8" s="7">
        <f>VLOOKUP(L$4,Freight!$A$2:$F$11,5,0)</f>
        <v>42500</v>
      </c>
      <c r="O8" s="105">
        <v>10</v>
      </c>
      <c r="P8" s="120">
        <f>M$8/M$7</f>
        <v>4.25</v>
      </c>
      <c r="Q8" s="121">
        <f>M$8/M$7</f>
        <v>4.25</v>
      </c>
      <c r="R8" s="120">
        <f>M8/M$7</f>
        <v>4.25</v>
      </c>
      <c r="S8" s="121">
        <f>M8/M$7</f>
        <v>4.25</v>
      </c>
      <c r="T8" s="120">
        <f>M8/M$7</f>
        <v>4.25</v>
      </c>
      <c r="U8" s="121">
        <f>M8/M$7</f>
        <v>4.25</v>
      </c>
    </row>
    <row r="9" spans="1:21" x14ac:dyDescent="0.25">
      <c r="A9" s="5" t="s">
        <v>58</v>
      </c>
      <c r="B9" s="106">
        <v>15000</v>
      </c>
      <c r="C9" s="6"/>
      <c r="D9" s="6"/>
      <c r="E9" s="120">
        <f>B9/B$7</f>
        <v>0.10344827586206896</v>
      </c>
      <c r="F9" s="121">
        <f>B9/B$7</f>
        <v>0.10344827586206896</v>
      </c>
      <c r="G9" s="120">
        <f>B9/B$7</f>
        <v>0.10344827586206896</v>
      </c>
      <c r="H9" s="121">
        <f>B9/B$7</f>
        <v>0.10344827586206896</v>
      </c>
      <c r="I9" s="120">
        <f>B9/B$7</f>
        <v>0.10344827586206896</v>
      </c>
      <c r="J9" s="121">
        <f>B9/B$7</f>
        <v>0.10344827586206896</v>
      </c>
      <c r="L9" s="5" t="s">
        <v>58</v>
      </c>
      <c r="M9" s="106">
        <v>8500</v>
      </c>
      <c r="N9" s="6"/>
      <c r="O9" s="6"/>
      <c r="P9" s="120">
        <f>M9/M$7</f>
        <v>8.5000000000000006E-2</v>
      </c>
      <c r="Q9" s="121">
        <f>M9/M$7</f>
        <v>8.5000000000000006E-2</v>
      </c>
      <c r="R9" s="120">
        <f>M9/M$7</f>
        <v>8.5000000000000006E-2</v>
      </c>
      <c r="S9" s="121">
        <f>M9/M$7</f>
        <v>8.5000000000000006E-2</v>
      </c>
      <c r="T9" s="120">
        <f>M9/M$7</f>
        <v>8.5000000000000006E-2</v>
      </c>
      <c r="U9" s="121">
        <f>M9/M$7</f>
        <v>8.5000000000000006E-2</v>
      </c>
    </row>
    <row r="10" spans="1:21" ht="15.75" thickBot="1" x14ac:dyDescent="0.3">
      <c r="A10" s="5" t="s">
        <v>127</v>
      </c>
      <c r="B10" s="106">
        <v>25000</v>
      </c>
      <c r="C10" s="6"/>
      <c r="D10" s="6"/>
      <c r="E10" s="120">
        <f>B10/B$7</f>
        <v>0.17241379310344829</v>
      </c>
      <c r="F10" s="121">
        <f>B10/B$7</f>
        <v>0.17241379310344829</v>
      </c>
      <c r="G10" s="120">
        <f>B10/B$7</f>
        <v>0.17241379310344829</v>
      </c>
      <c r="H10" s="121">
        <f>B10/B$7</f>
        <v>0.17241379310344829</v>
      </c>
      <c r="I10" s="120">
        <f>B10/B$7</f>
        <v>0.17241379310344829</v>
      </c>
      <c r="J10" s="121">
        <f>B10/B$7</f>
        <v>0.17241379310344829</v>
      </c>
      <c r="L10" s="5" t="s">
        <v>127</v>
      </c>
      <c r="M10" s="106">
        <v>25000</v>
      </c>
      <c r="N10" s="6"/>
      <c r="O10" s="6"/>
      <c r="P10" s="120">
        <f>M10/M$7</f>
        <v>0.25</v>
      </c>
      <c r="Q10" s="121">
        <f>M10/M$7</f>
        <v>0.25</v>
      </c>
      <c r="R10" s="120">
        <f>M10/M$7</f>
        <v>0.25</v>
      </c>
      <c r="S10" s="121">
        <f>M10/M$7</f>
        <v>0.25</v>
      </c>
      <c r="T10" s="120">
        <f>M10/M$7</f>
        <v>0.25</v>
      </c>
      <c r="U10" s="121">
        <f>M10/M$7</f>
        <v>0.25</v>
      </c>
    </row>
    <row r="11" spans="1:21" x14ac:dyDescent="0.25">
      <c r="A11" s="5" t="s">
        <v>128</v>
      </c>
      <c r="B11" s="106">
        <v>25000</v>
      </c>
      <c r="C11" s="3" t="s">
        <v>81</v>
      </c>
      <c r="D11" s="4" t="s">
        <v>82</v>
      </c>
      <c r="E11" s="120">
        <f>B11/B$7</f>
        <v>0.17241379310344829</v>
      </c>
      <c r="F11" s="121">
        <f>B11/B$7</f>
        <v>0.17241379310344829</v>
      </c>
      <c r="G11" s="120">
        <f>B11/B$7</f>
        <v>0.17241379310344829</v>
      </c>
      <c r="H11" s="121">
        <f>B11/B$7</f>
        <v>0.17241379310344829</v>
      </c>
      <c r="I11" s="120">
        <f>B11/B$7</f>
        <v>0.17241379310344829</v>
      </c>
      <c r="J11" s="121">
        <f>B11/B$7</f>
        <v>0.17241379310344829</v>
      </c>
      <c r="L11" s="5" t="s">
        <v>128</v>
      </c>
      <c r="M11" s="106">
        <v>25000</v>
      </c>
      <c r="N11" s="3" t="s">
        <v>81</v>
      </c>
      <c r="O11" s="4" t="s">
        <v>82</v>
      </c>
      <c r="P11" s="120">
        <f>M11/M$7</f>
        <v>0.25</v>
      </c>
      <c r="Q11" s="121">
        <f>M11/M$7</f>
        <v>0.25</v>
      </c>
      <c r="R11" s="120">
        <f>M11/M$7</f>
        <v>0.25</v>
      </c>
      <c r="S11" s="121">
        <f>M11/M$7</f>
        <v>0.25</v>
      </c>
      <c r="T11" s="120">
        <f>M11/M$7</f>
        <v>0.25</v>
      </c>
      <c r="U11" s="121">
        <f>M11/M$7</f>
        <v>0.25</v>
      </c>
    </row>
    <row r="12" spans="1:21" ht="15.75" thickBot="1" x14ac:dyDescent="0.3">
      <c r="A12" s="5" t="s">
        <v>83</v>
      </c>
      <c r="B12" s="106">
        <f ca="1">(D12*((C12)/365)*VLOOKUP(EOMONTH(E4,-1)+1,Tullet!$A$4:$S$27,2,0))*B7</f>
        <v>502425.00000000006</v>
      </c>
      <c r="C12" s="103">
        <v>5.5E-2</v>
      </c>
      <c r="D12" s="105">
        <v>60</v>
      </c>
      <c r="E12" s="120">
        <f ca="1">(D12*((C12)/365)*VLOOKUP(EOMONTH(E4,-1)+1,Tullet!$A$4:$S$27,2,0))</f>
        <v>3.4650000000000003</v>
      </c>
      <c r="F12" s="124">
        <f ca="1">(D12*((C12)/365)*VLOOKUP(EOMONTH(E4,-1)+1,Tullet!$N$4:$S$27,3,0))</f>
        <v>4.0907787328767116</v>
      </c>
      <c r="G12" s="120">
        <f ca="1">(D$12*((C$12)/365)*VLOOKUP(EOMONTH(G4,-1)+1,Tullet!$A$4:$S$27,2,0))</f>
        <v>3.4650000000000003</v>
      </c>
      <c r="H12" s="124">
        <f ca="1">(D$12*((C$12)/365)*VLOOKUP(EOMONTH(G4,-1)+1,Tullet!$N$4:$S$27,3,0))</f>
        <v>4.0907787328767116</v>
      </c>
      <c r="I12" s="120">
        <f ca="1">(D$12*((C$12)/365)*VLOOKUP(EOMONTH(I4,-1)+1,Tullet!$A$4:$S$27,2,0))</f>
        <v>3.4310958904109592</v>
      </c>
      <c r="J12" s="124">
        <f ca="1">(D$12*((C$12)/365)*VLOOKUP(EOMONTH(I4,-1)+1,Tullet!$N$4:$S$27,3,0))</f>
        <v>4.0500938013698624</v>
      </c>
      <c r="L12" s="5" t="s">
        <v>83</v>
      </c>
      <c r="M12" s="109">
        <f ca="1">(O12*((N12)/365)*VLOOKUP(EOMONTH(P4,-1)+1,Tullet!$A$4:$S$27,2,0))*M7</f>
        <v>346500.00000000006</v>
      </c>
      <c r="N12" s="103">
        <v>5.5E-2</v>
      </c>
      <c r="O12" s="105">
        <v>60</v>
      </c>
      <c r="P12" s="120">
        <f ca="1">(O12*((N12)/365)*VLOOKUP(EOMONTH(P4,-1)+1,Tullet!$A$4:$S$27,2,0))</f>
        <v>3.4650000000000003</v>
      </c>
      <c r="Q12" s="124">
        <f ca="1">(O12*((N12)/365)*VLOOKUP(EOMONTH(P4,-1)+1,Tullet!$N$4:$S$27,3,0))</f>
        <v>4.0907787328767116</v>
      </c>
      <c r="R12" s="120">
        <f ca="1">(O$12*((N$12)/365)*VLOOKUP(EOMONTH(R4,-1)+1,Tullet!$A$4:$S$27,2,0))</f>
        <v>3.4650000000000003</v>
      </c>
      <c r="S12" s="124">
        <f ca="1">(O$12*((N$12)/365)*VLOOKUP(EOMONTH(R4,-1)+1,Tullet!$N$4:$S$27,3,0))</f>
        <v>4.0907787328767116</v>
      </c>
      <c r="T12" s="120">
        <f ca="1">(O$12*((N$12)/365)*VLOOKUP(EOMONTH(T4,-1)+1,Tullet!$A$4:$S$27,2,0))</f>
        <v>3.4310958904109592</v>
      </c>
      <c r="U12" s="124">
        <f ca="1">(O$12*((N$12)/365)*VLOOKUP(EOMONTH(T4,-1)+1,Tullet!$N$4:$S$27,3,0))</f>
        <v>4.0500938013698624</v>
      </c>
    </row>
    <row r="13" spans="1:21" ht="15.75" thickBot="1" x14ac:dyDescent="0.3">
      <c r="A13" s="5" t="s">
        <v>59</v>
      </c>
      <c r="B13" s="106"/>
      <c r="C13" s="6"/>
      <c r="D13" s="6"/>
      <c r="E13" s="122"/>
      <c r="F13" s="123"/>
      <c r="G13" s="122"/>
      <c r="H13" s="123"/>
      <c r="I13" s="122"/>
      <c r="J13" s="123"/>
      <c r="L13" s="5" t="s">
        <v>59</v>
      </c>
      <c r="M13" s="106"/>
      <c r="N13" s="6"/>
      <c r="O13" s="6"/>
      <c r="P13" s="122"/>
      <c r="Q13" s="123"/>
      <c r="R13" s="122"/>
      <c r="S13" s="123"/>
      <c r="T13" s="122"/>
      <c r="U13" s="123"/>
    </row>
    <row r="14" spans="1:21" x14ac:dyDescent="0.25">
      <c r="A14" s="5" t="s">
        <v>60</v>
      </c>
      <c r="B14" s="106">
        <f ca="1">B7*VLOOKUP(EOMONTH(E4,-1)+1,Tullet!$A$4:$S$27,2,0)*0.1%</f>
        <v>55571.25</v>
      </c>
      <c r="C14" s="3" t="s">
        <v>81</v>
      </c>
      <c r="D14" s="4" t="s">
        <v>84</v>
      </c>
      <c r="E14" s="120">
        <f ca="1">VLOOKUP(EOMONTH(E4,-1)+1,Tullet!$A$4:$S$27,2,0)*0.00075</f>
        <v>0.28743750000000001</v>
      </c>
      <c r="F14" s="121">
        <f ca="1">VLOOKUP(EOMONTH(E4,-1)+1,Tullet!$N$3:$S$27,3,0)*0.00075</f>
        <v>0.33934869034090903</v>
      </c>
      <c r="G14" s="120">
        <f ca="1">VLOOKUP(EOMONTH(G4,-1)+1,Tullet!$A$4:$S$27,2,0)*0.00075</f>
        <v>0.28743750000000001</v>
      </c>
      <c r="H14" s="121">
        <f ca="1">VLOOKUP(EOMONTH(G4,-1)+1,Tullet!$N$3:$S$27,3,0)*0.00075</f>
        <v>0.33934869034090903</v>
      </c>
      <c r="I14" s="120">
        <f ca="1">VLOOKUP(EOMONTH(I4,-1)+1,Tullet!$A$4:$S$27,2,0)*0.00075</f>
        <v>0.28462500000000002</v>
      </c>
      <c r="J14" s="121">
        <f ca="1">VLOOKUP(EOMONTH(I4,-1)+1,Tullet!$N$3:$S$27,3,0)*0.00075</f>
        <v>0.33597369034090907</v>
      </c>
      <c r="L14" s="5" t="s">
        <v>60</v>
      </c>
      <c r="M14" s="106">
        <f ca="1">M7*VLOOKUP(EOMONTH(P4,-1)+1,Tullet!$A$4:$S$27,2,0)*0.1%</f>
        <v>38325</v>
      </c>
      <c r="N14" s="3" t="s">
        <v>81</v>
      </c>
      <c r="O14" s="4" t="s">
        <v>84</v>
      </c>
      <c r="P14" s="120">
        <f ca="1">VLOOKUP(EOMONTH(P4,-1)+1,Tullet!$A$4:$S$27,2,0)*0.00075</f>
        <v>0.28743750000000001</v>
      </c>
      <c r="Q14" s="121">
        <f ca="1">VLOOKUP(EOMONTH(P4,-1)+1,Tullet!$N$3:$S$27,3,0)*0.00075</f>
        <v>0.33934869034090903</v>
      </c>
      <c r="R14" s="120">
        <f ca="1">VLOOKUP(EOMONTH(R4,-1)+1,Tullet!$A$4:$S$27,2,0)*0.00075</f>
        <v>0.28743750000000001</v>
      </c>
      <c r="S14" s="121">
        <f ca="1">VLOOKUP(EOMONTH(R4,-1)+1,Tullet!$N$3:$S$27,3,0)*0.00075</f>
        <v>0.33934869034090903</v>
      </c>
      <c r="T14" s="120">
        <f ca="1">VLOOKUP(EOMONTH(T4,-1)+1,Tullet!$A$4:$S$27,2,0)*0.00075</f>
        <v>0.28462500000000002</v>
      </c>
      <c r="U14" s="121">
        <f ca="1">VLOOKUP(EOMONTH(T4,-1)+1,Tullet!$N$3:$S$27,3,0)*0.00075</f>
        <v>0.33597369034090907</v>
      </c>
    </row>
    <row r="15" spans="1:21" ht="15.75" thickBot="1" x14ac:dyDescent="0.3">
      <c r="A15" s="5" t="s">
        <v>61</v>
      </c>
      <c r="B15" s="106">
        <f ca="1">C15*$B$7*VLOOKUP(EOMONTH(E24,-1)+1,Tullet!$E$35:$I$63,4,0)</f>
        <v>19966935</v>
      </c>
      <c r="C15" s="104">
        <v>3.0000000000000001E-3</v>
      </c>
      <c r="D15" s="105" t="s">
        <v>85</v>
      </c>
      <c r="E15" s="147">
        <f ca="1">C$15*VLOOKUP(EOMONTH(E24,-1)+1,Tullet!$E$35:$I$63,4,0)</f>
        <v>137.703</v>
      </c>
      <c r="F15" s="148">
        <f ca="1">C$15*VLOOKUP(EOMONTH(F24,-1)+1,Tullet!$N$35:$S$63,3,0)</f>
        <v>1.2929999999999999</v>
      </c>
      <c r="G15" s="147">
        <f ca="1">C$15*VLOOKUP(EOMONTH(G24,-1)+1,Tullet!$E$35:$I$63,4,0)</f>
        <v>137.79300000000001</v>
      </c>
      <c r="H15" s="148">
        <f ca="1">C$15*VLOOKUP(EOMONTH(H24,-1)+1,Tullet!$N$35:$S$63,3,0)</f>
        <v>1.2757499999999999</v>
      </c>
      <c r="I15" s="147">
        <f ca="1">C$15*VLOOKUP(EOMONTH(I24,-1)+1,Tullet!$E$35:$I$63,4,0)</f>
        <v>137.79300000000001</v>
      </c>
      <c r="J15" s="148">
        <f ca="1">C$15*VLOOKUP(EOMONTH(J24,-1)+1,Tullet!$N$35:$S$63,3,0)</f>
        <v>1.2757499999999999</v>
      </c>
      <c r="L15" s="5" t="s">
        <v>61</v>
      </c>
      <c r="M15" s="106">
        <f ca="1">N15*$B$7*VLOOKUP(EOMONTH(P24,-1)+1,Tullet!$E$35:$I$63,4,0)</f>
        <v>19966935</v>
      </c>
      <c r="N15" s="104">
        <v>3.0000000000000001E-3</v>
      </c>
      <c r="O15" s="105" t="s">
        <v>85</v>
      </c>
      <c r="P15" s="147">
        <f ca="1">N$15*VLOOKUP(EOMONTH(P24,-1)+1,Tullet!$E$35:$I$63,4,0)</f>
        <v>137.703</v>
      </c>
      <c r="Q15" s="148">
        <f ca="1">N$15*VLOOKUP(EOMONTH(Q24,-1)+1,Tullet!$N$35:$S$63,3,0)</f>
        <v>1.2929999999999999</v>
      </c>
      <c r="R15" s="147">
        <f ca="1">N$15*VLOOKUP(EOMONTH(R24,-1)+1,Tullet!$E$35:$I$63,4,0)</f>
        <v>137.79300000000001</v>
      </c>
      <c r="S15" s="148">
        <f ca="1">N$15*VLOOKUP(EOMONTH(S24,-1)+1,Tullet!$N$35:$S$63,3,0)</f>
        <v>1.2757499999999999</v>
      </c>
      <c r="T15" s="147">
        <f ca="1">N$15*VLOOKUP(EOMONTH(T24,-1)+1,Tullet!$E$35:$I$63,4,0)</f>
        <v>137.79300000000001</v>
      </c>
      <c r="U15" s="148">
        <f ca="1">N$15*VLOOKUP(EOMONTH(U24,-1)+1,Tullet!$N$35:$S$63,3,0)</f>
        <v>1.2757499999999999</v>
      </c>
    </row>
    <row r="16" spans="1:21" x14ac:dyDescent="0.25">
      <c r="A16" s="5" t="s">
        <v>62</v>
      </c>
      <c r="B16" s="106">
        <v>12500</v>
      </c>
      <c r="C16" s="6"/>
      <c r="D16" s="6"/>
      <c r="E16" s="120">
        <f>B16/B$7</f>
        <v>8.6206896551724144E-2</v>
      </c>
      <c r="F16" s="121">
        <f>B16/B$7</f>
        <v>8.6206896551724144E-2</v>
      </c>
      <c r="G16" s="120">
        <f>B16/B$7</f>
        <v>8.6206896551724144E-2</v>
      </c>
      <c r="H16" s="121">
        <f>B16/B$7</f>
        <v>8.6206896551724144E-2</v>
      </c>
      <c r="I16" s="120">
        <f>B16/B$7</f>
        <v>8.6206896551724144E-2</v>
      </c>
      <c r="J16" s="121">
        <f>B16/B$7</f>
        <v>8.6206896551724144E-2</v>
      </c>
      <c r="L16" s="5" t="s">
        <v>62</v>
      </c>
      <c r="M16" s="106">
        <v>12500</v>
      </c>
      <c r="N16" s="6"/>
      <c r="O16" s="6"/>
      <c r="P16" s="120">
        <f>M16/M$7</f>
        <v>0.125</v>
      </c>
      <c r="Q16" s="121">
        <f>M16/M$7</f>
        <v>0.125</v>
      </c>
      <c r="R16" s="120">
        <f>M16/M$7</f>
        <v>0.125</v>
      </c>
      <c r="S16" s="121">
        <f>M16/M$7</f>
        <v>0.125</v>
      </c>
      <c r="T16" s="120">
        <f>M16/M$7</f>
        <v>0.125</v>
      </c>
      <c r="U16" s="121">
        <f>M16/M$7</f>
        <v>0.125</v>
      </c>
    </row>
    <row r="17" spans="1:21" x14ac:dyDescent="0.25">
      <c r="A17" s="5" t="s">
        <v>63</v>
      </c>
      <c r="B17" s="106">
        <v>1250</v>
      </c>
      <c r="C17" s="6"/>
      <c r="D17" s="6"/>
      <c r="E17" s="120">
        <f>B17/B$7</f>
        <v>8.6206896551724137E-3</v>
      </c>
      <c r="F17" s="121">
        <f>B17/B$7</f>
        <v>8.6206896551724137E-3</v>
      </c>
      <c r="G17" s="120">
        <f>B17/B$7</f>
        <v>8.6206896551724137E-3</v>
      </c>
      <c r="H17" s="121">
        <f>B17/B$7</f>
        <v>8.6206896551724137E-3</v>
      </c>
      <c r="I17" s="120">
        <f>B17/B$7</f>
        <v>8.6206896551724137E-3</v>
      </c>
      <c r="J17" s="121">
        <f>B17/B$7</f>
        <v>8.6206896551724137E-3</v>
      </c>
      <c r="L17" s="5" t="s">
        <v>63</v>
      </c>
      <c r="M17" s="106">
        <v>1250</v>
      </c>
      <c r="N17" s="6"/>
      <c r="O17" s="6"/>
      <c r="P17" s="120">
        <f>M17/M$7</f>
        <v>1.2500000000000001E-2</v>
      </c>
      <c r="Q17" s="121">
        <f>M17/M$7</f>
        <v>1.2500000000000001E-2</v>
      </c>
      <c r="R17" s="120">
        <f>M17/M$7</f>
        <v>1.2500000000000001E-2</v>
      </c>
      <c r="S17" s="121">
        <f>M17/M$7</f>
        <v>1.2500000000000001E-2</v>
      </c>
      <c r="T17" s="120">
        <f>M17/M$7</f>
        <v>1.2500000000000001E-2</v>
      </c>
      <c r="U17" s="121">
        <f>M17/M$7</f>
        <v>1.2500000000000001E-2</v>
      </c>
    </row>
    <row r="18" spans="1:21" x14ac:dyDescent="0.25">
      <c r="A18" s="5" t="s">
        <v>64</v>
      </c>
      <c r="B18" s="106">
        <v>1250</v>
      </c>
      <c r="C18" s="6"/>
      <c r="D18" s="6"/>
      <c r="E18" s="120">
        <f>B18/B$7</f>
        <v>8.6206896551724137E-3</v>
      </c>
      <c r="F18" s="121">
        <f>B18/B$7</f>
        <v>8.6206896551724137E-3</v>
      </c>
      <c r="G18" s="120">
        <f>B18/B$7</f>
        <v>8.6206896551724137E-3</v>
      </c>
      <c r="H18" s="121">
        <f>B18/B$7</f>
        <v>8.6206896551724137E-3</v>
      </c>
      <c r="I18" s="120">
        <f>B18/B$7</f>
        <v>8.6206896551724137E-3</v>
      </c>
      <c r="J18" s="121">
        <f>B18/B$7</f>
        <v>8.6206896551724137E-3</v>
      </c>
      <c r="L18" s="5" t="s">
        <v>64</v>
      </c>
      <c r="M18" s="106">
        <v>1250</v>
      </c>
      <c r="N18" s="6"/>
      <c r="O18" s="6"/>
      <c r="P18" s="120">
        <f>M18/M$7</f>
        <v>1.2500000000000001E-2</v>
      </c>
      <c r="Q18" s="121">
        <f>M18/M$7</f>
        <v>1.2500000000000001E-2</v>
      </c>
      <c r="R18" s="120">
        <f>M18/M$7</f>
        <v>1.2500000000000001E-2</v>
      </c>
      <c r="S18" s="121">
        <f>M18/M$7</f>
        <v>1.2500000000000001E-2</v>
      </c>
      <c r="T18" s="120">
        <f>M18/M$7</f>
        <v>1.2500000000000001E-2</v>
      </c>
      <c r="U18" s="121">
        <f>M18/M$7</f>
        <v>1.2500000000000001E-2</v>
      </c>
    </row>
    <row r="19" spans="1:21" x14ac:dyDescent="0.25">
      <c r="A19" s="5" t="s">
        <v>65</v>
      </c>
      <c r="B19" s="106">
        <v>15000</v>
      </c>
      <c r="C19" s="6"/>
      <c r="D19" s="6"/>
      <c r="E19" s="120">
        <f>B19/B$7</f>
        <v>0.10344827586206896</v>
      </c>
      <c r="F19" s="121">
        <f>B19/B$7</f>
        <v>0.10344827586206896</v>
      </c>
      <c r="G19" s="120">
        <f>B19/B$7</f>
        <v>0.10344827586206896</v>
      </c>
      <c r="H19" s="121">
        <f>B19/B$7</f>
        <v>0.10344827586206896</v>
      </c>
      <c r="I19" s="120">
        <f>B19/B$7</f>
        <v>0.10344827586206896</v>
      </c>
      <c r="J19" s="121">
        <f>B19/B$7</f>
        <v>0.10344827586206896</v>
      </c>
      <c r="L19" s="5" t="s">
        <v>65</v>
      </c>
      <c r="M19" s="106">
        <v>15000</v>
      </c>
      <c r="N19" s="6"/>
      <c r="O19" s="6"/>
      <c r="P19" s="120">
        <f>M19/M$7</f>
        <v>0.15</v>
      </c>
      <c r="Q19" s="121">
        <f>M19/M$7</f>
        <v>0.15</v>
      </c>
      <c r="R19" s="120">
        <f>M19/M$7</f>
        <v>0.15</v>
      </c>
      <c r="S19" s="121">
        <f>M19/M$7</f>
        <v>0.15</v>
      </c>
      <c r="T19" s="120">
        <f>M19/M$7</f>
        <v>0.15</v>
      </c>
      <c r="U19" s="121">
        <f>M19/M$7</f>
        <v>0.15</v>
      </c>
    </row>
    <row r="20" spans="1:21" ht="15.75" thickBot="1" x14ac:dyDescent="0.3">
      <c r="A20" s="5" t="s">
        <v>66</v>
      </c>
      <c r="B20" s="106">
        <v>10000</v>
      </c>
      <c r="C20" s="6"/>
      <c r="D20" s="6"/>
      <c r="E20" s="120">
        <f>B20/B$7</f>
        <v>6.8965517241379309E-2</v>
      </c>
      <c r="F20" s="121">
        <f>B20/B$7</f>
        <v>6.8965517241379309E-2</v>
      </c>
      <c r="G20" s="120">
        <f>B20/B$7</f>
        <v>6.8965517241379309E-2</v>
      </c>
      <c r="H20" s="121">
        <f>B20/B$7</f>
        <v>6.8965517241379309E-2</v>
      </c>
      <c r="I20" s="120">
        <f>B20/B$7</f>
        <v>6.8965517241379309E-2</v>
      </c>
      <c r="J20" s="121">
        <f>B20/B$7</f>
        <v>6.8965517241379309E-2</v>
      </c>
      <c r="L20" s="5" t="s">
        <v>66</v>
      </c>
      <c r="M20" s="106">
        <v>10000</v>
      </c>
      <c r="N20" s="6"/>
      <c r="O20" s="6"/>
      <c r="P20" s="120">
        <f>M20/M$7</f>
        <v>0.1</v>
      </c>
      <c r="Q20" s="121">
        <f>M20/M$7</f>
        <v>0.1</v>
      </c>
      <c r="R20" s="120">
        <f>M20/M$7</f>
        <v>0.1</v>
      </c>
      <c r="S20" s="121">
        <f>M20/M$7</f>
        <v>0.1</v>
      </c>
      <c r="T20" s="120">
        <f>M20/M$7</f>
        <v>0.1</v>
      </c>
      <c r="U20" s="121">
        <f>M20/M$7</f>
        <v>0.1</v>
      </c>
    </row>
    <row r="21" spans="1:21" ht="15.75" thickBot="1" x14ac:dyDescent="0.3">
      <c r="A21" s="8" t="s">
        <v>102</v>
      </c>
      <c r="B21" s="134">
        <f ca="1">SUM(B6:B20)</f>
        <v>25773931.25</v>
      </c>
      <c r="C21" s="9"/>
      <c r="D21" s="9"/>
      <c r="E21" s="126">
        <f t="shared" ref="E21:J21" ca="1" si="0">SUM(E6:E20)</f>
        <v>176.65543749999998</v>
      </c>
      <c r="F21" s="127">
        <f t="shared" ca="1" si="0"/>
        <v>40.923127423217622</v>
      </c>
      <c r="G21" s="126">
        <f t="shared" ca="1" si="0"/>
        <v>176.74543749999998</v>
      </c>
      <c r="H21" s="127">
        <f t="shared" ca="1" si="0"/>
        <v>40.905877423217625</v>
      </c>
      <c r="I21" s="126">
        <f t="shared" ca="1" si="0"/>
        <v>176.70872089041094</v>
      </c>
      <c r="J21" s="127">
        <f t="shared" ca="1" si="0"/>
        <v>40.861817491710774</v>
      </c>
      <c r="L21" s="8" t="s">
        <v>102</v>
      </c>
      <c r="M21" s="134">
        <f ca="1">SUM(M6:M20)</f>
        <v>25175260</v>
      </c>
      <c r="N21" s="9"/>
      <c r="O21" s="9"/>
      <c r="P21" s="126">
        <f t="shared" ref="P21:U21" ca="1" si="1">SUM(P6:P20)</f>
        <v>188.69043749999997</v>
      </c>
      <c r="Q21" s="127">
        <f t="shared" ca="1" si="1"/>
        <v>52.958127423217626</v>
      </c>
      <c r="R21" s="126">
        <f t="shared" ca="1" si="1"/>
        <v>188.78043750000001</v>
      </c>
      <c r="S21" s="127">
        <f t="shared" ca="1" si="1"/>
        <v>52.940877423217628</v>
      </c>
      <c r="T21" s="126">
        <f t="shared" ca="1" si="1"/>
        <v>188.74372089041094</v>
      </c>
      <c r="U21" s="127">
        <f t="shared" ca="1" si="1"/>
        <v>52.896817491710777</v>
      </c>
    </row>
    <row r="22" spans="1:21" ht="16.5" customHeight="1" thickBot="1" x14ac:dyDescent="0.3">
      <c r="A22" s="5" t="s">
        <v>103</v>
      </c>
      <c r="B22" s="106"/>
      <c r="C22" s="6"/>
      <c r="D22" s="6"/>
      <c r="E22" s="125">
        <f ca="1">'ROLLS HS'!L24</f>
        <v>10</v>
      </c>
      <c r="F22" s="124">
        <f ca="1">'ROLLS LS'!K24</f>
        <v>28.662500000000023</v>
      </c>
      <c r="G22" s="125">
        <f ca="1">'ROLLS HS'!L27</f>
        <v>10.071428571428571</v>
      </c>
      <c r="H22" s="124">
        <f ca="1">'ROLLS LS'!K27</f>
        <v>29.162500000000023</v>
      </c>
      <c r="I22" s="125">
        <f ca="1">'ROLLS HS'!L30</f>
        <v>10.25</v>
      </c>
      <c r="J22" s="124">
        <f ca="1">'ROLLS LS'!K30</f>
        <v>30.412500000000023</v>
      </c>
      <c r="L22" s="5" t="s">
        <v>103</v>
      </c>
      <c r="M22" s="106"/>
      <c r="N22" s="6"/>
      <c r="O22" s="6"/>
      <c r="P22" s="125">
        <f t="shared" ref="P22:U22" ca="1" si="2">E22</f>
        <v>10</v>
      </c>
      <c r="Q22" s="124">
        <f t="shared" ca="1" si="2"/>
        <v>28.662500000000023</v>
      </c>
      <c r="R22" s="125">
        <f t="shared" ca="1" si="2"/>
        <v>10.071428571428571</v>
      </c>
      <c r="S22" s="124">
        <f t="shared" ca="1" si="2"/>
        <v>29.162500000000023</v>
      </c>
      <c r="T22" s="125">
        <f t="shared" ca="1" si="2"/>
        <v>10.25</v>
      </c>
      <c r="U22" s="124">
        <f t="shared" ca="1" si="2"/>
        <v>30.412500000000023</v>
      </c>
    </row>
    <row r="23" spans="1:21" ht="16.5" customHeight="1" thickBot="1" x14ac:dyDescent="0.3">
      <c r="A23" s="8" t="s">
        <v>115</v>
      </c>
      <c r="B23" s="110"/>
      <c r="C23" s="9"/>
      <c r="D23" s="9"/>
      <c r="E23" s="126">
        <f t="shared" ref="E23:J23" ca="1" si="3">E22-E21</f>
        <v>-166.65543749999998</v>
      </c>
      <c r="F23" s="127">
        <f t="shared" ca="1" si="3"/>
        <v>-12.260627423217599</v>
      </c>
      <c r="G23" s="126">
        <f t="shared" ca="1" si="3"/>
        <v>-166.6740089285714</v>
      </c>
      <c r="H23" s="127">
        <f t="shared" ca="1" si="3"/>
        <v>-11.743377423217602</v>
      </c>
      <c r="I23" s="126">
        <f t="shared" ca="1" si="3"/>
        <v>-166.45872089041094</v>
      </c>
      <c r="J23" s="127">
        <f t="shared" ca="1" si="3"/>
        <v>-10.449317491710751</v>
      </c>
      <c r="L23" s="8" t="s">
        <v>115</v>
      </c>
      <c r="M23" s="110"/>
      <c r="N23" s="9"/>
      <c r="O23" s="9"/>
      <c r="P23" s="126">
        <f t="shared" ref="P23:U23" ca="1" si="4">P22-P21</f>
        <v>-178.69043749999997</v>
      </c>
      <c r="Q23" s="127">
        <f t="shared" ca="1" si="4"/>
        <v>-24.295627423217603</v>
      </c>
      <c r="R23" s="126">
        <f t="shared" ca="1" si="4"/>
        <v>-178.70900892857142</v>
      </c>
      <c r="S23" s="127">
        <f t="shared" ca="1" si="4"/>
        <v>-23.778377423217606</v>
      </c>
      <c r="T23" s="126">
        <f t="shared" ca="1" si="4"/>
        <v>-178.49372089041094</v>
      </c>
      <c r="U23" s="127">
        <f t="shared" ca="1" si="4"/>
        <v>-22.484317491710755</v>
      </c>
    </row>
    <row r="24" spans="1:21" x14ac:dyDescent="0.25">
      <c r="A24" s="5" t="s">
        <v>86</v>
      </c>
      <c r="B24" s="107"/>
      <c r="C24" s="6"/>
      <c r="D24" s="6"/>
      <c r="E24" s="128">
        <f ca="1">'Loading Arrival'!B17</f>
        <v>45930</v>
      </c>
      <c r="F24" s="129">
        <f ca="1">'Loading Arrival'!B17</f>
        <v>45930</v>
      </c>
      <c r="G24" s="128">
        <f ca="1">'Loading Arrival'!C17</f>
        <v>45944</v>
      </c>
      <c r="H24" s="129">
        <f ca="1">'Loading Arrival'!C17</f>
        <v>45944</v>
      </c>
      <c r="I24" s="128">
        <f ca="1">'Loading Arrival'!D17</f>
        <v>45958</v>
      </c>
      <c r="J24" s="129">
        <f ca="1">'Loading Arrival'!D17</f>
        <v>45958</v>
      </c>
      <c r="L24" s="5" t="s">
        <v>86</v>
      </c>
      <c r="M24" s="107"/>
      <c r="N24" s="6"/>
      <c r="O24" s="6"/>
      <c r="P24" s="128">
        <f t="shared" ref="P24:U24" ca="1" si="5">E24</f>
        <v>45930</v>
      </c>
      <c r="Q24" s="129">
        <f t="shared" ca="1" si="5"/>
        <v>45930</v>
      </c>
      <c r="R24" s="128">
        <f t="shared" ca="1" si="5"/>
        <v>45944</v>
      </c>
      <c r="S24" s="129">
        <f t="shared" ca="1" si="5"/>
        <v>45944</v>
      </c>
      <c r="T24" s="128">
        <f t="shared" ca="1" si="5"/>
        <v>45958</v>
      </c>
      <c r="U24" s="129">
        <f t="shared" ca="1" si="5"/>
        <v>45958</v>
      </c>
    </row>
    <row r="25" spans="1:21" ht="15.75" thickBot="1" x14ac:dyDescent="0.3">
      <c r="A25" s="7" t="s">
        <v>101</v>
      </c>
      <c r="B25" s="108"/>
      <c r="C25" s="105"/>
      <c r="D25" s="105"/>
      <c r="E25" s="503">
        <f>'Loading Arrival'!K9</f>
        <v>0</v>
      </c>
      <c r="F25" s="504"/>
      <c r="G25" s="505">
        <f>'Loading Arrival'!L9</f>
        <v>0</v>
      </c>
      <c r="H25" s="506"/>
      <c r="I25" s="507">
        <f>'Loading Arrival'!N9</f>
        <v>0</v>
      </c>
      <c r="J25" s="504"/>
      <c r="L25" s="7" t="s">
        <v>101</v>
      </c>
      <c r="M25" s="108"/>
      <c r="N25" s="105"/>
      <c r="O25" s="105"/>
      <c r="P25" s="503">
        <f>'Loading Arrival'!V9</f>
        <v>0</v>
      </c>
      <c r="Q25" s="504"/>
      <c r="R25" s="505">
        <f>'Loading Arrival'!W9</f>
        <v>0</v>
      </c>
      <c r="S25" s="506"/>
      <c r="T25" s="507">
        <f>'Loading Arrival'!Y9</f>
        <v>0</v>
      </c>
      <c r="U25" s="504"/>
    </row>
  </sheetData>
  <mergeCells count="20">
    <mergeCell ref="A4:D4"/>
    <mergeCell ref="E4:F4"/>
    <mergeCell ref="G4:H4"/>
    <mergeCell ref="I4:J4"/>
    <mergeCell ref="L4:O4"/>
    <mergeCell ref="R4:S4"/>
    <mergeCell ref="T4:U4"/>
    <mergeCell ref="E25:F25"/>
    <mergeCell ref="G25:H25"/>
    <mergeCell ref="I25:J25"/>
    <mergeCell ref="P25:Q25"/>
    <mergeCell ref="R25:S25"/>
    <mergeCell ref="T25:U25"/>
    <mergeCell ref="P4:Q4"/>
    <mergeCell ref="T3:U3"/>
    <mergeCell ref="E3:F3"/>
    <mergeCell ref="G3:H3"/>
    <mergeCell ref="I3:J3"/>
    <mergeCell ref="P3:Q3"/>
    <mergeCell ref="R3:S3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R66"/>
  <sheetViews>
    <sheetView workbookViewId="0">
      <selection activeCell="O24" sqref="O24"/>
    </sheetView>
  </sheetViews>
  <sheetFormatPr defaultRowHeight="15" x14ac:dyDescent="0.25"/>
  <cols>
    <col min="1" max="1" width="10.7109375" bestFit="1" customWidth="1"/>
    <col min="2" max="2" width="6.85546875" bestFit="1" customWidth="1"/>
    <col min="4" max="4" width="25.85546875" bestFit="1" customWidth="1"/>
    <col min="5" max="6" width="25.85546875" customWidth="1"/>
    <col min="10" max="10" width="10.85546875" bestFit="1" customWidth="1"/>
    <col min="11" max="11" width="12" bestFit="1" customWidth="1"/>
    <col min="12" max="12" width="10.7109375" bestFit="1" customWidth="1"/>
    <col min="18" max="18" width="34.28515625" bestFit="1" customWidth="1"/>
  </cols>
  <sheetData>
    <row r="1" spans="1:18" ht="15.75" thickBot="1" x14ac:dyDescent="0.3">
      <c r="B1" t="s">
        <v>104</v>
      </c>
      <c r="C1">
        <v>380</v>
      </c>
      <c r="D1" t="s">
        <v>221</v>
      </c>
      <c r="E1" t="s">
        <v>218</v>
      </c>
      <c r="F1" t="s">
        <v>220</v>
      </c>
    </row>
    <row r="2" spans="1:18" ht="15" customHeight="1" x14ac:dyDescent="0.25">
      <c r="A2" s="2">
        <f ca="1">'Loading Arrival'!B11</f>
        <v>45903</v>
      </c>
      <c r="B2">
        <f ca="1">VLOOKUP(EOMONTH(A2,-1)+1,Tullet!$A$4:$D$23,2,0)</f>
        <v>383.25</v>
      </c>
      <c r="C2">
        <f ca="1">VLOOKUP(EOMONTH(A2,0)+1,Tullet!$E$60:$I$79,4,0)</f>
        <v>393.25</v>
      </c>
      <c r="D2">
        <f ca="1">C2-B2</f>
        <v>10</v>
      </c>
      <c r="E2" s="433">
        <f ca="1">VLOOKUP(DATE(YEAR(A2), MONTH(A2), 1), 'Tullet US'!$A$24:$C$32, 3, FALSE)*6.35</f>
        <v>366.71250000000003</v>
      </c>
      <c r="F2" s="433">
        <f ca="1">E2-B2</f>
        <v>-16.537499999999966</v>
      </c>
      <c r="I2" s="517" t="s">
        <v>52</v>
      </c>
      <c r="J2" s="518" t="s">
        <v>46</v>
      </c>
      <c r="K2" s="3" t="s">
        <v>105</v>
      </c>
      <c r="L2" s="112">
        <f ca="1">'Loading Arrival'!B3</f>
        <v>45910</v>
      </c>
    </row>
    <row r="3" spans="1:18" x14ac:dyDescent="0.25">
      <c r="A3" s="2">
        <f ca="1">WORKDAY(A2,1)</f>
        <v>45904</v>
      </c>
      <c r="B3">
        <f ca="1">VLOOKUP(EOMONTH(A3,-1)+1,Tullet!$A$4:$D$23,2,0)</f>
        <v>383.25</v>
      </c>
      <c r="C3">
        <f ca="1">VLOOKUP(EOMONTH(A3,0)+1,Tullet!$E$60:$I$79,4,0)</f>
        <v>393.25</v>
      </c>
      <c r="D3">
        <f ca="1">C3-B3</f>
        <v>10</v>
      </c>
      <c r="E3" s="433">
        <f ca="1">VLOOKUP(DATE(YEAR(A3), MONTH(A3), 1), 'Tullet US'!$A$24:$C$32, 3, FALSE)*6.35</f>
        <v>366.71250000000003</v>
      </c>
      <c r="F3" s="433">
        <f t="shared" ref="F3:F66" ca="1" si="0">E3-B3</f>
        <v>-16.537499999999966</v>
      </c>
      <c r="I3" s="517"/>
      <c r="J3" s="519"/>
      <c r="K3" s="5" t="s">
        <v>106</v>
      </c>
      <c r="L3" s="113">
        <f ca="1">'Loading Arrival'!B9</f>
        <v>45955</v>
      </c>
    </row>
    <row r="4" spans="1:18" ht="15.75" thickBot="1" x14ac:dyDescent="0.3">
      <c r="A4" s="2">
        <f t="shared" ref="A4:A66" ca="1" si="1">WORKDAY(A3,1)</f>
        <v>45905</v>
      </c>
      <c r="B4">
        <f ca="1">VLOOKUP(EOMONTH(A4,-1)+1,Tullet!$A$4:$D$23,2,0)</f>
        <v>383.25</v>
      </c>
      <c r="C4">
        <f ca="1">VLOOKUP(EOMONTH(A4,0)+1,Tullet!$E$60:$I$79,4,0)</f>
        <v>393.25</v>
      </c>
      <c r="D4">
        <f t="shared" ref="D4:D66" ca="1" si="2">C4-B4</f>
        <v>10</v>
      </c>
      <c r="E4" s="433">
        <f ca="1">VLOOKUP(DATE(YEAR(A4), MONTH(A4), 1), 'Tullet US'!$A$24:$C$32, 3, FALSE)*6.35</f>
        <v>366.71250000000003</v>
      </c>
      <c r="F4" s="433">
        <f t="shared" ca="1" si="0"/>
        <v>-16.537499999999966</v>
      </c>
      <c r="I4" s="517"/>
      <c r="J4" s="519"/>
      <c r="K4" s="114" t="s">
        <v>107</v>
      </c>
      <c r="L4" s="115">
        <f ca="1">SUMPRODUCT(--($A$2:$A$66&gt;=L2),--($A$2:$A$66&lt;=L3),$D$2:$D$66)/SUMPRODUCT(--($A$2:$A$66&gt;=L2),--($A$2:$A$66&lt;=L3))</f>
        <v>10.136363636363637</v>
      </c>
    </row>
    <row r="5" spans="1:18" x14ac:dyDescent="0.25">
      <c r="A5" s="2">
        <f t="shared" ca="1" si="1"/>
        <v>45908</v>
      </c>
      <c r="B5">
        <f ca="1">VLOOKUP(EOMONTH(A5,-1)+1,Tullet!$A$4:$D$23,2,0)</f>
        <v>383.25</v>
      </c>
      <c r="C5">
        <f ca="1">VLOOKUP(EOMONTH(A5,0)+1,Tullet!$E$60:$I$79,4,0)</f>
        <v>393.25</v>
      </c>
      <c r="D5">
        <f t="shared" ca="1" si="2"/>
        <v>10</v>
      </c>
      <c r="E5" s="433">
        <f ca="1">VLOOKUP(DATE(YEAR(A5), MONTH(A5), 1), 'Tullet US'!$A$24:$C$32, 3, FALSE)*6.35</f>
        <v>366.71250000000003</v>
      </c>
      <c r="F5" s="433">
        <f t="shared" ca="1" si="0"/>
        <v>-16.537499999999966</v>
      </c>
      <c r="I5" s="517"/>
      <c r="J5" s="519"/>
      <c r="K5" s="3" t="s">
        <v>108</v>
      </c>
      <c r="L5" s="116">
        <f ca="1">'Loading Arrival'!C3</f>
        <v>45924</v>
      </c>
    </row>
    <row r="6" spans="1:18" x14ac:dyDescent="0.25">
      <c r="A6" s="2">
        <f t="shared" ca="1" si="1"/>
        <v>45909</v>
      </c>
      <c r="B6">
        <f ca="1">VLOOKUP(EOMONTH(A6,-1)+1,Tullet!$A$4:$D$23,2,0)</f>
        <v>383.25</v>
      </c>
      <c r="C6">
        <f ca="1">VLOOKUP(EOMONTH(A6,0)+1,Tullet!$E$60:$I$79,4,0)</f>
        <v>393.25</v>
      </c>
      <c r="D6">
        <f t="shared" ca="1" si="2"/>
        <v>10</v>
      </c>
      <c r="E6" s="433">
        <f ca="1">VLOOKUP(DATE(YEAR(A6), MONTH(A6), 1), 'Tullet US'!$A$24:$C$32, 3, FALSE)*6.35</f>
        <v>366.71250000000003</v>
      </c>
      <c r="F6" s="433">
        <f t="shared" ca="1" si="0"/>
        <v>-16.537499999999966</v>
      </c>
      <c r="I6" s="517"/>
      <c r="J6" s="519"/>
      <c r="K6" s="5" t="s">
        <v>106</v>
      </c>
      <c r="L6" s="117">
        <f ca="1">'Loading Arrival'!C9</f>
        <v>45969</v>
      </c>
    </row>
    <row r="7" spans="1:18" ht="15.75" thickBot="1" x14ac:dyDescent="0.3">
      <c r="A7" s="2">
        <f t="shared" ca="1" si="1"/>
        <v>45910</v>
      </c>
      <c r="B7">
        <f ca="1">VLOOKUP(EOMONTH(A7,-1)+1,Tullet!$A$4:$D$23,2,0)</f>
        <v>383.25</v>
      </c>
      <c r="C7">
        <f ca="1">VLOOKUP(EOMONTH(A7,0)+1,Tullet!$E$60:$I$79,4,0)</f>
        <v>393.25</v>
      </c>
      <c r="D7">
        <f t="shared" ca="1" si="2"/>
        <v>10</v>
      </c>
      <c r="E7" s="433">
        <f ca="1">VLOOKUP(DATE(YEAR(A7), MONTH(A7), 1), 'Tullet US'!$A$24:$C$32, 3, FALSE)*6.35</f>
        <v>366.71250000000003</v>
      </c>
      <c r="F7" s="433">
        <f t="shared" ca="1" si="0"/>
        <v>-16.537499999999966</v>
      </c>
      <c r="I7" s="517"/>
      <c r="J7" s="519"/>
      <c r="K7" s="7" t="s">
        <v>107</v>
      </c>
      <c r="L7" s="111">
        <f ca="1">SUMPRODUCT(--($A$2:$A$66&gt;=L5),--($A$2:$A$66&lt;=L6),$D$2:$D$66)/SUMPRODUCT(--($A$2:$A$66&gt;=L5),--($A$2:$A$66&lt;=L6))</f>
        <v>10.401515151515152</v>
      </c>
    </row>
    <row r="8" spans="1:18" x14ac:dyDescent="0.25">
      <c r="A8" s="2">
        <f t="shared" ca="1" si="1"/>
        <v>45911</v>
      </c>
      <c r="B8">
        <f ca="1">VLOOKUP(EOMONTH(A8,-1)+1,Tullet!$A$4:$D$23,2,0)</f>
        <v>383.25</v>
      </c>
      <c r="C8">
        <f ca="1">VLOOKUP(EOMONTH(A8,0)+1,Tullet!$E$60:$I$79,4,0)</f>
        <v>393.25</v>
      </c>
      <c r="D8">
        <f t="shared" ca="1" si="2"/>
        <v>10</v>
      </c>
      <c r="E8" s="433">
        <f ca="1">VLOOKUP(DATE(YEAR(A8), MONTH(A8), 1), 'Tullet US'!$A$24:$C$32, 3, FALSE)*6.35</f>
        <v>366.71250000000003</v>
      </c>
      <c r="F8" s="433">
        <f t="shared" ca="1" si="0"/>
        <v>-16.537499999999966</v>
      </c>
      <c r="I8" s="517"/>
      <c r="J8" s="519"/>
      <c r="K8" s="3" t="s">
        <v>109</v>
      </c>
      <c r="L8" s="116">
        <f ca="1">'Loading Arrival'!D3</f>
        <v>45938</v>
      </c>
    </row>
    <row r="9" spans="1:18" x14ac:dyDescent="0.25">
      <c r="A9" s="2">
        <f t="shared" ca="1" si="1"/>
        <v>45912</v>
      </c>
      <c r="B9">
        <f ca="1">VLOOKUP(EOMONTH(A9,-1)+1,Tullet!$A$4:$D$23,2,0)</f>
        <v>383.25</v>
      </c>
      <c r="C9">
        <f ca="1">VLOOKUP(EOMONTH(A9,0)+1,Tullet!$E$60:$I$79,4,0)</f>
        <v>393.25</v>
      </c>
      <c r="D9">
        <f t="shared" ca="1" si="2"/>
        <v>10</v>
      </c>
      <c r="E9" s="433">
        <f ca="1">VLOOKUP(DATE(YEAR(A9), MONTH(A9), 1), 'Tullet US'!$A$24:$C$32, 3, FALSE)*6.35</f>
        <v>366.71250000000003</v>
      </c>
      <c r="F9" s="433">
        <f t="shared" ca="1" si="0"/>
        <v>-16.537499999999966</v>
      </c>
      <c r="I9" s="517"/>
      <c r="J9" s="519"/>
      <c r="K9" s="5" t="s">
        <v>106</v>
      </c>
      <c r="L9" s="117">
        <f ca="1">'Loading Arrival'!D9</f>
        <v>45983</v>
      </c>
    </row>
    <row r="10" spans="1:18" ht="15.75" thickBot="1" x14ac:dyDescent="0.3">
      <c r="A10" s="2">
        <f t="shared" ca="1" si="1"/>
        <v>45915</v>
      </c>
      <c r="B10">
        <f ca="1">VLOOKUP(EOMONTH(A10,-1)+1,Tullet!$A$4:$D$23,2,0)</f>
        <v>383.25</v>
      </c>
      <c r="C10">
        <f ca="1">VLOOKUP(EOMONTH(A10,0)+1,Tullet!$E$60:$I$79,4,0)</f>
        <v>393.25</v>
      </c>
      <c r="D10">
        <f t="shared" ca="1" si="2"/>
        <v>10</v>
      </c>
      <c r="E10" s="433">
        <f ca="1">VLOOKUP(DATE(YEAR(A10), MONTH(A10), 1), 'Tullet US'!$A$24:$C$32, 3, FALSE)*6.35</f>
        <v>366.71250000000003</v>
      </c>
      <c r="F10" s="433">
        <f t="shared" ca="1" si="0"/>
        <v>-16.537499999999966</v>
      </c>
      <c r="I10" s="517"/>
      <c r="J10" s="520"/>
      <c r="K10" s="114" t="s">
        <v>107</v>
      </c>
      <c r="L10" s="115">
        <f ca="1">SUMPRODUCT(--($A$2:$A$66&gt;=L8),--($A$2:$A$66&lt;=L9),$D$2:$D$66)/SUMPRODUCT(--($A$2:$A$66&gt;=L8),--($A$2:$A$66&lt;=L9))</f>
        <v>10.818181818181818</v>
      </c>
    </row>
    <row r="11" spans="1:18" ht="15.75" thickBot="1" x14ac:dyDescent="0.3">
      <c r="A11" s="2">
        <f t="shared" ca="1" si="1"/>
        <v>45916</v>
      </c>
      <c r="B11">
        <f ca="1">VLOOKUP(EOMONTH(A11,-1)+1,Tullet!$A$4:$D$23,2,0)</f>
        <v>383.25</v>
      </c>
      <c r="C11">
        <f ca="1">VLOOKUP(EOMONTH(A11,0)+1,Tullet!$E$60:$I$79,4,0)</f>
        <v>393.25</v>
      </c>
      <c r="D11">
        <f t="shared" ca="1" si="2"/>
        <v>10</v>
      </c>
      <c r="E11" s="433">
        <f ca="1">VLOOKUP(DATE(YEAR(A11), MONTH(A11), 1), 'Tullet US'!$A$24:$C$32, 3, FALSE)*6.35</f>
        <v>366.71250000000003</v>
      </c>
      <c r="F11" s="433">
        <f t="shared" ca="1" si="0"/>
        <v>-16.537499999999966</v>
      </c>
      <c r="I11" s="517"/>
    </row>
    <row r="12" spans="1:18" x14ac:dyDescent="0.25">
      <c r="A12" s="2">
        <f t="shared" ca="1" si="1"/>
        <v>45917</v>
      </c>
      <c r="B12">
        <f ca="1">VLOOKUP(EOMONTH(A12,-1)+1,Tullet!$A$4:$D$23,2,0)</f>
        <v>383.25</v>
      </c>
      <c r="C12">
        <f ca="1">VLOOKUP(EOMONTH(A12,0)+1,Tullet!$E$60:$I$79,4,0)</f>
        <v>393.25</v>
      </c>
      <c r="D12">
        <f t="shared" ca="1" si="2"/>
        <v>10</v>
      </c>
      <c r="E12" s="433">
        <f ca="1">VLOOKUP(DATE(YEAR(A12), MONTH(A12), 1), 'Tullet US'!$A$24:$C$32, 3, FALSE)*6.35</f>
        <v>366.71250000000003</v>
      </c>
      <c r="F12" s="433">
        <f t="shared" ca="1" si="0"/>
        <v>-16.537499999999966</v>
      </c>
      <c r="I12" s="517"/>
      <c r="J12" s="514" t="s">
        <v>110</v>
      </c>
      <c r="K12" s="3" t="s">
        <v>105</v>
      </c>
      <c r="L12" s="112">
        <f ca="1">'Loading Arrival'!B11</f>
        <v>45903</v>
      </c>
    </row>
    <row r="13" spans="1:18" x14ac:dyDescent="0.25">
      <c r="A13" s="2">
        <f t="shared" ca="1" si="1"/>
        <v>45918</v>
      </c>
      <c r="B13">
        <f ca="1">VLOOKUP(EOMONTH(A13,-1)+1,Tullet!$A$4:$D$23,2,0)</f>
        <v>383.25</v>
      </c>
      <c r="C13">
        <f ca="1">VLOOKUP(EOMONTH(A13,0)+1,Tullet!$E$60:$I$79,4,0)</f>
        <v>393.25</v>
      </c>
      <c r="D13">
        <f t="shared" ca="1" si="2"/>
        <v>10</v>
      </c>
      <c r="E13" s="433">
        <f ca="1">VLOOKUP(DATE(YEAR(A13), MONTH(A13), 1), 'Tullet US'!$A$24:$C$32, 3, FALSE)*6.35</f>
        <v>366.71250000000003</v>
      </c>
      <c r="F13" s="433">
        <f t="shared" ca="1" si="0"/>
        <v>-16.537499999999966</v>
      </c>
      <c r="I13" s="517"/>
      <c r="J13" s="515"/>
      <c r="K13" s="5" t="s">
        <v>106</v>
      </c>
      <c r="L13" s="113">
        <f ca="1">'Loading Arrival'!B17</f>
        <v>45930</v>
      </c>
    </row>
    <row r="14" spans="1:18" ht="15.75" thickBot="1" x14ac:dyDescent="0.3">
      <c r="A14" s="2">
        <f t="shared" ca="1" si="1"/>
        <v>45919</v>
      </c>
      <c r="B14">
        <f ca="1">VLOOKUP(EOMONTH(A14,-1)+1,Tullet!$A$4:$D$23,2,0)</f>
        <v>383.25</v>
      </c>
      <c r="C14">
        <f ca="1">VLOOKUP(EOMONTH(A14,0)+1,Tullet!$E$60:$I$79,4,0)</f>
        <v>393.25</v>
      </c>
      <c r="D14">
        <f t="shared" ca="1" si="2"/>
        <v>10</v>
      </c>
      <c r="E14" s="433">
        <f ca="1">VLOOKUP(DATE(YEAR(A14), MONTH(A14), 1), 'Tullet US'!$A$24:$C$32, 3, FALSE)*6.35</f>
        <v>366.71250000000003</v>
      </c>
      <c r="F14" s="433">
        <f t="shared" ca="1" si="0"/>
        <v>-16.537499999999966</v>
      </c>
      <c r="I14" s="517"/>
      <c r="J14" s="515"/>
      <c r="K14" s="118" t="s">
        <v>107</v>
      </c>
      <c r="L14" s="119">
        <f ca="1">SUMPRODUCT(--($A$2:$A$66&gt;=L12),--($A$2:$A$66&lt;=L13),$D$2:$D$66)/SUMPRODUCT(--($A$2:$A$66&gt;=L12),--($A$2:$A$66&lt;=L13))</f>
        <v>10</v>
      </c>
    </row>
    <row r="15" spans="1:18" x14ac:dyDescent="0.25">
      <c r="A15" s="2">
        <f t="shared" ca="1" si="1"/>
        <v>45922</v>
      </c>
      <c r="B15">
        <f ca="1">VLOOKUP(EOMONTH(A15,-1)+1,Tullet!$A$4:$D$23,2,0)</f>
        <v>383.25</v>
      </c>
      <c r="C15">
        <f ca="1">VLOOKUP(EOMONTH(A15,0)+1,Tullet!$E$60:$I$79,4,0)</f>
        <v>393.25</v>
      </c>
      <c r="D15">
        <f t="shared" ca="1" si="2"/>
        <v>10</v>
      </c>
      <c r="E15" s="433">
        <f ca="1">VLOOKUP(DATE(YEAR(A15), MONTH(A15), 1), 'Tullet US'!$A$24:$C$32, 3, FALSE)*6.35</f>
        <v>366.71250000000003</v>
      </c>
      <c r="F15" s="433">
        <f t="shared" ca="1" si="0"/>
        <v>-16.537499999999966</v>
      </c>
      <c r="I15" s="517"/>
      <c r="J15" s="515"/>
      <c r="K15" s="3" t="s">
        <v>108</v>
      </c>
      <c r="L15" s="116">
        <f ca="1">'Loading Arrival'!C11</f>
        <v>45917</v>
      </c>
      <c r="R15" t="s">
        <v>223</v>
      </c>
    </row>
    <row r="16" spans="1:18" x14ac:dyDescent="0.25">
      <c r="A16" s="2">
        <f t="shared" ca="1" si="1"/>
        <v>45923</v>
      </c>
      <c r="B16">
        <f ca="1">VLOOKUP(EOMONTH(A16,-1)+1,Tullet!$A$4:$D$23,2,0)</f>
        <v>383.25</v>
      </c>
      <c r="C16">
        <f ca="1">VLOOKUP(EOMONTH(A16,0)+1,Tullet!$E$60:$I$79,4,0)</f>
        <v>393.25</v>
      </c>
      <c r="D16">
        <f t="shared" ca="1" si="2"/>
        <v>10</v>
      </c>
      <c r="E16" s="433">
        <f ca="1">VLOOKUP(DATE(YEAR(A16), MONTH(A16), 1), 'Tullet US'!$A$24:$C$32, 3, FALSE)*6.35</f>
        <v>366.71250000000003</v>
      </c>
      <c r="F16" s="433">
        <f t="shared" ca="1" si="0"/>
        <v>-16.537499999999966</v>
      </c>
      <c r="I16" s="517"/>
      <c r="J16" s="515"/>
      <c r="K16" s="5" t="s">
        <v>106</v>
      </c>
      <c r="L16" s="117">
        <f ca="1">'Loading Arrival'!C17</f>
        <v>45944</v>
      </c>
      <c r="R16" s="2">
        <f>DATE(YEAR(S16), MONTH(S16), 1)</f>
        <v>1</v>
      </c>
    </row>
    <row r="17" spans="1:18" ht="15.75" thickBot="1" x14ac:dyDescent="0.3">
      <c r="A17" s="2">
        <f t="shared" ca="1" si="1"/>
        <v>45924</v>
      </c>
      <c r="B17">
        <f ca="1">VLOOKUP(EOMONTH(A17,-1)+1,Tullet!$A$4:$D$23,2,0)</f>
        <v>383.25</v>
      </c>
      <c r="C17">
        <f ca="1">VLOOKUP(EOMONTH(A17,0)+1,Tullet!$E$60:$I$79,4,0)</f>
        <v>393.25</v>
      </c>
      <c r="D17">
        <f t="shared" ca="1" si="2"/>
        <v>10</v>
      </c>
      <c r="E17" s="433">
        <f ca="1">VLOOKUP(DATE(YEAR(A17), MONTH(A17), 1), 'Tullet US'!$A$24:$C$32, 3, FALSE)*6.35</f>
        <v>366.71250000000003</v>
      </c>
      <c r="F17" s="433">
        <f t="shared" ca="1" si="0"/>
        <v>-16.537499999999966</v>
      </c>
      <c r="I17" s="517"/>
      <c r="J17" s="515"/>
      <c r="K17" s="114" t="s">
        <v>107</v>
      </c>
      <c r="L17" s="115">
        <f ca="1">SUMPRODUCT(--($A$2:$A$66&gt;=L15),--($A$2:$A$66&lt;=L16),$D$2:$D$66)/SUMPRODUCT(--($A$2:$A$66&gt;=L15),--($A$2:$A$66&lt;=L16))</f>
        <v>10.125</v>
      </c>
      <c r="R17" t="s">
        <v>219</v>
      </c>
    </row>
    <row r="18" spans="1:18" x14ac:dyDescent="0.25">
      <c r="A18" s="2">
        <f t="shared" ca="1" si="1"/>
        <v>45925</v>
      </c>
      <c r="B18">
        <f ca="1">VLOOKUP(EOMONTH(A18,-1)+1,Tullet!$A$4:$D$23,2,0)</f>
        <v>383.25</v>
      </c>
      <c r="C18">
        <f ca="1">VLOOKUP(EOMONTH(A18,0)+1,Tullet!$E$60:$I$79,4,0)</f>
        <v>393.25</v>
      </c>
      <c r="D18">
        <f t="shared" ca="1" si="2"/>
        <v>10</v>
      </c>
      <c r="E18" s="433">
        <f ca="1">VLOOKUP(DATE(YEAR(A18), MONTH(A18), 1), 'Tullet US'!$A$24:$C$32, 3, FALSE)*6.35</f>
        <v>366.71250000000003</v>
      </c>
      <c r="F18" s="433">
        <f t="shared" ca="1" si="0"/>
        <v>-16.537499999999966</v>
      </c>
      <c r="I18" s="517"/>
      <c r="J18" s="515"/>
      <c r="K18" s="5" t="s">
        <v>109</v>
      </c>
      <c r="L18" s="117">
        <f ca="1">'Loading Arrival'!D11</f>
        <v>45931</v>
      </c>
    </row>
    <row r="19" spans="1:18" x14ac:dyDescent="0.25">
      <c r="A19" s="2">
        <f t="shared" ca="1" si="1"/>
        <v>45926</v>
      </c>
      <c r="B19">
        <f ca="1">VLOOKUP(EOMONTH(A19,-1)+1,Tullet!$A$4:$D$23,2,0)</f>
        <v>383.25</v>
      </c>
      <c r="C19">
        <f ca="1">VLOOKUP(EOMONTH(A19,0)+1,Tullet!$E$60:$I$79,4,0)</f>
        <v>393.25</v>
      </c>
      <c r="D19">
        <f t="shared" ca="1" si="2"/>
        <v>10</v>
      </c>
      <c r="E19" s="433">
        <f ca="1">VLOOKUP(DATE(YEAR(A19), MONTH(A19), 1), 'Tullet US'!$A$24:$C$32, 3, FALSE)*6.35</f>
        <v>366.71250000000003</v>
      </c>
      <c r="F19" s="433">
        <f t="shared" ca="1" si="0"/>
        <v>-16.537499999999966</v>
      </c>
      <c r="I19" s="517"/>
      <c r="J19" s="515"/>
      <c r="K19" s="5" t="s">
        <v>106</v>
      </c>
      <c r="L19" s="117">
        <f ca="1">'Loading Arrival'!D17</f>
        <v>45958</v>
      </c>
    </row>
    <row r="20" spans="1:18" ht="15.75" thickBot="1" x14ac:dyDescent="0.3">
      <c r="A20" s="2">
        <f t="shared" ca="1" si="1"/>
        <v>45929</v>
      </c>
      <c r="B20">
        <f ca="1">VLOOKUP(EOMONTH(A20,-1)+1,Tullet!$A$4:$D$23,2,0)</f>
        <v>383.25</v>
      </c>
      <c r="C20">
        <f ca="1">VLOOKUP(EOMONTH(A20,0)+1,Tullet!$E$60:$I$79,4,0)</f>
        <v>393.25</v>
      </c>
      <c r="D20">
        <f t="shared" ca="1" si="2"/>
        <v>10</v>
      </c>
      <c r="E20" s="433">
        <f ca="1">VLOOKUP(DATE(YEAR(A20), MONTH(A20), 1), 'Tullet US'!$A$24:$C$32, 3, FALSE)*6.35</f>
        <v>366.71250000000003</v>
      </c>
      <c r="F20" s="433">
        <f t="shared" ca="1" si="0"/>
        <v>-16.537499999999966</v>
      </c>
      <c r="I20" s="517"/>
      <c r="J20" s="516"/>
      <c r="K20" s="114" t="s">
        <v>107</v>
      </c>
      <c r="L20" s="115">
        <f ca="1">SUMPRODUCT(--($A$2:$A$66&gt;=L18),--($A$2:$A$66&lt;=L19),$D$2:$D$66)/SUMPRODUCT(--($A$2:$A$66&gt;=L18),--($A$2:$A$66&lt;=L19))</f>
        <v>10.25</v>
      </c>
    </row>
    <row r="21" spans="1:18" ht="15.75" thickBot="1" x14ac:dyDescent="0.3">
      <c r="A21" s="2">
        <f t="shared" ca="1" si="1"/>
        <v>45930</v>
      </c>
      <c r="B21">
        <f ca="1">VLOOKUP(EOMONTH(A21,-1)+1,Tullet!$A$4:$D$23,2,0)</f>
        <v>383.25</v>
      </c>
      <c r="C21">
        <f ca="1">VLOOKUP(EOMONTH(A21,0)+1,Tullet!$E$60:$I$79,4,0)</f>
        <v>393.25</v>
      </c>
      <c r="D21">
        <f t="shared" ca="1" si="2"/>
        <v>10</v>
      </c>
      <c r="E21" s="433">
        <f ca="1">VLOOKUP(DATE(YEAR(A21), MONTH(A21), 1), 'Tullet US'!$A$24:$C$32, 3, FALSE)*6.35</f>
        <v>366.71250000000003</v>
      </c>
      <c r="F21" s="433">
        <f t="shared" ca="1" si="0"/>
        <v>-16.537499999999966</v>
      </c>
    </row>
    <row r="22" spans="1:18" x14ac:dyDescent="0.25">
      <c r="A22" s="2">
        <f t="shared" ca="1" si="1"/>
        <v>45931</v>
      </c>
      <c r="B22">
        <f ca="1">VLOOKUP(EOMONTH(A22,-1)+1,Tullet!$A$4:$D$23,2,0)</f>
        <v>379.5</v>
      </c>
      <c r="C22">
        <f ca="1">VLOOKUP(EOMONTH(A22,0)+1,Tullet!$E$60:$I$79,4,0)</f>
        <v>389.75</v>
      </c>
      <c r="D22">
        <f t="shared" ca="1" si="2"/>
        <v>10.25</v>
      </c>
      <c r="E22" s="433">
        <f ca="1">VLOOKUP(DATE(YEAR(A22), MONTH(A22), 1), 'Tullet US'!$A$24:$C$32, 3, FALSE)*6.35</f>
        <v>359.72750000000002</v>
      </c>
      <c r="F22" s="433">
        <f t="shared" ca="1" si="0"/>
        <v>-19.77249999999998</v>
      </c>
      <c r="I22" s="513" t="s">
        <v>112</v>
      </c>
      <c r="J22" s="514" t="s">
        <v>110</v>
      </c>
      <c r="K22" s="3" t="s">
        <v>105</v>
      </c>
      <c r="L22" s="112">
        <f ca="1">'Loading Arrival'!B20</f>
        <v>45903</v>
      </c>
    </row>
    <row r="23" spans="1:18" x14ac:dyDescent="0.25">
      <c r="A23" s="2">
        <f t="shared" ca="1" si="1"/>
        <v>45932</v>
      </c>
      <c r="B23">
        <f ca="1">VLOOKUP(EOMONTH(A23,-1)+1,Tullet!$A$4:$D$23,2,0)</f>
        <v>379.5</v>
      </c>
      <c r="C23">
        <f ca="1">VLOOKUP(EOMONTH(A23,0)+1,Tullet!$E$60:$I$79,4,0)</f>
        <v>389.75</v>
      </c>
      <c r="D23">
        <f t="shared" ca="1" si="2"/>
        <v>10.25</v>
      </c>
      <c r="E23" s="433">
        <f ca="1">VLOOKUP(DATE(YEAR(A23), MONTH(A23), 1), 'Tullet US'!$A$24:$C$32, 3, FALSE)*6.35</f>
        <v>359.72750000000002</v>
      </c>
      <c r="F23" s="433">
        <f t="shared" ca="1" si="0"/>
        <v>-19.77249999999998</v>
      </c>
      <c r="I23" s="513"/>
      <c r="J23" s="515"/>
      <c r="K23" s="5" t="s">
        <v>106</v>
      </c>
      <c r="L23" s="113">
        <f ca="1">'Loading Arrival'!B26</f>
        <v>45922</v>
      </c>
    </row>
    <row r="24" spans="1:18" ht="15.75" thickBot="1" x14ac:dyDescent="0.3">
      <c r="A24" s="2">
        <f t="shared" ca="1" si="1"/>
        <v>45933</v>
      </c>
      <c r="B24">
        <f ca="1">VLOOKUP(EOMONTH(A24,-1)+1,Tullet!$A$4:$D$23,2,0)</f>
        <v>379.5</v>
      </c>
      <c r="C24">
        <f ca="1">VLOOKUP(EOMONTH(A24,0)+1,Tullet!$E$60:$I$79,4,0)</f>
        <v>389.75</v>
      </c>
      <c r="D24">
        <f t="shared" ca="1" si="2"/>
        <v>10.25</v>
      </c>
      <c r="E24" s="433">
        <f ca="1">VLOOKUP(DATE(YEAR(A24), MONTH(A24), 1), 'Tullet US'!$A$24:$C$32, 3, FALSE)*6.35</f>
        <v>359.72750000000002</v>
      </c>
      <c r="F24" s="433">
        <f t="shared" ca="1" si="0"/>
        <v>-19.77249999999998</v>
      </c>
      <c r="I24" s="513"/>
      <c r="J24" s="515"/>
      <c r="K24" s="118" t="s">
        <v>107</v>
      </c>
      <c r="L24" s="119">
        <f ca="1">SUMPRODUCT(--($A$2:$A$66&gt;=L22),--($A$2:$A$66&lt;=L23),$D$2:$D$66)/SUMPRODUCT(--($A$2:$A$66&gt;=L22),--($A$2:$A$66&lt;=L23))</f>
        <v>10</v>
      </c>
    </row>
    <row r="25" spans="1:18" x14ac:dyDescent="0.25">
      <c r="A25" s="2">
        <f t="shared" ca="1" si="1"/>
        <v>45936</v>
      </c>
      <c r="B25">
        <f ca="1">VLOOKUP(EOMONTH(A25,-1)+1,Tullet!$A$4:$D$23,2,0)</f>
        <v>379.5</v>
      </c>
      <c r="C25">
        <f ca="1">VLOOKUP(EOMONTH(A25,0)+1,Tullet!$E$60:$I$79,4,0)</f>
        <v>389.75</v>
      </c>
      <c r="D25">
        <f t="shared" ca="1" si="2"/>
        <v>10.25</v>
      </c>
      <c r="E25" s="433">
        <f ca="1">VLOOKUP(DATE(YEAR(A25), MONTH(A25), 1), 'Tullet US'!$A$24:$C$32, 3, FALSE)*6.35</f>
        <v>359.72750000000002</v>
      </c>
      <c r="F25" s="433">
        <f t="shared" ca="1" si="0"/>
        <v>-19.77249999999998</v>
      </c>
      <c r="I25" s="513"/>
      <c r="J25" s="515"/>
      <c r="K25" s="3" t="s">
        <v>108</v>
      </c>
      <c r="L25" s="116">
        <f ca="1">'Loading Arrival'!C20</f>
        <v>45917</v>
      </c>
    </row>
    <row r="26" spans="1:18" x14ac:dyDescent="0.25">
      <c r="A26" s="2">
        <f t="shared" ca="1" si="1"/>
        <v>45937</v>
      </c>
      <c r="B26">
        <f ca="1">VLOOKUP(EOMONTH(A26,-1)+1,Tullet!$A$4:$D$23,2,0)</f>
        <v>379.5</v>
      </c>
      <c r="C26">
        <f ca="1">VLOOKUP(EOMONTH(A26,0)+1,Tullet!$E$60:$I$79,4,0)</f>
        <v>389.75</v>
      </c>
      <c r="D26">
        <f t="shared" ca="1" si="2"/>
        <v>10.25</v>
      </c>
      <c r="E26" s="433">
        <f ca="1">VLOOKUP(DATE(YEAR(A26), MONTH(A26), 1), 'Tullet US'!$A$24:$C$32, 3, FALSE)*6.35</f>
        <v>359.72750000000002</v>
      </c>
      <c r="F26" s="433">
        <f t="shared" ca="1" si="0"/>
        <v>-19.77249999999998</v>
      </c>
      <c r="I26" s="513"/>
      <c r="J26" s="515"/>
      <c r="K26" s="5" t="s">
        <v>106</v>
      </c>
      <c r="L26" s="117">
        <f ca="1">'Loading Arrival'!C26</f>
        <v>45936</v>
      </c>
    </row>
    <row r="27" spans="1:18" ht="15.75" thickBot="1" x14ac:dyDescent="0.3">
      <c r="A27" s="2">
        <f t="shared" ca="1" si="1"/>
        <v>45938</v>
      </c>
      <c r="B27">
        <f ca="1">VLOOKUP(EOMONTH(A27,-1)+1,Tullet!$A$4:$D$23,2,0)</f>
        <v>379.5</v>
      </c>
      <c r="C27">
        <f ca="1">VLOOKUP(EOMONTH(A27,0)+1,Tullet!$E$60:$I$79,4,0)</f>
        <v>389.75</v>
      </c>
      <c r="D27">
        <f t="shared" ca="1" si="2"/>
        <v>10.25</v>
      </c>
      <c r="E27" s="433">
        <f ca="1">VLOOKUP(DATE(YEAR(A27), MONTH(A27), 1), 'Tullet US'!$A$24:$C$32, 3, FALSE)*6.35</f>
        <v>359.72750000000002</v>
      </c>
      <c r="F27" s="433">
        <f t="shared" ca="1" si="0"/>
        <v>-19.77249999999998</v>
      </c>
      <c r="I27" s="513"/>
      <c r="J27" s="515"/>
      <c r="K27" s="114" t="s">
        <v>107</v>
      </c>
      <c r="L27" s="115">
        <f ca="1">SUMPRODUCT(--($A$2:$A$66&gt;=L25),--($A$2:$A$66&lt;=L26),$D$2:$D$66)/SUMPRODUCT(--($A$2:$A$66&gt;=L25),--($A$2:$A$66&lt;=L26))</f>
        <v>10.071428571428571</v>
      </c>
    </row>
    <row r="28" spans="1:18" x14ac:dyDescent="0.25">
      <c r="A28" s="2">
        <f t="shared" ca="1" si="1"/>
        <v>45939</v>
      </c>
      <c r="B28">
        <f ca="1">VLOOKUP(EOMONTH(A28,-1)+1,Tullet!$A$4:$D$23,2,0)</f>
        <v>379.5</v>
      </c>
      <c r="C28">
        <f ca="1">VLOOKUP(EOMONTH(A28,0)+1,Tullet!$E$60:$I$79,4,0)</f>
        <v>389.75</v>
      </c>
      <c r="D28">
        <f t="shared" ca="1" si="2"/>
        <v>10.25</v>
      </c>
      <c r="E28" s="433">
        <f ca="1">VLOOKUP(DATE(YEAR(A28), MONTH(A28), 1), 'Tullet US'!$A$24:$C$32, 3, FALSE)*6.35</f>
        <v>359.72750000000002</v>
      </c>
      <c r="F28" s="433">
        <f t="shared" ca="1" si="0"/>
        <v>-19.77249999999998</v>
      </c>
      <c r="I28" s="513"/>
      <c r="J28" s="515"/>
      <c r="K28" s="5" t="s">
        <v>109</v>
      </c>
      <c r="L28" s="117">
        <f ca="1">'Loading Arrival'!D20</f>
        <v>45931</v>
      </c>
    </row>
    <row r="29" spans="1:18" x14ac:dyDescent="0.25">
      <c r="A29" s="2">
        <f t="shared" ca="1" si="1"/>
        <v>45940</v>
      </c>
      <c r="B29">
        <f ca="1">VLOOKUP(EOMONTH(A29,-1)+1,Tullet!$A$4:$D$23,2,0)</f>
        <v>379.5</v>
      </c>
      <c r="C29">
        <f ca="1">VLOOKUP(EOMONTH(A29,0)+1,Tullet!$E$60:$I$79,4,0)</f>
        <v>389.75</v>
      </c>
      <c r="D29">
        <f t="shared" ca="1" si="2"/>
        <v>10.25</v>
      </c>
      <c r="E29" s="433">
        <f ca="1">VLOOKUP(DATE(YEAR(A29), MONTH(A29), 1), 'Tullet US'!$A$24:$C$32, 3, FALSE)*6.35</f>
        <v>359.72750000000002</v>
      </c>
      <c r="F29" s="433">
        <f t="shared" ca="1" si="0"/>
        <v>-19.77249999999998</v>
      </c>
      <c r="I29" s="513"/>
      <c r="J29" s="515"/>
      <c r="K29" s="5" t="s">
        <v>106</v>
      </c>
      <c r="L29" s="117">
        <f ca="1">'Loading Arrival'!D26</f>
        <v>45950</v>
      </c>
    </row>
    <row r="30" spans="1:18" ht="15.75" thickBot="1" x14ac:dyDescent="0.3">
      <c r="A30" s="2">
        <f t="shared" ca="1" si="1"/>
        <v>45943</v>
      </c>
      <c r="B30">
        <f ca="1">VLOOKUP(EOMONTH(A30,-1)+1,Tullet!$A$4:$D$23,2,0)</f>
        <v>379.5</v>
      </c>
      <c r="C30">
        <f ca="1">VLOOKUP(EOMONTH(A30,0)+1,Tullet!$E$60:$I$79,4,0)</f>
        <v>389.75</v>
      </c>
      <c r="D30">
        <f t="shared" ca="1" si="2"/>
        <v>10.25</v>
      </c>
      <c r="E30" s="433">
        <f ca="1">VLOOKUP(DATE(YEAR(A30), MONTH(A30), 1), 'Tullet US'!$A$24:$C$32, 3, FALSE)*6.35</f>
        <v>359.72750000000002</v>
      </c>
      <c r="F30" s="433">
        <f t="shared" ca="1" si="0"/>
        <v>-19.77249999999998</v>
      </c>
      <c r="I30" s="513"/>
      <c r="J30" s="516"/>
      <c r="K30" s="114" t="s">
        <v>107</v>
      </c>
      <c r="L30" s="115">
        <f ca="1">SUMPRODUCT(--($A$2:$A$66&gt;=L28),--($A$2:$A$66&lt;=L29),$D$2:$D$66)/SUMPRODUCT(--($A$2:$A$66&gt;=L28),--($A$2:$A$66&lt;=L29))</f>
        <v>10.25</v>
      </c>
    </row>
    <row r="31" spans="1:18" ht="15.75" thickBot="1" x14ac:dyDescent="0.3">
      <c r="A31" s="2">
        <f t="shared" ca="1" si="1"/>
        <v>45944</v>
      </c>
      <c r="B31">
        <f ca="1">VLOOKUP(EOMONTH(A31,-1)+1,Tullet!$A$4:$D$23,2,0)</f>
        <v>379.5</v>
      </c>
      <c r="C31">
        <f ca="1">VLOOKUP(EOMONTH(A31,0)+1,Tullet!$E$60:$I$79,4,0)</f>
        <v>389.75</v>
      </c>
      <c r="D31">
        <f t="shared" ca="1" si="2"/>
        <v>10.25</v>
      </c>
      <c r="E31" s="433">
        <f ca="1">VLOOKUP(DATE(YEAR(A31), MONTH(A31), 1), 'Tullet US'!$A$24:$C$32, 3, FALSE)*6.35</f>
        <v>359.72750000000002</v>
      </c>
      <c r="F31" s="433">
        <f t="shared" ca="1" si="0"/>
        <v>-19.77249999999998</v>
      </c>
    </row>
    <row r="32" spans="1:18" x14ac:dyDescent="0.25">
      <c r="A32" s="2">
        <f t="shared" ca="1" si="1"/>
        <v>45945</v>
      </c>
      <c r="B32">
        <f ca="1">VLOOKUP(EOMONTH(A32,-1)+1,Tullet!$A$4:$D$23,2,0)</f>
        <v>379.5</v>
      </c>
      <c r="C32">
        <f ca="1">VLOOKUP(EOMONTH(A32,0)+1,Tullet!$E$60:$I$79,4,0)</f>
        <v>389.75</v>
      </c>
      <c r="D32">
        <f t="shared" ca="1" si="2"/>
        <v>10.25</v>
      </c>
      <c r="E32" s="433">
        <f ca="1">VLOOKUP(DATE(YEAR(A32), MONTH(A32), 1), 'Tullet US'!$A$24:$C$32, 3, FALSE)*6.35</f>
        <v>359.72750000000002</v>
      </c>
      <c r="F32" s="433">
        <f t="shared" ca="1" si="0"/>
        <v>-19.77249999999998</v>
      </c>
      <c r="I32" s="513" t="s">
        <v>113</v>
      </c>
      <c r="J32" s="514" t="s">
        <v>110</v>
      </c>
      <c r="K32" s="3" t="s">
        <v>105</v>
      </c>
      <c r="L32" s="112">
        <f ca="1">'Loading Arrival'!B29</f>
        <v>45903</v>
      </c>
    </row>
    <row r="33" spans="1:12" x14ac:dyDescent="0.25">
      <c r="A33" s="2">
        <f ca="1">WORKDAY(A32,1)</f>
        <v>45946</v>
      </c>
      <c r="B33">
        <f ca="1">VLOOKUP(EOMONTH(A33,-1)+1,Tullet!$A$4:$D$23,2,0)</f>
        <v>379.5</v>
      </c>
      <c r="C33">
        <f ca="1">VLOOKUP(EOMONTH(A33,0)+1,Tullet!$E$60:$I$79,4,0)</f>
        <v>389.75</v>
      </c>
      <c r="D33">
        <f ca="1">C33-B33</f>
        <v>10.25</v>
      </c>
      <c r="E33" s="433">
        <f ca="1">VLOOKUP(DATE(YEAR(A33), MONTH(A33), 1), 'Tullet US'!$A$24:$C$32, 3, FALSE)*6.35</f>
        <v>359.72750000000002</v>
      </c>
      <c r="F33" s="433">
        <f t="shared" ca="1" si="0"/>
        <v>-19.77249999999998</v>
      </c>
      <c r="I33" s="513"/>
      <c r="J33" s="515"/>
      <c r="K33" s="5" t="s">
        <v>106</v>
      </c>
      <c r="L33" s="113">
        <f ca="1">'Loading Arrival'!B35</f>
        <v>45923</v>
      </c>
    </row>
    <row r="34" spans="1:12" ht="15.75" thickBot="1" x14ac:dyDescent="0.3">
      <c r="A34" s="2">
        <f t="shared" ca="1" si="1"/>
        <v>45947</v>
      </c>
      <c r="B34">
        <f ca="1">VLOOKUP(EOMONTH(A34,-1)+1,Tullet!$A$4:$D$23,2,0)</f>
        <v>379.5</v>
      </c>
      <c r="C34">
        <f ca="1">VLOOKUP(EOMONTH(A34,0)+1,Tullet!$E$60:$I$79,4,0)</f>
        <v>389.75</v>
      </c>
      <c r="D34">
        <f t="shared" ref="D34:D49" ca="1" si="3">C34-B34</f>
        <v>10.25</v>
      </c>
      <c r="E34" s="433">
        <f ca="1">VLOOKUP(DATE(YEAR(A34), MONTH(A34), 1), 'Tullet US'!$A$24:$C$32, 3, FALSE)*6.35</f>
        <v>359.72750000000002</v>
      </c>
      <c r="F34" s="433">
        <f t="shared" ca="1" si="0"/>
        <v>-19.77249999999998</v>
      </c>
      <c r="I34" s="513"/>
      <c r="J34" s="515"/>
      <c r="K34" s="118" t="s">
        <v>107</v>
      </c>
      <c r="L34" s="119">
        <f ca="1">SUMPRODUCT(--($A$2:$A$66&gt;=L32),--($A$2:$A$66&lt;=L33),$D$2:$D$66)/SUMPRODUCT(--($A$2:$A$66&gt;=L32),--($A$2:$A$66&lt;=L33))</f>
        <v>10</v>
      </c>
    </row>
    <row r="35" spans="1:12" x14ac:dyDescent="0.25">
      <c r="A35" s="2">
        <f t="shared" ca="1" si="1"/>
        <v>45950</v>
      </c>
      <c r="B35">
        <f ca="1">VLOOKUP(EOMONTH(A35,-1)+1,Tullet!$A$4:$D$23,2,0)</f>
        <v>379.5</v>
      </c>
      <c r="C35">
        <f ca="1">VLOOKUP(EOMONTH(A35,0)+1,Tullet!$E$60:$I$79,4,0)</f>
        <v>389.75</v>
      </c>
      <c r="D35">
        <f t="shared" ca="1" si="3"/>
        <v>10.25</v>
      </c>
      <c r="E35" s="433">
        <f ca="1">VLOOKUP(DATE(YEAR(A35), MONTH(A35), 1), 'Tullet US'!$A$24:$C$32, 3, FALSE)*6.35</f>
        <v>359.72750000000002</v>
      </c>
      <c r="F35" s="433">
        <f t="shared" ca="1" si="0"/>
        <v>-19.77249999999998</v>
      </c>
      <c r="I35" s="513"/>
      <c r="J35" s="515"/>
      <c r="K35" s="3" t="s">
        <v>108</v>
      </c>
      <c r="L35" s="116">
        <f ca="1">'Loading Arrival'!C29</f>
        <v>45917</v>
      </c>
    </row>
    <row r="36" spans="1:12" x14ac:dyDescent="0.25">
      <c r="A36" s="2">
        <f t="shared" ca="1" si="1"/>
        <v>45951</v>
      </c>
      <c r="B36">
        <f ca="1">VLOOKUP(EOMONTH(A36,-1)+1,Tullet!$A$4:$D$23,2,0)</f>
        <v>379.5</v>
      </c>
      <c r="C36">
        <f ca="1">VLOOKUP(EOMONTH(A36,0)+1,Tullet!$E$60:$I$79,4,0)</f>
        <v>389.75</v>
      </c>
      <c r="D36">
        <f t="shared" ca="1" si="3"/>
        <v>10.25</v>
      </c>
      <c r="E36" s="433">
        <f ca="1">VLOOKUP(DATE(YEAR(A36), MONTH(A36), 1), 'Tullet US'!$A$24:$C$32, 3, FALSE)*6.35</f>
        <v>359.72750000000002</v>
      </c>
      <c r="F36" s="433">
        <f t="shared" ca="1" si="0"/>
        <v>-19.77249999999998</v>
      </c>
      <c r="I36" s="513"/>
      <c r="J36" s="515"/>
      <c r="K36" s="5" t="s">
        <v>106</v>
      </c>
      <c r="L36" s="117">
        <f ca="1">'Loading Arrival'!C35</f>
        <v>45937</v>
      </c>
    </row>
    <row r="37" spans="1:12" ht="15.75" thickBot="1" x14ac:dyDescent="0.3">
      <c r="A37" s="2">
        <f t="shared" ca="1" si="1"/>
        <v>45952</v>
      </c>
      <c r="B37">
        <f ca="1">VLOOKUP(EOMONTH(A37,-1)+1,Tullet!$A$4:$D$23,2,0)</f>
        <v>379.5</v>
      </c>
      <c r="C37">
        <f ca="1">VLOOKUP(EOMONTH(A37,0)+1,Tullet!$E$60:$I$79,4,0)</f>
        <v>389.75</v>
      </c>
      <c r="D37">
        <f t="shared" ca="1" si="3"/>
        <v>10.25</v>
      </c>
      <c r="E37" s="433">
        <f ca="1">VLOOKUP(DATE(YEAR(A37), MONTH(A37), 1), 'Tullet US'!$A$24:$C$32, 3, FALSE)*6.35</f>
        <v>359.72750000000002</v>
      </c>
      <c r="F37" s="433">
        <f t="shared" ca="1" si="0"/>
        <v>-19.77249999999998</v>
      </c>
      <c r="I37" s="513"/>
      <c r="J37" s="515"/>
      <c r="K37" s="114" t="s">
        <v>107</v>
      </c>
      <c r="L37" s="115">
        <f ca="1">SUMPRODUCT(--($A$2:$A$66&gt;=L35),--($A$2:$A$66&lt;=L36),$D$2:$D$66)/SUMPRODUCT(--($A$2:$A$66&gt;=L35),--($A$2:$A$66&lt;=L36))</f>
        <v>10.083333333333334</v>
      </c>
    </row>
    <row r="38" spans="1:12" x14ac:dyDescent="0.25">
      <c r="A38" s="2">
        <f ca="1">WORKDAY(A37,1)</f>
        <v>45953</v>
      </c>
      <c r="B38">
        <f ca="1">VLOOKUP(EOMONTH(A38,-1)+1,Tullet!$A$4:$D$23,2,0)</f>
        <v>379.5</v>
      </c>
      <c r="C38">
        <f ca="1">VLOOKUP(EOMONTH(A38,0)+1,Tullet!$E$60:$I$79,4,0)</f>
        <v>389.75</v>
      </c>
      <c r="D38">
        <f t="shared" ca="1" si="3"/>
        <v>10.25</v>
      </c>
      <c r="E38" s="433">
        <f ca="1">VLOOKUP(DATE(YEAR(A38), MONTH(A38), 1), 'Tullet US'!$A$24:$C$32, 3, FALSE)*6.35</f>
        <v>359.72750000000002</v>
      </c>
      <c r="F38" s="433">
        <f t="shared" ca="1" si="0"/>
        <v>-19.77249999999998</v>
      </c>
      <c r="I38" s="513"/>
      <c r="J38" s="515"/>
      <c r="K38" s="5" t="s">
        <v>109</v>
      </c>
      <c r="L38" s="117">
        <f ca="1">'Loading Arrival'!D29</f>
        <v>45931</v>
      </c>
    </row>
    <row r="39" spans="1:12" x14ac:dyDescent="0.25">
      <c r="A39" s="2">
        <f t="shared" ca="1" si="1"/>
        <v>45954</v>
      </c>
      <c r="B39">
        <f ca="1">VLOOKUP(EOMONTH(A39,-1)+1,Tullet!$A$4:$D$23,2,0)</f>
        <v>379.5</v>
      </c>
      <c r="C39">
        <f ca="1">VLOOKUP(EOMONTH(A39,0)+1,Tullet!$E$60:$I$79,4,0)</f>
        <v>389.75</v>
      </c>
      <c r="D39">
        <f t="shared" ca="1" si="3"/>
        <v>10.25</v>
      </c>
      <c r="E39" s="433">
        <f ca="1">VLOOKUP(DATE(YEAR(A39), MONTH(A39), 1), 'Tullet US'!$A$24:$C$32, 3, FALSE)*6.35</f>
        <v>359.72750000000002</v>
      </c>
      <c r="F39" s="433">
        <f t="shared" ca="1" si="0"/>
        <v>-19.77249999999998</v>
      </c>
      <c r="I39" s="513"/>
      <c r="J39" s="515"/>
      <c r="K39" s="5" t="s">
        <v>106</v>
      </c>
      <c r="L39" s="117">
        <f ca="1">'Loading Arrival'!D35</f>
        <v>45951</v>
      </c>
    </row>
    <row r="40" spans="1:12" ht="15.75" thickBot="1" x14ac:dyDescent="0.3">
      <c r="A40" s="2">
        <f t="shared" ca="1" si="1"/>
        <v>45957</v>
      </c>
      <c r="B40">
        <f ca="1">VLOOKUP(EOMONTH(A40,-1)+1,Tullet!$A$4:$D$23,2,0)</f>
        <v>379.5</v>
      </c>
      <c r="C40">
        <f ca="1">VLOOKUP(EOMONTH(A40,0)+1,Tullet!$E$60:$I$79,4,0)</f>
        <v>389.75</v>
      </c>
      <c r="D40">
        <f t="shared" ca="1" si="3"/>
        <v>10.25</v>
      </c>
      <c r="E40" s="433">
        <f ca="1">VLOOKUP(DATE(YEAR(A40), MONTH(A40), 1), 'Tullet US'!$A$24:$C$32, 3, FALSE)*6.35</f>
        <v>359.72750000000002</v>
      </c>
      <c r="F40" s="433">
        <f t="shared" ca="1" si="0"/>
        <v>-19.77249999999998</v>
      </c>
      <c r="I40" s="513"/>
      <c r="J40" s="516"/>
      <c r="K40" s="114" t="s">
        <v>107</v>
      </c>
      <c r="L40" s="115">
        <f ca="1">SUMPRODUCT(--($A$2:$A$66&gt;=L38),--($A$2:$A$66&lt;=L39),$D$2:$D$66)/SUMPRODUCT(--($A$2:$A$66&gt;=L38),--($A$2:$A$66&lt;=L39))</f>
        <v>10.25</v>
      </c>
    </row>
    <row r="41" spans="1:12" ht="15.75" thickBot="1" x14ac:dyDescent="0.3">
      <c r="A41" s="2">
        <f t="shared" ca="1" si="1"/>
        <v>45958</v>
      </c>
      <c r="B41">
        <f ca="1">VLOOKUP(EOMONTH(A41,-1)+1,Tullet!$A$4:$D$23,2,0)</f>
        <v>379.5</v>
      </c>
      <c r="C41">
        <f ca="1">VLOOKUP(EOMONTH(A41,0)+1,Tullet!$E$60:$I$79,4,0)</f>
        <v>389.75</v>
      </c>
      <c r="D41">
        <f t="shared" ca="1" si="3"/>
        <v>10.25</v>
      </c>
      <c r="E41" s="433">
        <f ca="1">VLOOKUP(DATE(YEAR(A41), MONTH(A41), 1), 'Tullet US'!$A$24:$C$32, 3, FALSE)*6.35</f>
        <v>359.72750000000002</v>
      </c>
      <c r="F41" s="433">
        <f t="shared" ca="1" si="0"/>
        <v>-19.77249999999998</v>
      </c>
    </row>
    <row r="42" spans="1:12" x14ac:dyDescent="0.25">
      <c r="A42" s="2">
        <f t="shared" ca="1" si="1"/>
        <v>45959</v>
      </c>
      <c r="B42">
        <f ca="1">VLOOKUP(EOMONTH(A42,-1)+1,Tullet!$A$4:$D$23,2,0)</f>
        <v>379.5</v>
      </c>
      <c r="C42">
        <f ca="1">VLOOKUP(EOMONTH(A42,0)+1,Tullet!$E$60:$I$79,4,0)</f>
        <v>389.75</v>
      </c>
      <c r="D42">
        <f t="shared" ca="1" si="3"/>
        <v>10.25</v>
      </c>
      <c r="E42" s="433">
        <f ca="1">VLOOKUP(DATE(YEAR(A42), MONTH(A42), 1), 'Tullet US'!$A$24:$C$32, 3, FALSE)*6.35</f>
        <v>359.72750000000002</v>
      </c>
      <c r="F42" s="433">
        <f t="shared" ca="1" si="0"/>
        <v>-19.77249999999998</v>
      </c>
      <c r="I42" s="513" t="s">
        <v>114</v>
      </c>
      <c r="J42" s="514" t="s">
        <v>110</v>
      </c>
      <c r="K42" s="3" t="s">
        <v>105</v>
      </c>
      <c r="L42" s="112">
        <f ca="1">'Loading Arrival'!B38</f>
        <v>45903</v>
      </c>
    </row>
    <row r="43" spans="1:12" x14ac:dyDescent="0.25">
      <c r="A43" s="2">
        <f t="shared" ca="1" si="1"/>
        <v>45960</v>
      </c>
      <c r="B43">
        <f ca="1">VLOOKUP(EOMONTH(A43,-1)+1,Tullet!$A$4:$D$23,2,0)</f>
        <v>379.5</v>
      </c>
      <c r="C43">
        <f ca="1">VLOOKUP(EOMONTH(A43,0)+1,Tullet!$E$60:$I$79,4,0)</f>
        <v>389.75</v>
      </c>
      <c r="D43">
        <f t="shared" ca="1" si="3"/>
        <v>10.25</v>
      </c>
      <c r="E43" s="433">
        <f ca="1">VLOOKUP(DATE(YEAR(A43), MONTH(A43), 1), 'Tullet US'!$A$24:$C$32, 3, FALSE)*6.35</f>
        <v>359.72750000000002</v>
      </c>
      <c r="F43" s="433">
        <f t="shared" ca="1" si="0"/>
        <v>-19.77249999999998</v>
      </c>
      <c r="I43" s="513"/>
      <c r="J43" s="515"/>
      <c r="K43" s="5" t="s">
        <v>106</v>
      </c>
      <c r="L43" s="113">
        <f ca="1">'Loading Arrival'!B44</f>
        <v>45915</v>
      </c>
    </row>
    <row r="44" spans="1:12" ht="15.75" thickBot="1" x14ac:dyDescent="0.3">
      <c r="A44" s="2">
        <f t="shared" ca="1" si="1"/>
        <v>45961</v>
      </c>
      <c r="B44">
        <f ca="1">VLOOKUP(EOMONTH(A44,-1)+1,Tullet!$A$4:$D$23,2,0)</f>
        <v>379.5</v>
      </c>
      <c r="C44">
        <f ca="1">VLOOKUP(EOMONTH(A44,0)+1,Tullet!$E$60:$I$79,4,0)</f>
        <v>389.75</v>
      </c>
      <c r="D44">
        <f t="shared" ca="1" si="3"/>
        <v>10.25</v>
      </c>
      <c r="E44" s="433">
        <f ca="1">VLOOKUP(DATE(YEAR(A44), MONTH(A44), 1), 'Tullet US'!$A$24:$C$32, 3, FALSE)*6.35</f>
        <v>359.72750000000002</v>
      </c>
      <c r="F44" s="433">
        <f t="shared" ca="1" si="0"/>
        <v>-19.77249999999998</v>
      </c>
      <c r="I44" s="513"/>
      <c r="J44" s="515"/>
      <c r="K44" s="118" t="s">
        <v>107</v>
      </c>
      <c r="L44" s="119">
        <f ca="1">SUMPRODUCT(--($A$2:$A$66&gt;=L42),--($A$2:$A$66&lt;=L43),$D$2:$D$66)/SUMPRODUCT(--($A$2:$A$66&gt;=L42),--($A$2:$A$66&lt;=L43))</f>
        <v>10</v>
      </c>
    </row>
    <row r="45" spans="1:12" x14ac:dyDescent="0.25">
      <c r="A45" s="2">
        <f t="shared" ca="1" si="1"/>
        <v>45964</v>
      </c>
      <c r="B45">
        <f ca="1">VLOOKUP(EOMONTH(A45,-1)+1,Tullet!$A$4:$D$23,2,0)</f>
        <v>375.25</v>
      </c>
      <c r="C45">
        <f ca="1">VLOOKUP(EOMONTH(A45,0)+1,Tullet!$E$60:$I$79,4,0)</f>
        <v>386.75</v>
      </c>
      <c r="D45">
        <f t="shared" ca="1" si="3"/>
        <v>11.5</v>
      </c>
      <c r="E45" s="433">
        <f ca="1">VLOOKUP(DATE(YEAR(A45), MONTH(A45), 1), 'Tullet US'!$A$24:$C$32, 3, FALSE)*6.35</f>
        <v>355.6</v>
      </c>
      <c r="F45" s="433">
        <f t="shared" ca="1" si="0"/>
        <v>-19.649999999999977</v>
      </c>
      <c r="I45" s="513"/>
      <c r="J45" s="515"/>
      <c r="K45" s="3" t="s">
        <v>108</v>
      </c>
      <c r="L45" s="116">
        <f ca="1">'Loading Arrival'!C38</f>
        <v>45917</v>
      </c>
    </row>
    <row r="46" spans="1:12" x14ac:dyDescent="0.25">
      <c r="A46" s="2">
        <f t="shared" ca="1" si="1"/>
        <v>45965</v>
      </c>
      <c r="B46">
        <f ca="1">VLOOKUP(EOMONTH(A46,-1)+1,Tullet!$A$4:$D$23,2,0)</f>
        <v>375.25</v>
      </c>
      <c r="C46">
        <f ca="1">VLOOKUP(EOMONTH(A46,0)+1,Tullet!$E$60:$I$79,4,0)</f>
        <v>386.75</v>
      </c>
      <c r="D46">
        <f t="shared" ca="1" si="3"/>
        <v>11.5</v>
      </c>
      <c r="E46" s="433">
        <f ca="1">VLOOKUP(DATE(YEAR(A46), MONTH(A46), 1), 'Tullet US'!$A$24:$C$32, 3, FALSE)*6.35</f>
        <v>355.6</v>
      </c>
      <c r="F46" s="433">
        <f t="shared" ca="1" si="0"/>
        <v>-19.649999999999977</v>
      </c>
      <c r="I46" s="513"/>
      <c r="J46" s="515"/>
      <c r="K46" s="5" t="s">
        <v>106</v>
      </c>
      <c r="L46" s="117">
        <f ca="1">'Loading Arrival'!C44</f>
        <v>45929</v>
      </c>
    </row>
    <row r="47" spans="1:12" ht="15.75" thickBot="1" x14ac:dyDescent="0.3">
      <c r="A47" s="2">
        <f t="shared" ca="1" si="1"/>
        <v>45966</v>
      </c>
      <c r="B47">
        <f ca="1">VLOOKUP(EOMONTH(A47,-1)+1,Tullet!$A$4:$D$23,2,0)</f>
        <v>375.25</v>
      </c>
      <c r="C47">
        <f ca="1">VLOOKUP(EOMONTH(A47,0)+1,Tullet!$E$60:$I$79,4,0)</f>
        <v>386.75</v>
      </c>
      <c r="D47">
        <f t="shared" ca="1" si="3"/>
        <v>11.5</v>
      </c>
      <c r="E47" s="433">
        <f ca="1">VLOOKUP(DATE(YEAR(A47), MONTH(A47), 1), 'Tullet US'!$A$24:$C$32, 3, FALSE)*6.35</f>
        <v>355.6</v>
      </c>
      <c r="F47" s="433">
        <f t="shared" ca="1" si="0"/>
        <v>-19.649999999999977</v>
      </c>
      <c r="I47" s="513"/>
      <c r="J47" s="515"/>
      <c r="K47" s="114" t="s">
        <v>107</v>
      </c>
      <c r="L47" s="115" cm="1">
        <f t="array" aca="1" ref="L47" ca="1">SUMPRODUCT(--($A$2:$A$66&gt;=L45),--($A$2:$A$66&lt;=L46),$D$2:$D$66)/SUMPRODUCT(--($A$2:$A$66&gt;=L45),--($A$2:$A$66&lt;=L46))</f>
        <v>10</v>
      </c>
    </row>
    <row r="48" spans="1:12" x14ac:dyDescent="0.25">
      <c r="A48" s="2">
        <f t="shared" ca="1" si="1"/>
        <v>45967</v>
      </c>
      <c r="B48">
        <f ca="1">VLOOKUP(EOMONTH(A48,-1)+1,Tullet!$A$4:$D$23,2,0)</f>
        <v>375.25</v>
      </c>
      <c r="C48">
        <f ca="1">VLOOKUP(EOMONTH(A48,0)+1,Tullet!$E$60:$I$79,4,0)</f>
        <v>386.75</v>
      </c>
      <c r="D48">
        <f t="shared" ca="1" si="3"/>
        <v>11.5</v>
      </c>
      <c r="E48" s="433">
        <f ca="1">VLOOKUP(DATE(YEAR(A48), MONTH(A48), 1), 'Tullet US'!$A$24:$C$32, 3, FALSE)*6.35</f>
        <v>355.6</v>
      </c>
      <c r="F48" s="433">
        <f t="shared" ca="1" si="0"/>
        <v>-19.649999999999977</v>
      </c>
      <c r="I48" s="513"/>
      <c r="J48" s="515"/>
      <c r="K48" s="5" t="s">
        <v>109</v>
      </c>
      <c r="L48" s="117">
        <f ca="1">'Loading Arrival'!D38</f>
        <v>45931</v>
      </c>
    </row>
    <row r="49" spans="1:12" x14ac:dyDescent="0.25">
      <c r="A49" s="2">
        <f t="shared" ca="1" si="1"/>
        <v>45968</v>
      </c>
      <c r="B49">
        <f ca="1">VLOOKUP(EOMONTH(A49,-1)+1,Tullet!$A$4:$D$23,2,0)</f>
        <v>375.25</v>
      </c>
      <c r="C49">
        <f ca="1">VLOOKUP(EOMONTH(A49,0)+1,Tullet!$E$60:$I$79,4,0)</f>
        <v>386.75</v>
      </c>
      <c r="D49">
        <f t="shared" ca="1" si="3"/>
        <v>11.5</v>
      </c>
      <c r="E49" s="433">
        <f ca="1">VLOOKUP(DATE(YEAR(A49), MONTH(A49), 1), 'Tullet US'!$A$24:$C$32, 3, FALSE)*6.35</f>
        <v>355.6</v>
      </c>
      <c r="F49" s="433">
        <f t="shared" ca="1" si="0"/>
        <v>-19.649999999999977</v>
      </c>
      <c r="I49" s="513"/>
      <c r="J49" s="515"/>
      <c r="K49" s="5" t="s">
        <v>106</v>
      </c>
      <c r="L49" s="117">
        <f ca="1">'Loading Arrival'!D44</f>
        <v>45943</v>
      </c>
    </row>
    <row r="50" spans="1:12" ht="15.75" thickBot="1" x14ac:dyDescent="0.3">
      <c r="A50" s="2">
        <f t="shared" ca="1" si="1"/>
        <v>45971</v>
      </c>
      <c r="B50">
        <f ca="1">VLOOKUP(EOMONTH(A50,-1)+1,Tullet!$A$4:$D$23,2,0)</f>
        <v>375.25</v>
      </c>
      <c r="C50">
        <f ca="1">VLOOKUP(EOMONTH(A50,0)+1,Tullet!$E$60:$I$79,4,0)</f>
        <v>386.75</v>
      </c>
      <c r="D50">
        <f t="shared" ca="1" si="2"/>
        <v>11.5</v>
      </c>
      <c r="E50" s="433">
        <f ca="1">VLOOKUP(DATE(YEAR(A50), MONTH(A50), 1), 'Tullet US'!$A$24:$C$32, 3, FALSE)*6.35</f>
        <v>355.6</v>
      </c>
      <c r="F50" s="433">
        <f t="shared" ca="1" si="0"/>
        <v>-19.649999999999977</v>
      </c>
      <c r="I50" s="513"/>
      <c r="J50" s="516"/>
      <c r="K50" s="114" t="s">
        <v>107</v>
      </c>
      <c r="L50" s="115">
        <f ca="1">SUMPRODUCT(--($A$2:$A$66&gt;=L48),--($A$2:$A$66&lt;=L49),$D$2:$D$66)/SUMPRODUCT(--($A$2:$A$66&gt;=L48),--($A$2:$A$66&lt;=L49))</f>
        <v>10.25</v>
      </c>
    </row>
    <row r="51" spans="1:12" ht="15.75" thickBot="1" x14ac:dyDescent="0.3">
      <c r="A51" s="2">
        <f t="shared" ca="1" si="1"/>
        <v>45972</v>
      </c>
      <c r="B51">
        <f ca="1">VLOOKUP(EOMONTH(A51,-1)+1,Tullet!$A$4:$D$23,2,0)</f>
        <v>375.25</v>
      </c>
      <c r="C51">
        <f ca="1">VLOOKUP(EOMONTH(A51,0)+1,Tullet!$E$60:$I$79,4,0)</f>
        <v>386.75</v>
      </c>
      <c r="D51">
        <f t="shared" ca="1" si="2"/>
        <v>11.5</v>
      </c>
      <c r="E51" s="433">
        <f ca="1">VLOOKUP(DATE(YEAR(A51), MONTH(A51), 1), 'Tullet US'!$A$24:$C$32, 3, FALSE)*6.35</f>
        <v>355.6</v>
      </c>
      <c r="F51" s="433">
        <f t="shared" ca="1" si="0"/>
        <v>-19.649999999999977</v>
      </c>
    </row>
    <row r="52" spans="1:12" x14ac:dyDescent="0.25">
      <c r="A52" s="2">
        <f t="shared" ca="1" si="1"/>
        <v>45973</v>
      </c>
      <c r="B52">
        <f ca="1">VLOOKUP(EOMONTH(A52,-1)+1,Tullet!$A$4:$D$23,2,0)</f>
        <v>375.25</v>
      </c>
      <c r="C52">
        <f ca="1">VLOOKUP(EOMONTH(A52,0)+1,Tullet!$E$60:$I$79,4,0)</f>
        <v>386.75</v>
      </c>
      <c r="D52">
        <f t="shared" ca="1" si="2"/>
        <v>11.5</v>
      </c>
      <c r="E52" s="433">
        <f ca="1">VLOOKUP(DATE(YEAR(A52), MONTH(A52), 1), 'Tullet US'!$A$24:$C$32, 3, FALSE)*6.35</f>
        <v>355.6</v>
      </c>
      <c r="F52" s="433">
        <f t="shared" ca="1" si="0"/>
        <v>-19.649999999999977</v>
      </c>
      <c r="I52" s="513" t="s">
        <v>222</v>
      </c>
      <c r="J52" s="514" t="s">
        <v>110</v>
      </c>
      <c r="K52" s="3" t="s">
        <v>105</v>
      </c>
      <c r="L52" s="112">
        <f ca="1">'Loading Arrival'!G3</f>
        <v>45903</v>
      </c>
    </row>
    <row r="53" spans="1:12" x14ac:dyDescent="0.25">
      <c r="A53" s="2">
        <f t="shared" ca="1" si="1"/>
        <v>45974</v>
      </c>
      <c r="B53">
        <f ca="1">VLOOKUP(EOMONTH(A53,-1)+1,Tullet!$A$4:$D$23,2,0)</f>
        <v>375.25</v>
      </c>
      <c r="C53">
        <f ca="1">VLOOKUP(EOMONTH(A53,0)+1,Tullet!$E$60:$I$79,4,0)</f>
        <v>386.75</v>
      </c>
      <c r="D53">
        <f t="shared" ca="1" si="2"/>
        <v>11.5</v>
      </c>
      <c r="E53" s="433">
        <f ca="1">VLOOKUP(DATE(YEAR(A53), MONTH(A53), 1), 'Tullet US'!$A$24:$C$32, 3, FALSE)*6.35</f>
        <v>355.6</v>
      </c>
      <c r="F53" s="433">
        <f t="shared" ca="1" si="0"/>
        <v>-19.649999999999977</v>
      </c>
      <c r="I53" s="513"/>
      <c r="J53" s="515"/>
      <c r="K53" s="5" t="s">
        <v>106</v>
      </c>
      <c r="L53" s="113">
        <f ca="1">'Loading Arrival'!G9</f>
        <v>45918</v>
      </c>
    </row>
    <row r="54" spans="1:12" ht="15.75" thickBot="1" x14ac:dyDescent="0.3">
      <c r="A54" s="2">
        <f t="shared" ca="1" si="1"/>
        <v>45975</v>
      </c>
      <c r="B54">
        <f ca="1">VLOOKUP(EOMONTH(A54,-1)+1,Tullet!$A$4:$D$23,2,0)</f>
        <v>375.25</v>
      </c>
      <c r="C54">
        <f ca="1">VLOOKUP(EOMONTH(A54,0)+1,Tullet!$E$60:$I$79,4,0)</f>
        <v>386.75</v>
      </c>
      <c r="D54">
        <f t="shared" ca="1" si="2"/>
        <v>11.5</v>
      </c>
      <c r="E54" s="433">
        <f ca="1">VLOOKUP(DATE(YEAR(A54), MONTH(A54), 1), 'Tullet US'!$A$24:$C$32, 3, FALSE)*6.35</f>
        <v>355.6</v>
      </c>
      <c r="F54" s="433">
        <f t="shared" ca="1" si="0"/>
        <v>-19.649999999999977</v>
      </c>
      <c r="I54" s="513"/>
      <c r="J54" s="515"/>
      <c r="K54" s="118" t="s">
        <v>107</v>
      </c>
      <c r="L54" s="119" cm="1">
        <f t="array" aca="1" ref="L54" ca="1">SUMPRODUCT(--($A$2:$A$66&gt;=L52),--($A$2:$A$66&lt;=L53),$F$2:$F$66)/SUMPRODUCT(--($A$2:$A$66&gt;=L52),--($A$2:$A$66&lt;=L53))</f>
        <v>-16.537499999999966</v>
      </c>
    </row>
    <row r="55" spans="1:12" x14ac:dyDescent="0.25">
      <c r="A55" s="2">
        <f t="shared" ca="1" si="1"/>
        <v>45978</v>
      </c>
      <c r="B55">
        <f ca="1">VLOOKUP(EOMONTH(A55,-1)+1,Tullet!$A$4:$D$23,2,0)</f>
        <v>375.25</v>
      </c>
      <c r="C55">
        <f ca="1">VLOOKUP(EOMONTH(A55,0)+1,Tullet!$E$60:$I$79,4,0)</f>
        <v>386.75</v>
      </c>
      <c r="D55">
        <f t="shared" ca="1" si="2"/>
        <v>11.5</v>
      </c>
      <c r="E55" s="433">
        <f ca="1">VLOOKUP(DATE(YEAR(A55), MONTH(A55), 1), 'Tullet US'!$A$24:$C$32, 3, FALSE)*6.35</f>
        <v>355.6</v>
      </c>
      <c r="F55" s="433">
        <f t="shared" ca="1" si="0"/>
        <v>-19.649999999999977</v>
      </c>
      <c r="I55" s="513"/>
      <c r="J55" s="515"/>
      <c r="K55" s="3" t="s">
        <v>108</v>
      </c>
      <c r="L55" s="116">
        <f ca="1">'Loading Arrival'!H3</f>
        <v>45917</v>
      </c>
    </row>
    <row r="56" spans="1:12" x14ac:dyDescent="0.25">
      <c r="A56" s="2">
        <f t="shared" ca="1" si="1"/>
        <v>45979</v>
      </c>
      <c r="B56">
        <f ca="1">VLOOKUP(EOMONTH(A56,-1)+1,Tullet!$A$4:$D$23,2,0)</f>
        <v>375.25</v>
      </c>
      <c r="C56">
        <f ca="1">VLOOKUP(EOMONTH(A56,0)+1,Tullet!$E$60:$I$79,4,0)</f>
        <v>386.75</v>
      </c>
      <c r="D56">
        <f t="shared" ca="1" si="2"/>
        <v>11.5</v>
      </c>
      <c r="E56" s="433">
        <f ca="1">VLOOKUP(DATE(YEAR(A56), MONTH(A56), 1), 'Tullet US'!$A$24:$C$32, 3, FALSE)*6.35</f>
        <v>355.6</v>
      </c>
      <c r="F56" s="433">
        <f t="shared" ca="1" si="0"/>
        <v>-19.649999999999977</v>
      </c>
      <c r="I56" s="513"/>
      <c r="J56" s="515"/>
      <c r="K56" s="5" t="s">
        <v>106</v>
      </c>
      <c r="L56" s="117">
        <f ca="1">'Loading Arrival'!H9</f>
        <v>45932</v>
      </c>
    </row>
    <row r="57" spans="1:12" ht="15.75" thickBot="1" x14ac:dyDescent="0.3">
      <c r="A57" s="2">
        <f t="shared" ca="1" si="1"/>
        <v>45980</v>
      </c>
      <c r="B57">
        <f ca="1">VLOOKUP(EOMONTH(A57,-1)+1,Tullet!$A$4:$D$23,2,0)</f>
        <v>375.25</v>
      </c>
      <c r="C57">
        <f ca="1">VLOOKUP(EOMONTH(A57,0)+1,Tullet!$E$60:$I$79,4,0)</f>
        <v>386.75</v>
      </c>
      <c r="D57">
        <f t="shared" ca="1" si="2"/>
        <v>11.5</v>
      </c>
      <c r="E57" s="433">
        <f ca="1">VLOOKUP(DATE(YEAR(A57), MONTH(A57), 1), 'Tullet US'!$A$24:$C$32, 3, FALSE)*6.35</f>
        <v>355.6</v>
      </c>
      <c r="F57" s="433">
        <f t="shared" ca="1" si="0"/>
        <v>-19.649999999999977</v>
      </c>
      <c r="I57" s="513"/>
      <c r="J57" s="515"/>
      <c r="K57" s="114" t="s">
        <v>107</v>
      </c>
      <c r="L57" s="115" cm="1">
        <f t="array" aca="1" ref="L57" ca="1">SUMPRODUCT(--($A$2:$A$66&gt;=L55),--($A$2:$A$66&lt;=L56),$F$2:$F$66)/SUMPRODUCT(--($A$2:$A$66&gt;=L55),--($A$2:$A$66&lt;=L56))</f>
        <v>-17.076666666666636</v>
      </c>
    </row>
    <row r="58" spans="1:12" x14ac:dyDescent="0.25">
      <c r="A58" s="2">
        <f t="shared" ca="1" si="1"/>
        <v>45981</v>
      </c>
      <c r="B58">
        <f ca="1">VLOOKUP(EOMONTH(A58,-1)+1,Tullet!$A$4:$D$23,2,0)</f>
        <v>375.25</v>
      </c>
      <c r="C58">
        <f ca="1">VLOOKUP(EOMONTH(A58,0)+1,Tullet!$E$60:$I$79,4,0)</f>
        <v>386.75</v>
      </c>
      <c r="D58">
        <f t="shared" ca="1" si="2"/>
        <v>11.5</v>
      </c>
      <c r="E58" s="433">
        <f ca="1">VLOOKUP(DATE(YEAR(A58), MONTH(A58), 1), 'Tullet US'!$A$24:$C$32, 3, FALSE)*6.35</f>
        <v>355.6</v>
      </c>
      <c r="F58" s="433">
        <f t="shared" ca="1" si="0"/>
        <v>-19.649999999999977</v>
      </c>
      <c r="I58" s="513"/>
      <c r="J58" s="515"/>
      <c r="K58" s="5" t="s">
        <v>109</v>
      </c>
      <c r="L58" s="117">
        <f ca="1">'Loading Arrival'!I3</f>
        <v>45931</v>
      </c>
    </row>
    <row r="59" spans="1:12" x14ac:dyDescent="0.25">
      <c r="A59" s="2">
        <f t="shared" ca="1" si="1"/>
        <v>45982</v>
      </c>
      <c r="B59">
        <f ca="1">VLOOKUP(EOMONTH(A59,-1)+1,Tullet!$A$4:$D$23,2,0)</f>
        <v>375.25</v>
      </c>
      <c r="C59">
        <f ca="1">VLOOKUP(EOMONTH(A59,0)+1,Tullet!$E$60:$I$79,4,0)</f>
        <v>386.75</v>
      </c>
      <c r="D59">
        <f t="shared" ca="1" si="2"/>
        <v>11.5</v>
      </c>
      <c r="E59" s="433">
        <f ca="1">VLOOKUP(DATE(YEAR(A59), MONTH(A59), 1), 'Tullet US'!$A$24:$C$32, 3, FALSE)*6.35</f>
        <v>355.6</v>
      </c>
      <c r="F59" s="433">
        <f t="shared" ca="1" si="0"/>
        <v>-19.649999999999977</v>
      </c>
      <c r="I59" s="513"/>
      <c r="J59" s="515"/>
      <c r="K59" s="5" t="s">
        <v>106</v>
      </c>
      <c r="L59" s="117">
        <f ca="1">'Loading Arrival'!I9</f>
        <v>45946</v>
      </c>
    </row>
    <row r="60" spans="1:12" ht="15.75" thickBot="1" x14ac:dyDescent="0.3">
      <c r="A60" s="2">
        <f t="shared" ca="1" si="1"/>
        <v>45985</v>
      </c>
      <c r="B60">
        <f ca="1">VLOOKUP(EOMONTH(A60,-1)+1,Tullet!$A$4:$D$23,2,0)</f>
        <v>375.25</v>
      </c>
      <c r="C60">
        <f ca="1">VLOOKUP(EOMONTH(A60,0)+1,Tullet!$E$60:$I$79,4,0)</f>
        <v>386.75</v>
      </c>
      <c r="D60">
        <f t="shared" ca="1" si="2"/>
        <v>11.5</v>
      </c>
      <c r="E60" s="433">
        <f ca="1">VLOOKUP(DATE(YEAR(A60), MONTH(A60), 1), 'Tullet US'!$A$24:$C$32, 3, FALSE)*6.35</f>
        <v>355.6</v>
      </c>
      <c r="F60" s="433">
        <f t="shared" ca="1" si="0"/>
        <v>-19.649999999999977</v>
      </c>
      <c r="I60" s="513"/>
      <c r="J60" s="516"/>
      <c r="K60" s="114" t="s">
        <v>107</v>
      </c>
      <c r="L60" s="115" cm="1">
        <f t="array" aca="1" ref="L60" ca="1">SUMPRODUCT(--($A$2:$A$66&gt;=L58),--($A$2:$A$66&lt;=L59),$F$2:$F$66)/SUMPRODUCT(--($A$2:$A$66&gt;=L58),--($A$2:$A$66&lt;=L59))</f>
        <v>-19.77249999999998</v>
      </c>
    </row>
    <row r="61" spans="1:12" x14ac:dyDescent="0.25">
      <c r="A61" s="2">
        <f t="shared" ca="1" si="1"/>
        <v>45986</v>
      </c>
      <c r="B61">
        <f ca="1">VLOOKUP(EOMONTH(A61,-1)+1,Tullet!$A$4:$D$23,2,0)</f>
        <v>375.25</v>
      </c>
      <c r="C61">
        <f ca="1">VLOOKUP(EOMONTH(A61,0)+1,Tullet!$E$60:$I$79,4,0)</f>
        <v>386.75</v>
      </c>
      <c r="D61">
        <f t="shared" ca="1" si="2"/>
        <v>11.5</v>
      </c>
      <c r="E61" s="433">
        <f ca="1">VLOOKUP(DATE(YEAR(A61), MONTH(A61), 1), 'Tullet US'!$A$24:$C$32, 3, FALSE)*6.35</f>
        <v>355.6</v>
      </c>
      <c r="F61" s="433">
        <f t="shared" ca="1" si="0"/>
        <v>-19.649999999999977</v>
      </c>
    </row>
    <row r="62" spans="1:12" x14ac:dyDescent="0.25">
      <c r="A62" s="2">
        <f t="shared" ca="1" si="1"/>
        <v>45987</v>
      </c>
      <c r="B62">
        <f ca="1">VLOOKUP(EOMONTH(A62,-1)+1,Tullet!$A$4:$D$23,2,0)</f>
        <v>375.25</v>
      </c>
      <c r="C62">
        <f ca="1">VLOOKUP(EOMONTH(A62,0)+1,Tullet!$E$60:$I$79,4,0)</f>
        <v>386.75</v>
      </c>
      <c r="D62">
        <f t="shared" ca="1" si="2"/>
        <v>11.5</v>
      </c>
      <c r="E62" s="433">
        <f ca="1">VLOOKUP(DATE(YEAR(A62), MONTH(A62), 1), 'Tullet US'!$A$24:$C$32, 3, FALSE)*6.35</f>
        <v>355.6</v>
      </c>
      <c r="F62" s="433">
        <f t="shared" ca="1" si="0"/>
        <v>-19.649999999999977</v>
      </c>
    </row>
    <row r="63" spans="1:12" x14ac:dyDescent="0.25">
      <c r="A63" s="2">
        <f t="shared" ca="1" si="1"/>
        <v>45988</v>
      </c>
      <c r="B63">
        <f ca="1">VLOOKUP(EOMONTH(A63,-1)+1,Tullet!$A$4:$D$23,2,0)</f>
        <v>375.25</v>
      </c>
      <c r="C63">
        <f ca="1">VLOOKUP(EOMONTH(A63,0)+1,Tullet!$E$60:$I$79,4,0)</f>
        <v>386.75</v>
      </c>
      <c r="D63">
        <f t="shared" ca="1" si="2"/>
        <v>11.5</v>
      </c>
      <c r="E63" s="433">
        <f ca="1">VLOOKUP(DATE(YEAR(A63), MONTH(A63), 1), 'Tullet US'!$A$24:$C$32, 3, FALSE)*6.35</f>
        <v>355.6</v>
      </c>
      <c r="F63" s="433">
        <f t="shared" ca="1" si="0"/>
        <v>-19.649999999999977</v>
      </c>
    </row>
    <row r="64" spans="1:12" x14ac:dyDescent="0.25">
      <c r="A64" s="2">
        <f t="shared" ca="1" si="1"/>
        <v>45989</v>
      </c>
      <c r="B64">
        <f ca="1">VLOOKUP(EOMONTH(A64,-1)+1,Tullet!$A$4:$D$23,2,0)</f>
        <v>375.25</v>
      </c>
      <c r="C64">
        <f ca="1">VLOOKUP(EOMONTH(A64,0)+1,Tullet!$E$60:$I$79,4,0)</f>
        <v>386.75</v>
      </c>
      <c r="D64">
        <f t="shared" ca="1" si="2"/>
        <v>11.5</v>
      </c>
      <c r="E64" s="433">
        <f ca="1">VLOOKUP(DATE(YEAR(A64), MONTH(A64), 1), 'Tullet US'!$A$24:$C$32, 3, FALSE)*6.35</f>
        <v>355.6</v>
      </c>
      <c r="F64" s="433">
        <f t="shared" ca="1" si="0"/>
        <v>-19.649999999999977</v>
      </c>
    </row>
    <row r="65" spans="1:6" x14ac:dyDescent="0.25">
      <c r="A65" s="2">
        <f t="shared" ca="1" si="1"/>
        <v>45992</v>
      </c>
      <c r="B65">
        <f ca="1">VLOOKUP(EOMONTH(A65,-1)+1,Tullet!$A$4:$D$23,2,0)</f>
        <v>371.75</v>
      </c>
      <c r="C65">
        <f ca="1">VLOOKUP(EOMONTH(A65,0)+1,Tullet!$E$60:$I$79,4,0)</f>
        <v>385</v>
      </c>
      <c r="D65">
        <f t="shared" ca="1" si="2"/>
        <v>13.25</v>
      </c>
      <c r="E65" s="433">
        <f ca="1">VLOOKUP(DATE(YEAR(A65), MONTH(A65), 1), 'Tullet US'!$A$24:$C$32, 3, FALSE)*6.35</f>
        <v>353.06000000000006</v>
      </c>
      <c r="F65" s="433">
        <f t="shared" ca="1" si="0"/>
        <v>-18.689999999999941</v>
      </c>
    </row>
    <row r="66" spans="1:6" x14ac:dyDescent="0.25">
      <c r="A66" s="2">
        <f t="shared" ca="1" si="1"/>
        <v>45993</v>
      </c>
      <c r="B66">
        <f ca="1">VLOOKUP(EOMONTH(A66,-1)+1,Tullet!$A$4:$D$23,2,0)</f>
        <v>371.75</v>
      </c>
      <c r="C66">
        <f ca="1">VLOOKUP(EOMONTH(A66,0)+1,Tullet!$E$60:$I$79,4,0)</f>
        <v>385</v>
      </c>
      <c r="D66">
        <f t="shared" ca="1" si="2"/>
        <v>13.25</v>
      </c>
      <c r="E66" s="433">
        <f ca="1">VLOOKUP(DATE(YEAR(A66), MONTH(A66), 1), 'Tullet US'!$A$24:$C$32, 3, FALSE)*6.35</f>
        <v>353.06000000000006</v>
      </c>
      <c r="F66" s="433">
        <f t="shared" ca="1" si="0"/>
        <v>-18.689999999999941</v>
      </c>
    </row>
  </sheetData>
  <mergeCells count="11">
    <mergeCell ref="I52:I60"/>
    <mergeCell ref="J52:J60"/>
    <mergeCell ref="I42:I50"/>
    <mergeCell ref="J42:J50"/>
    <mergeCell ref="I2:I20"/>
    <mergeCell ref="J22:J30"/>
    <mergeCell ref="I22:I30"/>
    <mergeCell ref="I32:I40"/>
    <mergeCell ref="J32:J40"/>
    <mergeCell ref="J2:J10"/>
    <mergeCell ref="J12:J20"/>
  </mergeCells>
  <pageMargins left="0.7" right="0.7" top="0.75" bottom="0.75" header="0.3" footer="0.3"/>
  <customProperties>
    <customPr name="_pios_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Q66"/>
  <sheetViews>
    <sheetView workbookViewId="0">
      <selection activeCell="M9" sqref="M9"/>
    </sheetView>
  </sheetViews>
  <sheetFormatPr defaultRowHeight="15" x14ac:dyDescent="0.25"/>
  <cols>
    <col min="1" max="1" width="10.7109375" bestFit="1" customWidth="1"/>
    <col min="2" max="2" width="12" bestFit="1" customWidth="1"/>
    <col min="4" max="4" width="14.85546875" bestFit="1" customWidth="1"/>
    <col min="5" max="5" width="10.7109375" bestFit="1" customWidth="1"/>
    <col min="9" max="9" width="10.85546875" bestFit="1" customWidth="1"/>
    <col min="10" max="10" width="12" bestFit="1" customWidth="1"/>
    <col min="11" max="11" width="10.7109375" bestFit="1" customWidth="1"/>
    <col min="16" max="16" width="11" bestFit="1" customWidth="1"/>
  </cols>
  <sheetData>
    <row r="1" spans="1:17" ht="15.75" thickBot="1" x14ac:dyDescent="0.3">
      <c r="B1" t="s">
        <v>168</v>
      </c>
      <c r="C1" t="s">
        <v>167</v>
      </c>
      <c r="D1" t="s">
        <v>111</v>
      </c>
      <c r="E1" t="s">
        <v>225</v>
      </c>
    </row>
    <row r="2" spans="1:17" ht="15" customHeight="1" x14ac:dyDescent="0.25">
      <c r="A2" s="2">
        <f ca="1">'Loading Arrival'!B11</f>
        <v>45903</v>
      </c>
      <c r="B2">
        <f ca="1">VLOOKUP(EOMONTH(A2,-1)+1,Tullet!$N$4:$S$34,3,0)</f>
        <v>452.46492045454539</v>
      </c>
      <c r="C2">
        <f ca="1">VLOOKUP(EOMONTH(A2,0)+1,Tullet!$N$50:$S$83,3,0)</f>
        <v>481.12742045454542</v>
      </c>
      <c r="D2">
        <f ca="1">C2-B2</f>
        <v>28.662500000000023</v>
      </c>
      <c r="E2" s="433">
        <f ca="1">VLOOKUP(DATE(YEAR(A2), MONTH(A2), 1), 'Tullet US'!$V$24:$X$32, 3, FALSE)*6.35</f>
        <v>15.875</v>
      </c>
      <c r="H2" s="517" t="s">
        <v>52</v>
      </c>
      <c r="I2" s="518" t="s">
        <v>46</v>
      </c>
      <c r="J2" s="3" t="s">
        <v>105</v>
      </c>
      <c r="K2" s="112">
        <f ca="1">'Loading Arrival'!B3</f>
        <v>45910</v>
      </c>
    </row>
    <row r="3" spans="1:17" x14ac:dyDescent="0.25">
      <c r="A3" s="2">
        <f ca="1">WORKDAY(A2,1)</f>
        <v>45904</v>
      </c>
      <c r="B3">
        <f ca="1">VLOOKUP(EOMONTH(A3,-1)+1,Tullet!$N$4:$S$34,3,0)</f>
        <v>452.46492045454539</v>
      </c>
      <c r="C3">
        <f ca="1">VLOOKUP(EOMONTH(A3,0)+1,Tullet!$N$50:$S$83,3,0)</f>
        <v>481.12742045454542</v>
      </c>
      <c r="D3">
        <f t="shared" ref="D3:D66" ca="1" si="0">C3-B3</f>
        <v>28.662500000000023</v>
      </c>
      <c r="E3" s="433">
        <f ca="1">VLOOKUP(DATE(YEAR(A3), MONTH(A3), 1), 'Tullet US'!$V$24:$X$32, 3, FALSE)*6.35</f>
        <v>15.875</v>
      </c>
      <c r="H3" s="517"/>
      <c r="I3" s="519"/>
      <c r="J3" s="5" t="s">
        <v>106</v>
      </c>
      <c r="K3" s="113">
        <f ca="1">'Loading Arrival'!B9</f>
        <v>45955</v>
      </c>
    </row>
    <row r="4" spans="1:17" ht="15.75" thickBot="1" x14ac:dyDescent="0.3">
      <c r="A4" s="2">
        <f t="shared" ref="A4:A66" ca="1" si="1">WORKDAY(A3,1)</f>
        <v>45905</v>
      </c>
      <c r="B4">
        <f ca="1">VLOOKUP(EOMONTH(A4,-1)+1,Tullet!$N$4:$S$34,3,0)</f>
        <v>452.46492045454539</v>
      </c>
      <c r="C4">
        <f ca="1">VLOOKUP(EOMONTH(A4,0)+1,Tullet!$N$50:$S$83,3,0)</f>
        <v>481.12742045454542</v>
      </c>
      <c r="D4">
        <f t="shared" ca="1" si="0"/>
        <v>28.662500000000023</v>
      </c>
      <c r="E4" s="433">
        <f ca="1">VLOOKUP(DATE(YEAR(A4), MONTH(A4), 1), 'Tullet US'!$V$24:$X$32, 3, FALSE)*6.35</f>
        <v>15.875</v>
      </c>
      <c r="H4" s="517"/>
      <c r="I4" s="519"/>
      <c r="J4" s="114" t="s">
        <v>107</v>
      </c>
      <c r="K4" s="115">
        <f ca="1">SUMPRODUCT(--($A$2:$A$66&gt;=K2),--($A$2:$A$66&lt;=K3),$D$2:$D$66)/SUMPRODUCT(--($A$2:$A$66&gt;=K2),--($A$2:$A$66&lt;=K3))</f>
        <v>29.617045454545476</v>
      </c>
    </row>
    <row r="5" spans="1:17" x14ac:dyDescent="0.25">
      <c r="A5" s="2">
        <f t="shared" ca="1" si="1"/>
        <v>45908</v>
      </c>
      <c r="B5">
        <f ca="1">VLOOKUP(EOMONTH(A5,-1)+1,Tullet!$N$4:$S$34,3,0)</f>
        <v>452.46492045454539</v>
      </c>
      <c r="C5">
        <f ca="1">VLOOKUP(EOMONTH(A5,0)+1,Tullet!$N$50:$S$83,3,0)</f>
        <v>481.12742045454542</v>
      </c>
      <c r="D5">
        <f t="shared" ca="1" si="0"/>
        <v>28.662500000000023</v>
      </c>
      <c r="E5" s="433">
        <f ca="1">VLOOKUP(DATE(YEAR(A5), MONTH(A5), 1), 'Tullet US'!$V$24:$X$32, 3, FALSE)*6.35</f>
        <v>15.875</v>
      </c>
      <c r="H5" s="517"/>
      <c r="I5" s="519"/>
      <c r="J5" s="3" t="s">
        <v>108</v>
      </c>
      <c r="K5" s="116">
        <f ca="1">'Loading Arrival'!C3</f>
        <v>45924</v>
      </c>
    </row>
    <row r="6" spans="1:17" x14ac:dyDescent="0.25">
      <c r="A6" s="2">
        <f t="shared" ca="1" si="1"/>
        <v>45909</v>
      </c>
      <c r="B6">
        <f ca="1">VLOOKUP(EOMONTH(A6,-1)+1,Tullet!$N$4:$S$34,3,0)</f>
        <v>452.46492045454539</v>
      </c>
      <c r="C6">
        <f ca="1">VLOOKUP(EOMONTH(A6,0)+1,Tullet!$N$50:$S$83,3,0)</f>
        <v>481.12742045454542</v>
      </c>
      <c r="D6">
        <f t="shared" ca="1" si="0"/>
        <v>28.662500000000023</v>
      </c>
      <c r="E6" s="433">
        <f ca="1">VLOOKUP(DATE(YEAR(A6), MONTH(A6), 1), 'Tullet US'!$V$24:$X$32, 3, FALSE)*6.35</f>
        <v>15.875</v>
      </c>
      <c r="H6" s="517"/>
      <c r="I6" s="519"/>
      <c r="J6" s="5" t="s">
        <v>106</v>
      </c>
      <c r="K6" s="117">
        <f ca="1">'Loading Arrival'!C9</f>
        <v>45969</v>
      </c>
    </row>
    <row r="7" spans="1:17" ht="15.75" thickBot="1" x14ac:dyDescent="0.3">
      <c r="A7" s="2">
        <f t="shared" ca="1" si="1"/>
        <v>45910</v>
      </c>
      <c r="B7">
        <f ca="1">VLOOKUP(EOMONTH(A7,-1)+1,Tullet!$N$4:$S$34,3,0)</f>
        <v>452.46492045454539</v>
      </c>
      <c r="C7">
        <f ca="1">VLOOKUP(EOMONTH(A7,0)+1,Tullet!$N$50:$S$83,3,0)</f>
        <v>481.12742045454542</v>
      </c>
      <c r="D7">
        <f t="shared" ca="1" si="0"/>
        <v>28.662500000000023</v>
      </c>
      <c r="E7" s="433">
        <f ca="1">VLOOKUP(DATE(YEAR(A7), MONTH(A7), 1), 'Tullet US'!$V$24:$X$32, 3, FALSE)*6.35</f>
        <v>15.875</v>
      </c>
      <c r="H7" s="517"/>
      <c r="I7" s="519"/>
      <c r="J7" s="7" t="s">
        <v>107</v>
      </c>
      <c r="K7" s="111">
        <f ca="1">SUMPRODUCT(--($A$2:$A$66&gt;=K5),--($A$2:$A$66&lt;=K6),$D$2:$D$66)/SUMPRODUCT(--($A$2:$A$66&gt;=K5),--($A$2:$A$66&lt;=K6))</f>
        <v>30.336742424242448</v>
      </c>
    </row>
    <row r="8" spans="1:17" x14ac:dyDescent="0.25">
      <c r="A8" s="2">
        <f t="shared" ca="1" si="1"/>
        <v>45911</v>
      </c>
      <c r="B8">
        <f ca="1">VLOOKUP(EOMONTH(A8,-1)+1,Tullet!$N$4:$S$34,3,0)</f>
        <v>452.46492045454539</v>
      </c>
      <c r="C8">
        <f ca="1">VLOOKUP(EOMONTH(A8,0)+1,Tullet!$N$50:$S$83,3,0)</f>
        <v>481.12742045454542</v>
      </c>
      <c r="D8">
        <f t="shared" ca="1" si="0"/>
        <v>28.662500000000023</v>
      </c>
      <c r="E8" s="433">
        <f ca="1">VLOOKUP(DATE(YEAR(A8), MONTH(A8), 1), 'Tullet US'!$V$24:$X$32, 3, FALSE)*6.35</f>
        <v>15.875</v>
      </c>
      <c r="H8" s="517"/>
      <c r="I8" s="519"/>
      <c r="J8" s="3" t="s">
        <v>109</v>
      </c>
      <c r="K8" s="116">
        <f ca="1">'Loading Arrival'!D3</f>
        <v>45938</v>
      </c>
    </row>
    <row r="9" spans="1:17" x14ac:dyDescent="0.25">
      <c r="A9" s="2">
        <f t="shared" ca="1" si="1"/>
        <v>45912</v>
      </c>
      <c r="B9">
        <f ca="1">VLOOKUP(EOMONTH(A9,-1)+1,Tullet!$N$4:$S$34,3,0)</f>
        <v>452.46492045454539</v>
      </c>
      <c r="C9">
        <f ca="1">VLOOKUP(EOMONTH(A9,0)+1,Tullet!$N$50:$S$83,3,0)</f>
        <v>481.12742045454542</v>
      </c>
      <c r="D9">
        <f t="shared" ca="1" si="0"/>
        <v>28.662500000000023</v>
      </c>
      <c r="E9" s="433">
        <f ca="1">VLOOKUP(DATE(YEAR(A9), MONTH(A9), 1), 'Tullet US'!$V$24:$X$32, 3, FALSE)*6.35</f>
        <v>15.875</v>
      </c>
      <c r="H9" s="517"/>
      <c r="I9" s="519"/>
      <c r="J9" s="5" t="s">
        <v>106</v>
      </c>
      <c r="K9" s="117">
        <f ca="1">'Loading Arrival'!D9</f>
        <v>45983</v>
      </c>
    </row>
    <row r="10" spans="1:17" ht="15.75" thickBot="1" x14ac:dyDescent="0.3">
      <c r="A10" s="2">
        <f t="shared" ca="1" si="1"/>
        <v>45915</v>
      </c>
      <c r="B10">
        <f ca="1">VLOOKUP(EOMONTH(A10,-1)+1,Tullet!$N$4:$S$34,3,0)</f>
        <v>452.46492045454539</v>
      </c>
      <c r="C10">
        <f ca="1">VLOOKUP(EOMONTH(A10,0)+1,Tullet!$N$50:$S$83,3,0)</f>
        <v>481.12742045454542</v>
      </c>
      <c r="D10">
        <f t="shared" ca="1" si="0"/>
        <v>28.662500000000023</v>
      </c>
      <c r="E10" s="433">
        <f ca="1">VLOOKUP(DATE(YEAR(A10), MONTH(A10), 1), 'Tullet US'!$V$24:$X$32, 3, FALSE)*6.35</f>
        <v>15.875</v>
      </c>
      <c r="H10" s="517"/>
      <c r="I10" s="520"/>
      <c r="J10" s="114" t="s">
        <v>107</v>
      </c>
      <c r="K10" s="115">
        <f ca="1">SUMPRODUCT(--($A$2:$A$66&gt;=K8),--($A$2:$A$66&lt;=K9),$D$2:$D$66)/SUMPRODUCT(--($A$2:$A$66&gt;=K8),--($A$2:$A$66&lt;=K9))</f>
        <v>30.980681818181839</v>
      </c>
    </row>
    <row r="11" spans="1:17" ht="15.75" thickBot="1" x14ac:dyDescent="0.3">
      <c r="A11" s="2">
        <f t="shared" ca="1" si="1"/>
        <v>45916</v>
      </c>
      <c r="B11">
        <f ca="1">VLOOKUP(EOMONTH(A11,-1)+1,Tullet!$N$4:$S$34,3,0)</f>
        <v>452.46492045454539</v>
      </c>
      <c r="C11">
        <f ca="1">VLOOKUP(EOMONTH(A11,0)+1,Tullet!$N$50:$S$83,3,0)</f>
        <v>481.12742045454542</v>
      </c>
      <c r="D11">
        <f t="shared" ca="1" si="0"/>
        <v>28.662500000000023</v>
      </c>
      <c r="E11" s="433">
        <f ca="1">VLOOKUP(DATE(YEAR(A11), MONTH(A11), 1), 'Tullet US'!$V$24:$X$32, 3, FALSE)*6.35</f>
        <v>15.875</v>
      </c>
      <c r="H11" s="517"/>
      <c r="Q11" t="s">
        <v>153</v>
      </c>
    </row>
    <row r="12" spans="1:17" x14ac:dyDescent="0.25">
      <c r="A12" s="2">
        <f t="shared" ca="1" si="1"/>
        <v>45917</v>
      </c>
      <c r="B12">
        <f ca="1">VLOOKUP(EOMONTH(A12,-1)+1,Tullet!$N$4:$S$34,3,0)</f>
        <v>452.46492045454539</v>
      </c>
      <c r="C12">
        <f ca="1">VLOOKUP(EOMONTH(A12,0)+1,Tullet!$N$50:$S$83,3,0)</f>
        <v>481.12742045454542</v>
      </c>
      <c r="D12">
        <f t="shared" ca="1" si="0"/>
        <v>28.662500000000023</v>
      </c>
      <c r="E12" s="433">
        <f ca="1">VLOOKUP(DATE(YEAR(A12), MONTH(A12), 1), 'Tullet US'!$V$24:$X$32, 3, FALSE)*6.35</f>
        <v>15.875</v>
      </c>
      <c r="H12" s="517"/>
      <c r="I12" s="514" t="s">
        <v>110</v>
      </c>
      <c r="J12" s="3" t="s">
        <v>105</v>
      </c>
      <c r="K12" s="112">
        <f ca="1">'Loading Arrival'!B11</f>
        <v>45903</v>
      </c>
      <c r="P12" t="s">
        <v>152</v>
      </c>
      <c r="Q12">
        <v>-106</v>
      </c>
    </row>
    <row r="13" spans="1:17" x14ac:dyDescent="0.25">
      <c r="A13" s="2">
        <f t="shared" ca="1" si="1"/>
        <v>45918</v>
      </c>
      <c r="B13">
        <f ca="1">VLOOKUP(EOMONTH(A13,-1)+1,Tullet!$N$4:$S$34,3,0)</f>
        <v>452.46492045454539</v>
      </c>
      <c r="C13">
        <f ca="1">VLOOKUP(EOMONTH(A13,0)+1,Tullet!$N$50:$S$83,3,0)</f>
        <v>481.12742045454542</v>
      </c>
      <c r="D13">
        <f t="shared" ca="1" si="0"/>
        <v>28.662500000000023</v>
      </c>
      <c r="E13" s="433">
        <f ca="1">VLOOKUP(DATE(YEAR(A13), MONTH(A13), 1), 'Tullet US'!$V$24:$X$32, 3, FALSE)*6.35</f>
        <v>15.875</v>
      </c>
      <c r="H13" s="517"/>
      <c r="I13" s="515"/>
      <c r="J13" s="5" t="s">
        <v>106</v>
      </c>
      <c r="K13" s="113">
        <f ca="1">'Loading Arrival'!B17</f>
        <v>45930</v>
      </c>
      <c r="P13" t="s">
        <v>154</v>
      </c>
    </row>
    <row r="14" spans="1:17" ht="15.75" thickBot="1" x14ac:dyDescent="0.3">
      <c r="A14" s="2">
        <f t="shared" ca="1" si="1"/>
        <v>45919</v>
      </c>
      <c r="B14">
        <f ca="1">VLOOKUP(EOMONTH(A14,-1)+1,Tullet!$N$4:$S$34,3,0)</f>
        <v>452.46492045454539</v>
      </c>
      <c r="C14">
        <f ca="1">VLOOKUP(EOMONTH(A14,0)+1,Tullet!$N$50:$S$83,3,0)</f>
        <v>481.12742045454542</v>
      </c>
      <c r="D14">
        <f t="shared" ca="1" si="0"/>
        <v>28.662500000000023</v>
      </c>
      <c r="E14" s="433">
        <f ca="1">VLOOKUP(DATE(YEAR(A14), MONTH(A14), 1), 'Tullet US'!$V$24:$X$32, 3, FALSE)*6.35</f>
        <v>15.875</v>
      </c>
      <c r="H14" s="517"/>
      <c r="I14" s="515"/>
      <c r="J14" s="118" t="s">
        <v>107</v>
      </c>
      <c r="K14" s="119">
        <f ca="1">SUMPRODUCT(--($A$2:$A$66&gt;=K12),--($A$2:$A$66&lt;=K13),$D$2:$D$66)/SUMPRODUCT(--($A$2:$A$66&gt;=K12),--($A$2:$A$66&lt;=K13))</f>
        <v>28.662500000000023</v>
      </c>
    </row>
    <row r="15" spans="1:17" x14ac:dyDescent="0.25">
      <c r="A15" s="2">
        <f t="shared" ca="1" si="1"/>
        <v>45922</v>
      </c>
      <c r="B15">
        <f ca="1">VLOOKUP(EOMONTH(A15,-1)+1,Tullet!$N$4:$S$34,3,0)</f>
        <v>452.46492045454539</v>
      </c>
      <c r="C15">
        <f ca="1">VLOOKUP(EOMONTH(A15,0)+1,Tullet!$N$50:$S$83,3,0)</f>
        <v>481.12742045454542</v>
      </c>
      <c r="D15">
        <f t="shared" ca="1" si="0"/>
        <v>28.662500000000023</v>
      </c>
      <c r="E15" s="433">
        <f ca="1">VLOOKUP(DATE(YEAR(A15), MONTH(A15), 1), 'Tullet US'!$V$24:$X$32, 3, FALSE)*6.35</f>
        <v>15.875</v>
      </c>
      <c r="H15" s="517"/>
      <c r="I15" s="515"/>
      <c r="J15" s="3" t="s">
        <v>108</v>
      </c>
      <c r="K15" s="116">
        <f ca="1">'Loading Arrival'!C11</f>
        <v>45917</v>
      </c>
    </row>
    <row r="16" spans="1:17" x14ac:dyDescent="0.25">
      <c r="A16" s="2">
        <f t="shared" ca="1" si="1"/>
        <v>45923</v>
      </c>
      <c r="B16">
        <f ca="1">VLOOKUP(EOMONTH(A16,-1)+1,Tullet!$N$4:$S$34,3,0)</f>
        <v>452.46492045454539</v>
      </c>
      <c r="C16">
        <f ca="1">VLOOKUP(EOMONTH(A16,0)+1,Tullet!$N$50:$S$83,3,0)</f>
        <v>481.12742045454542</v>
      </c>
      <c r="D16">
        <f t="shared" ca="1" si="0"/>
        <v>28.662500000000023</v>
      </c>
      <c r="E16" s="433">
        <f ca="1">VLOOKUP(DATE(YEAR(A16), MONTH(A16), 1), 'Tullet US'!$V$24:$X$32, 3, FALSE)*6.35</f>
        <v>15.875</v>
      </c>
      <c r="H16" s="517"/>
      <c r="I16" s="515"/>
      <c r="J16" s="5" t="s">
        <v>106</v>
      </c>
      <c r="K16" s="117">
        <f ca="1">'Loading Arrival'!C17</f>
        <v>45944</v>
      </c>
    </row>
    <row r="17" spans="1:16" ht="15.75" thickBot="1" x14ac:dyDescent="0.3">
      <c r="A17" s="2">
        <f t="shared" ca="1" si="1"/>
        <v>45924</v>
      </c>
      <c r="B17">
        <f ca="1">VLOOKUP(EOMONTH(A17,-1)+1,Tullet!$N$4:$S$34,3,0)</f>
        <v>452.46492045454539</v>
      </c>
      <c r="C17">
        <f ca="1">VLOOKUP(EOMONTH(A17,0)+1,Tullet!$N$50:$S$83,3,0)</f>
        <v>481.12742045454542</v>
      </c>
      <c r="D17">
        <f t="shared" ca="1" si="0"/>
        <v>28.662500000000023</v>
      </c>
      <c r="E17" s="433">
        <f ca="1">VLOOKUP(DATE(YEAR(A17), MONTH(A17), 1), 'Tullet US'!$V$24:$X$32, 3, FALSE)*6.35</f>
        <v>15.875</v>
      </c>
      <c r="H17" s="517"/>
      <c r="I17" s="515"/>
      <c r="J17" s="114" t="s">
        <v>107</v>
      </c>
      <c r="K17" s="115">
        <f ca="1">SUMPRODUCT(--($A$2:$A$66&gt;=K15),--($A$2:$A$66&lt;=K16),$D$2:$D$66)/SUMPRODUCT(--($A$2:$A$66&gt;=K15),--($A$2:$A$66&lt;=K16))</f>
        <v>29.537500000000023</v>
      </c>
      <c r="P17" t="s">
        <v>224</v>
      </c>
    </row>
    <row r="18" spans="1:16" x14ac:dyDescent="0.25">
      <c r="A18" s="2">
        <f t="shared" ca="1" si="1"/>
        <v>45925</v>
      </c>
      <c r="B18">
        <f ca="1">VLOOKUP(EOMONTH(A18,-1)+1,Tullet!$N$4:$S$34,3,0)</f>
        <v>452.46492045454539</v>
      </c>
      <c r="C18">
        <f ca="1">VLOOKUP(EOMONTH(A18,0)+1,Tullet!$N$50:$S$83,3,0)</f>
        <v>481.12742045454542</v>
      </c>
      <c r="D18">
        <f t="shared" ca="1" si="0"/>
        <v>28.662500000000023</v>
      </c>
      <c r="E18" s="433">
        <f ca="1">VLOOKUP(DATE(YEAR(A18), MONTH(A18), 1), 'Tullet US'!$V$24:$X$32, 3, FALSE)*6.35</f>
        <v>15.875</v>
      </c>
      <c r="H18" s="517"/>
      <c r="I18" s="515"/>
      <c r="J18" s="5" t="s">
        <v>109</v>
      </c>
      <c r="K18" s="117">
        <f ca="1">'Loading Arrival'!D11</f>
        <v>45931</v>
      </c>
    </row>
    <row r="19" spans="1:16" x14ac:dyDescent="0.25">
      <c r="A19" s="2">
        <f t="shared" ca="1" si="1"/>
        <v>45926</v>
      </c>
      <c r="B19">
        <f ca="1">VLOOKUP(EOMONTH(A19,-1)+1,Tullet!$N$4:$S$34,3,0)</f>
        <v>452.46492045454539</v>
      </c>
      <c r="C19">
        <f ca="1">VLOOKUP(EOMONTH(A19,0)+1,Tullet!$N$50:$S$83,3,0)</f>
        <v>481.12742045454542</v>
      </c>
      <c r="D19">
        <f t="shared" ca="1" si="0"/>
        <v>28.662500000000023</v>
      </c>
      <c r="E19" s="433">
        <f ca="1">VLOOKUP(DATE(YEAR(A19), MONTH(A19), 1), 'Tullet US'!$V$24:$X$32, 3, FALSE)*6.35</f>
        <v>15.875</v>
      </c>
      <c r="H19" s="517"/>
      <c r="I19" s="515"/>
      <c r="J19" s="5" t="s">
        <v>106</v>
      </c>
      <c r="K19" s="117">
        <f ca="1">'Loading Arrival'!D17</f>
        <v>45958</v>
      </c>
    </row>
    <row r="20" spans="1:16" ht="15.75" thickBot="1" x14ac:dyDescent="0.3">
      <c r="A20" s="2">
        <f t="shared" ca="1" si="1"/>
        <v>45929</v>
      </c>
      <c r="B20">
        <f ca="1">VLOOKUP(EOMONTH(A20,-1)+1,Tullet!$N$4:$S$34,3,0)</f>
        <v>452.46492045454539</v>
      </c>
      <c r="C20">
        <f ca="1">VLOOKUP(EOMONTH(A20,0)+1,Tullet!$N$50:$S$83,3,0)</f>
        <v>481.12742045454542</v>
      </c>
      <c r="D20">
        <f t="shared" ca="1" si="0"/>
        <v>28.662500000000023</v>
      </c>
      <c r="E20" s="433">
        <f ca="1">VLOOKUP(DATE(YEAR(A20), MONTH(A20), 1), 'Tullet US'!$V$24:$X$32, 3, FALSE)*6.35</f>
        <v>15.875</v>
      </c>
      <c r="H20" s="517"/>
      <c r="I20" s="516"/>
      <c r="J20" s="114" t="s">
        <v>107</v>
      </c>
      <c r="K20" s="115">
        <f ca="1">SUMPRODUCT(--($A$2:$A$66&gt;=K18),--($A$2:$A$66&lt;=K19),$D$2:$D$66)/SUMPRODUCT(--($A$2:$A$66&gt;=K18),--($A$2:$A$66&lt;=K19))</f>
        <v>30.412500000000023</v>
      </c>
    </row>
    <row r="21" spans="1:16" ht="15.75" thickBot="1" x14ac:dyDescent="0.3">
      <c r="A21" s="2">
        <f t="shared" ca="1" si="1"/>
        <v>45930</v>
      </c>
      <c r="B21">
        <f ca="1">VLOOKUP(EOMONTH(A21,-1)+1,Tullet!$N$4:$S$34,3,0)</f>
        <v>452.46492045454539</v>
      </c>
      <c r="C21">
        <f ca="1">VLOOKUP(EOMONTH(A21,0)+1,Tullet!$N$50:$S$83,3,0)</f>
        <v>481.12742045454542</v>
      </c>
      <c r="D21">
        <f t="shared" ca="1" si="0"/>
        <v>28.662500000000023</v>
      </c>
      <c r="E21" s="433">
        <f ca="1">VLOOKUP(DATE(YEAR(A21), MONTH(A21), 1), 'Tullet US'!$V$24:$X$32, 3, FALSE)*6.35</f>
        <v>15.875</v>
      </c>
    </row>
    <row r="22" spans="1:16" x14ac:dyDescent="0.25">
      <c r="A22" s="2">
        <f t="shared" ca="1" si="1"/>
        <v>45931</v>
      </c>
      <c r="B22">
        <f ca="1">VLOOKUP(EOMONTH(A22,-1)+1,Tullet!$N$4:$S$34,3,0)</f>
        <v>447.96492045454539</v>
      </c>
      <c r="C22">
        <f ca="1">VLOOKUP(EOMONTH(A22,0)+1,Tullet!$N$50:$S$83,3,0)</f>
        <v>478.37742045454542</v>
      </c>
      <c r="D22">
        <f t="shared" ca="1" si="0"/>
        <v>30.412500000000023</v>
      </c>
      <c r="E22" s="433">
        <f ca="1">VLOOKUP(DATE(YEAR(A22), MONTH(A22), 1), 'Tullet US'!$V$24:$X$32, 3, FALSE)*6.35</f>
        <v>13.97</v>
      </c>
      <c r="H22" s="513" t="s">
        <v>112</v>
      </c>
      <c r="I22" s="514" t="s">
        <v>110</v>
      </c>
      <c r="J22" s="3" t="s">
        <v>105</v>
      </c>
      <c r="K22" s="112">
        <f ca="1">'Loading Arrival'!B20</f>
        <v>45903</v>
      </c>
    </row>
    <row r="23" spans="1:16" x14ac:dyDescent="0.25">
      <c r="A23" s="2">
        <f t="shared" ca="1" si="1"/>
        <v>45932</v>
      </c>
      <c r="B23">
        <f ca="1">VLOOKUP(EOMONTH(A23,-1)+1,Tullet!$N$4:$S$34,3,0)</f>
        <v>447.96492045454539</v>
      </c>
      <c r="C23">
        <f ca="1">VLOOKUP(EOMONTH(A23,0)+1,Tullet!$N$50:$S$83,3,0)</f>
        <v>478.37742045454542</v>
      </c>
      <c r="D23">
        <f t="shared" ca="1" si="0"/>
        <v>30.412500000000023</v>
      </c>
      <c r="E23" s="433">
        <f ca="1">VLOOKUP(DATE(YEAR(A23), MONTH(A23), 1), 'Tullet US'!$V$24:$X$32, 3, FALSE)*6.35</f>
        <v>13.97</v>
      </c>
      <c r="H23" s="513"/>
      <c r="I23" s="515"/>
      <c r="J23" s="5" t="s">
        <v>106</v>
      </c>
      <c r="K23" s="113">
        <f ca="1">'Loading Arrival'!B26</f>
        <v>45922</v>
      </c>
    </row>
    <row r="24" spans="1:16" ht="15.75" thickBot="1" x14ac:dyDescent="0.3">
      <c r="A24" s="2">
        <f t="shared" ca="1" si="1"/>
        <v>45933</v>
      </c>
      <c r="B24">
        <f ca="1">VLOOKUP(EOMONTH(A24,-1)+1,Tullet!$N$4:$S$34,3,0)</f>
        <v>447.96492045454539</v>
      </c>
      <c r="C24">
        <f ca="1">VLOOKUP(EOMONTH(A24,0)+1,Tullet!$N$50:$S$83,3,0)</f>
        <v>478.37742045454542</v>
      </c>
      <c r="D24">
        <f t="shared" ca="1" si="0"/>
        <v>30.412500000000023</v>
      </c>
      <c r="E24" s="433">
        <f ca="1">VLOOKUP(DATE(YEAR(A24), MONTH(A24), 1), 'Tullet US'!$V$24:$X$32, 3, FALSE)*6.35</f>
        <v>13.97</v>
      </c>
      <c r="H24" s="513"/>
      <c r="I24" s="515"/>
      <c r="J24" s="118" t="s">
        <v>107</v>
      </c>
      <c r="K24" s="119">
        <f ca="1">SUMPRODUCT(--($A$2:$A$66&gt;=K22),--($A$2:$A$66&lt;=K23),$D$2:$D$66)/SUMPRODUCT(--($A$2:$A$66&gt;=K22),--($A$2:$A$66&lt;=K23))</f>
        <v>28.662500000000023</v>
      </c>
    </row>
    <row r="25" spans="1:16" x14ac:dyDescent="0.25">
      <c r="A25" s="2">
        <f t="shared" ca="1" si="1"/>
        <v>45936</v>
      </c>
      <c r="B25">
        <f ca="1">VLOOKUP(EOMONTH(A25,-1)+1,Tullet!$N$4:$S$34,3,0)</f>
        <v>447.96492045454539</v>
      </c>
      <c r="C25">
        <f ca="1">VLOOKUP(EOMONTH(A25,0)+1,Tullet!$N$50:$S$83,3,0)</f>
        <v>478.37742045454542</v>
      </c>
      <c r="D25">
        <f t="shared" ca="1" si="0"/>
        <v>30.412500000000023</v>
      </c>
      <c r="E25" s="433">
        <f ca="1">VLOOKUP(DATE(YEAR(A25), MONTH(A25), 1), 'Tullet US'!$V$24:$X$32, 3, FALSE)*6.35</f>
        <v>13.97</v>
      </c>
      <c r="H25" s="513"/>
      <c r="I25" s="515"/>
      <c r="J25" s="3" t="s">
        <v>108</v>
      </c>
      <c r="K25" s="116">
        <f ca="1">'Loading Arrival'!C20</f>
        <v>45917</v>
      </c>
    </row>
    <row r="26" spans="1:16" x14ac:dyDescent="0.25">
      <c r="A26" s="2">
        <f t="shared" ca="1" si="1"/>
        <v>45937</v>
      </c>
      <c r="B26">
        <f ca="1">VLOOKUP(EOMONTH(A26,-1)+1,Tullet!$N$4:$S$34,3,0)</f>
        <v>447.96492045454539</v>
      </c>
      <c r="C26">
        <f ca="1">VLOOKUP(EOMONTH(A26,0)+1,Tullet!$N$50:$S$83,3,0)</f>
        <v>478.37742045454542</v>
      </c>
      <c r="D26">
        <f t="shared" ca="1" si="0"/>
        <v>30.412500000000023</v>
      </c>
      <c r="E26" s="433">
        <f ca="1">VLOOKUP(DATE(YEAR(A26), MONTH(A26), 1), 'Tullet US'!$V$24:$X$32, 3, FALSE)*6.35</f>
        <v>13.97</v>
      </c>
      <c r="H26" s="513"/>
      <c r="I26" s="515"/>
      <c r="J26" s="5" t="s">
        <v>106</v>
      </c>
      <c r="K26" s="117">
        <f ca="1">'Loading Arrival'!C26</f>
        <v>45936</v>
      </c>
    </row>
    <row r="27" spans="1:16" ht="15.75" thickBot="1" x14ac:dyDescent="0.3">
      <c r="A27" s="2">
        <f t="shared" ca="1" si="1"/>
        <v>45938</v>
      </c>
      <c r="B27">
        <f ca="1">VLOOKUP(EOMONTH(A27,-1)+1,Tullet!$N$4:$S$34,3,0)</f>
        <v>447.96492045454539</v>
      </c>
      <c r="C27">
        <f ca="1">VLOOKUP(EOMONTH(A27,0)+1,Tullet!$N$50:$S$83,3,0)</f>
        <v>478.37742045454542</v>
      </c>
      <c r="D27">
        <f t="shared" ca="1" si="0"/>
        <v>30.412500000000023</v>
      </c>
      <c r="E27" s="433">
        <f ca="1">VLOOKUP(DATE(YEAR(A27), MONTH(A27), 1), 'Tullet US'!$V$24:$X$32, 3, FALSE)*6.35</f>
        <v>13.97</v>
      </c>
      <c r="H27" s="513"/>
      <c r="I27" s="515"/>
      <c r="J27" s="114" t="s">
        <v>107</v>
      </c>
      <c r="K27" s="115">
        <f ca="1">SUMPRODUCT(--($A$2:$A$66&gt;=K25),--($A$2:$A$66&lt;=K26),$D$2:$D$66)/SUMPRODUCT(--($A$2:$A$66&gt;=K25),--($A$2:$A$66&lt;=K26))</f>
        <v>29.162500000000023</v>
      </c>
    </row>
    <row r="28" spans="1:16" x14ac:dyDescent="0.25">
      <c r="A28" s="2">
        <f t="shared" ca="1" si="1"/>
        <v>45939</v>
      </c>
      <c r="B28">
        <f ca="1">VLOOKUP(EOMONTH(A28,-1)+1,Tullet!$N$4:$S$34,3,0)</f>
        <v>447.96492045454539</v>
      </c>
      <c r="C28">
        <f ca="1">VLOOKUP(EOMONTH(A28,0)+1,Tullet!$N$50:$S$83,3,0)</f>
        <v>478.37742045454542</v>
      </c>
      <c r="D28">
        <f t="shared" ca="1" si="0"/>
        <v>30.412500000000023</v>
      </c>
      <c r="E28" s="433">
        <f ca="1">VLOOKUP(DATE(YEAR(A28), MONTH(A28), 1), 'Tullet US'!$V$24:$X$32, 3, FALSE)*6.35</f>
        <v>13.97</v>
      </c>
      <c r="H28" s="513"/>
      <c r="I28" s="515"/>
      <c r="J28" s="5" t="s">
        <v>109</v>
      </c>
      <c r="K28" s="117">
        <f ca="1">'Loading Arrival'!D20</f>
        <v>45931</v>
      </c>
    </row>
    <row r="29" spans="1:16" x14ac:dyDescent="0.25">
      <c r="A29" s="2">
        <f t="shared" ca="1" si="1"/>
        <v>45940</v>
      </c>
      <c r="B29">
        <f ca="1">VLOOKUP(EOMONTH(A29,-1)+1,Tullet!$N$4:$S$34,3,0)</f>
        <v>447.96492045454539</v>
      </c>
      <c r="C29">
        <f ca="1">VLOOKUP(EOMONTH(A29,0)+1,Tullet!$N$50:$S$83,3,0)</f>
        <v>478.37742045454542</v>
      </c>
      <c r="D29">
        <f t="shared" ca="1" si="0"/>
        <v>30.412500000000023</v>
      </c>
      <c r="E29" s="433">
        <f ca="1">VLOOKUP(DATE(YEAR(A29), MONTH(A29), 1), 'Tullet US'!$V$24:$X$32, 3, FALSE)*6.35</f>
        <v>13.97</v>
      </c>
      <c r="H29" s="513"/>
      <c r="I29" s="515"/>
      <c r="J29" s="5" t="s">
        <v>106</v>
      </c>
      <c r="K29" s="117">
        <f ca="1">'Loading Arrival'!D26</f>
        <v>45950</v>
      </c>
    </row>
    <row r="30" spans="1:16" ht="15.75" thickBot="1" x14ac:dyDescent="0.3">
      <c r="A30" s="2">
        <f t="shared" ca="1" si="1"/>
        <v>45943</v>
      </c>
      <c r="B30">
        <f ca="1">VLOOKUP(EOMONTH(A30,-1)+1,Tullet!$N$4:$S$34,3,0)</f>
        <v>447.96492045454539</v>
      </c>
      <c r="C30">
        <f ca="1">VLOOKUP(EOMONTH(A30,0)+1,Tullet!$N$50:$S$83,3,0)</f>
        <v>478.37742045454542</v>
      </c>
      <c r="D30">
        <f t="shared" ca="1" si="0"/>
        <v>30.412500000000023</v>
      </c>
      <c r="E30" s="433">
        <f ca="1">VLOOKUP(DATE(YEAR(A30), MONTH(A30), 1), 'Tullet US'!$V$24:$X$32, 3, FALSE)*6.35</f>
        <v>13.97</v>
      </c>
      <c r="H30" s="513"/>
      <c r="I30" s="516"/>
      <c r="J30" s="114" t="s">
        <v>107</v>
      </c>
      <c r="K30" s="115">
        <f ca="1">SUMPRODUCT(--($A$2:$A$66&gt;=K28),--($A$2:$A$66&lt;=K29),$D$2:$D$66)/SUMPRODUCT(--($A$2:$A$66&gt;=K28),--($A$2:$A$66&lt;=K29))</f>
        <v>30.412500000000023</v>
      </c>
    </row>
    <row r="31" spans="1:16" ht="15.75" thickBot="1" x14ac:dyDescent="0.3">
      <c r="A31" s="2">
        <f t="shared" ca="1" si="1"/>
        <v>45944</v>
      </c>
      <c r="B31">
        <f ca="1">VLOOKUP(EOMONTH(A31,-1)+1,Tullet!$N$4:$S$34,3,0)</f>
        <v>447.96492045454539</v>
      </c>
      <c r="C31">
        <f ca="1">VLOOKUP(EOMONTH(A31,0)+1,Tullet!$N$50:$S$83,3,0)</f>
        <v>478.37742045454542</v>
      </c>
      <c r="D31">
        <f t="shared" ca="1" si="0"/>
        <v>30.412500000000023</v>
      </c>
      <c r="E31" s="433">
        <f ca="1">VLOOKUP(DATE(YEAR(A31), MONTH(A31), 1), 'Tullet US'!$V$24:$X$32, 3, FALSE)*6.35</f>
        <v>13.97</v>
      </c>
    </row>
    <row r="32" spans="1:16" x14ac:dyDescent="0.25">
      <c r="A32" s="2">
        <f t="shared" ca="1" si="1"/>
        <v>45945</v>
      </c>
      <c r="B32">
        <f ca="1">VLOOKUP(EOMONTH(A32,-1)+1,Tullet!$N$4:$S$34,3,0)</f>
        <v>447.96492045454539</v>
      </c>
      <c r="C32">
        <f ca="1">VLOOKUP(EOMONTH(A32,0)+1,Tullet!$N$50:$S$83,3,0)</f>
        <v>478.37742045454542</v>
      </c>
      <c r="D32">
        <f t="shared" ca="1" si="0"/>
        <v>30.412500000000023</v>
      </c>
      <c r="E32" s="433">
        <f ca="1">VLOOKUP(DATE(YEAR(A32), MONTH(A32), 1), 'Tullet US'!$V$24:$X$32, 3, FALSE)*6.35</f>
        <v>13.97</v>
      </c>
      <c r="H32" s="513" t="s">
        <v>113</v>
      </c>
      <c r="I32" s="514" t="s">
        <v>110</v>
      </c>
      <c r="J32" s="3" t="s">
        <v>105</v>
      </c>
      <c r="K32" s="112">
        <f ca="1">'Loading Arrival'!B29</f>
        <v>45903</v>
      </c>
    </row>
    <row r="33" spans="1:11" x14ac:dyDescent="0.25">
      <c r="A33" s="2">
        <f t="shared" ca="1" si="1"/>
        <v>45946</v>
      </c>
      <c r="B33">
        <f ca="1">VLOOKUP(EOMONTH(A33,-1)+1,Tullet!$N$4:$S$34,3,0)</f>
        <v>447.96492045454539</v>
      </c>
      <c r="C33">
        <f ca="1">VLOOKUP(EOMONTH(A33,0)+1,Tullet!$N$50:$S$83,3,0)</f>
        <v>478.37742045454542</v>
      </c>
      <c r="D33">
        <f t="shared" ca="1" si="0"/>
        <v>30.412500000000023</v>
      </c>
      <c r="E33" s="433">
        <f ca="1">VLOOKUP(DATE(YEAR(A33), MONTH(A33), 1), 'Tullet US'!$V$24:$X$32, 3, FALSE)*6.35</f>
        <v>13.97</v>
      </c>
      <c r="H33" s="513"/>
      <c r="I33" s="515"/>
      <c r="J33" s="5" t="s">
        <v>106</v>
      </c>
      <c r="K33" s="113">
        <f ca="1">'Loading Arrival'!B35</f>
        <v>45923</v>
      </c>
    </row>
    <row r="34" spans="1:11" ht="15.75" thickBot="1" x14ac:dyDescent="0.3">
      <c r="A34" s="2">
        <f t="shared" ca="1" si="1"/>
        <v>45947</v>
      </c>
      <c r="B34">
        <f ca="1">VLOOKUP(EOMONTH(A34,-1)+1,Tullet!$N$4:$S$34,3,0)</f>
        <v>447.96492045454539</v>
      </c>
      <c r="C34">
        <f ca="1">VLOOKUP(EOMONTH(A34,0)+1,Tullet!$N$50:$S$83,3,0)</f>
        <v>478.37742045454542</v>
      </c>
      <c r="D34">
        <f t="shared" ca="1" si="0"/>
        <v>30.412500000000023</v>
      </c>
      <c r="E34" s="433">
        <f ca="1">VLOOKUP(DATE(YEAR(A34), MONTH(A34), 1), 'Tullet US'!$V$24:$X$32, 3, FALSE)*6.35</f>
        <v>13.97</v>
      </c>
      <c r="H34" s="513"/>
      <c r="I34" s="515"/>
      <c r="J34" s="118" t="s">
        <v>107</v>
      </c>
      <c r="K34" s="119">
        <f ca="1">SUMPRODUCT(--($A$2:$A$66&gt;=K32),--($A$2:$A$66&lt;=K33),$D$2:$D$66)/SUMPRODUCT(--($A$2:$A$66&gt;=K32),--($A$2:$A$66&lt;=K33))</f>
        <v>28.662500000000023</v>
      </c>
    </row>
    <row r="35" spans="1:11" x14ac:dyDescent="0.25">
      <c r="A35" s="2">
        <f t="shared" ca="1" si="1"/>
        <v>45950</v>
      </c>
      <c r="B35">
        <f ca="1">VLOOKUP(EOMONTH(A35,-1)+1,Tullet!$N$4:$S$34,3,0)</f>
        <v>447.96492045454539</v>
      </c>
      <c r="C35">
        <f ca="1">VLOOKUP(EOMONTH(A35,0)+1,Tullet!$N$50:$S$83,3,0)</f>
        <v>478.37742045454542</v>
      </c>
      <c r="D35">
        <f t="shared" ca="1" si="0"/>
        <v>30.412500000000023</v>
      </c>
      <c r="E35" s="433">
        <f ca="1">VLOOKUP(DATE(YEAR(A35), MONTH(A35), 1), 'Tullet US'!$V$24:$X$32, 3, FALSE)*6.35</f>
        <v>13.97</v>
      </c>
      <c r="H35" s="513"/>
      <c r="I35" s="515"/>
      <c r="J35" s="3" t="s">
        <v>108</v>
      </c>
      <c r="K35" s="116">
        <f ca="1">'Loading Arrival'!C29</f>
        <v>45917</v>
      </c>
    </row>
    <row r="36" spans="1:11" x14ac:dyDescent="0.25">
      <c r="A36" s="2">
        <f t="shared" ca="1" si="1"/>
        <v>45951</v>
      </c>
      <c r="B36">
        <f ca="1">VLOOKUP(EOMONTH(A36,-1)+1,Tullet!$N$4:$S$34,3,0)</f>
        <v>447.96492045454539</v>
      </c>
      <c r="C36">
        <f ca="1">VLOOKUP(EOMONTH(A36,0)+1,Tullet!$N$50:$S$83,3,0)</f>
        <v>478.37742045454542</v>
      </c>
      <c r="D36">
        <f t="shared" ca="1" si="0"/>
        <v>30.412500000000023</v>
      </c>
      <c r="E36" s="433">
        <f ca="1">VLOOKUP(DATE(YEAR(A36), MONTH(A36), 1), 'Tullet US'!$V$24:$X$32, 3, FALSE)*6.35</f>
        <v>13.97</v>
      </c>
      <c r="H36" s="513"/>
      <c r="I36" s="515"/>
      <c r="J36" s="5" t="s">
        <v>106</v>
      </c>
      <c r="K36" s="117">
        <f ca="1">'Loading Arrival'!C35</f>
        <v>45937</v>
      </c>
    </row>
    <row r="37" spans="1:11" ht="15.75" thickBot="1" x14ac:dyDescent="0.3">
      <c r="A37" s="2">
        <f t="shared" ca="1" si="1"/>
        <v>45952</v>
      </c>
      <c r="B37">
        <f ca="1">VLOOKUP(EOMONTH(A37,-1)+1,Tullet!$N$4:$S$34,3,0)</f>
        <v>447.96492045454539</v>
      </c>
      <c r="C37">
        <f ca="1">VLOOKUP(EOMONTH(A37,0)+1,Tullet!$N$50:$S$83,3,0)</f>
        <v>478.37742045454542</v>
      </c>
      <c r="D37">
        <f t="shared" ca="1" si="0"/>
        <v>30.412500000000023</v>
      </c>
      <c r="E37" s="433">
        <f ca="1">VLOOKUP(DATE(YEAR(A37), MONTH(A37), 1), 'Tullet US'!$V$24:$X$32, 3, FALSE)*6.35</f>
        <v>13.97</v>
      </c>
      <c r="H37" s="513"/>
      <c r="I37" s="515"/>
      <c r="J37" s="114" t="s">
        <v>107</v>
      </c>
      <c r="K37" s="115">
        <f ca="1">SUMPRODUCT(--($A$2:$A$66&gt;=K35),--($A$2:$A$66&lt;=K36),$D$2:$D$66)/SUMPRODUCT(--($A$2:$A$66&gt;=K35),--($A$2:$A$66&lt;=K36))</f>
        <v>29.245833333333355</v>
      </c>
    </row>
    <row r="38" spans="1:11" x14ac:dyDescent="0.25">
      <c r="A38" s="2">
        <f ca="1">WORKDAY(A37,1)</f>
        <v>45953</v>
      </c>
      <c r="B38">
        <f ca="1">VLOOKUP(EOMONTH(A38,-1)+1,Tullet!$N$4:$S$34,3,0)</f>
        <v>447.96492045454539</v>
      </c>
      <c r="C38">
        <f ca="1">VLOOKUP(EOMONTH(A38,0)+1,Tullet!$N$50:$S$83,3,0)</f>
        <v>478.37742045454542</v>
      </c>
      <c r="D38">
        <f t="shared" ca="1" si="0"/>
        <v>30.412500000000023</v>
      </c>
      <c r="E38" s="433">
        <f ca="1">VLOOKUP(DATE(YEAR(A38), MONTH(A38), 1), 'Tullet US'!$V$24:$X$32, 3, FALSE)*6.35</f>
        <v>13.97</v>
      </c>
      <c r="H38" s="513"/>
      <c r="I38" s="515"/>
      <c r="J38" s="5" t="s">
        <v>109</v>
      </c>
      <c r="K38" s="117">
        <f ca="1">'Loading Arrival'!D29</f>
        <v>45931</v>
      </c>
    </row>
    <row r="39" spans="1:11" x14ac:dyDescent="0.25">
      <c r="A39" s="2">
        <f t="shared" ca="1" si="1"/>
        <v>45954</v>
      </c>
      <c r="B39">
        <f ca="1">VLOOKUP(EOMONTH(A39,-1)+1,Tullet!$N$4:$S$34,3,0)</f>
        <v>447.96492045454539</v>
      </c>
      <c r="C39">
        <f ca="1">VLOOKUP(EOMONTH(A39,0)+1,Tullet!$N$50:$S$83,3,0)</f>
        <v>478.37742045454542</v>
      </c>
      <c r="D39">
        <f t="shared" ca="1" si="0"/>
        <v>30.412500000000023</v>
      </c>
      <c r="E39" s="433">
        <f ca="1">VLOOKUP(DATE(YEAR(A39), MONTH(A39), 1), 'Tullet US'!$V$24:$X$32, 3, FALSE)*6.35</f>
        <v>13.97</v>
      </c>
      <c r="H39" s="513"/>
      <c r="I39" s="515"/>
      <c r="J39" s="5" t="s">
        <v>106</v>
      </c>
      <c r="K39" s="117">
        <f ca="1">'Loading Arrival'!D35</f>
        <v>45951</v>
      </c>
    </row>
    <row r="40" spans="1:11" ht="15.75" thickBot="1" x14ac:dyDescent="0.3">
      <c r="A40" s="2">
        <f t="shared" ca="1" si="1"/>
        <v>45957</v>
      </c>
      <c r="B40">
        <f ca="1">VLOOKUP(EOMONTH(A40,-1)+1,Tullet!$N$4:$S$34,3,0)</f>
        <v>447.96492045454539</v>
      </c>
      <c r="C40">
        <f ca="1">VLOOKUP(EOMONTH(A40,0)+1,Tullet!$N$50:$S$83,3,0)</f>
        <v>478.37742045454542</v>
      </c>
      <c r="D40">
        <f t="shared" ca="1" si="0"/>
        <v>30.412500000000023</v>
      </c>
      <c r="E40" s="433">
        <f ca="1">VLOOKUP(DATE(YEAR(A40), MONTH(A40), 1), 'Tullet US'!$V$24:$X$32, 3, FALSE)*6.35</f>
        <v>13.97</v>
      </c>
      <c r="H40" s="513"/>
      <c r="I40" s="516"/>
      <c r="J40" s="114" t="s">
        <v>107</v>
      </c>
      <c r="K40" s="115">
        <f ca="1">SUMPRODUCT(--($A$2:$A$66&gt;=K38),--($A$2:$A$66&lt;=K39),$D$2:$D$66)/SUMPRODUCT(--($A$2:$A$66&gt;=K38),--($A$2:$A$66&lt;=K39))</f>
        <v>30.412500000000023</v>
      </c>
    </row>
    <row r="41" spans="1:11" ht="15.75" thickBot="1" x14ac:dyDescent="0.3">
      <c r="A41" s="2">
        <f t="shared" ca="1" si="1"/>
        <v>45958</v>
      </c>
      <c r="B41">
        <f ca="1">VLOOKUP(EOMONTH(A41,-1)+1,Tullet!$N$4:$S$34,3,0)</f>
        <v>447.96492045454539</v>
      </c>
      <c r="C41">
        <f ca="1">VLOOKUP(EOMONTH(A41,0)+1,Tullet!$N$50:$S$83,3,0)</f>
        <v>478.37742045454542</v>
      </c>
      <c r="D41">
        <f t="shared" ca="1" si="0"/>
        <v>30.412500000000023</v>
      </c>
      <c r="E41" s="433">
        <f ca="1">VLOOKUP(DATE(YEAR(A41), MONTH(A41), 1), 'Tullet US'!$V$24:$X$32, 3, FALSE)*6.35</f>
        <v>13.97</v>
      </c>
    </row>
    <row r="42" spans="1:11" x14ac:dyDescent="0.25">
      <c r="A42" s="2">
        <f t="shared" ca="1" si="1"/>
        <v>45959</v>
      </c>
      <c r="B42">
        <f ca="1">VLOOKUP(EOMONTH(A42,-1)+1,Tullet!$N$4:$S$34,3,0)</f>
        <v>447.96492045454539</v>
      </c>
      <c r="C42">
        <f ca="1">VLOOKUP(EOMONTH(A42,0)+1,Tullet!$N$50:$S$83,3,0)</f>
        <v>478.37742045454542</v>
      </c>
      <c r="D42">
        <f t="shared" ca="1" si="0"/>
        <v>30.412500000000023</v>
      </c>
      <c r="E42" s="433">
        <f ca="1">VLOOKUP(DATE(YEAR(A42), MONTH(A42), 1), 'Tullet US'!$V$24:$X$32, 3, FALSE)*6.35</f>
        <v>13.97</v>
      </c>
      <c r="H42" s="513" t="s">
        <v>114</v>
      </c>
      <c r="I42" s="514" t="s">
        <v>110</v>
      </c>
      <c r="J42" s="3" t="s">
        <v>105</v>
      </c>
      <c r="K42" s="112">
        <f ca="1">'Loading Arrival'!B38</f>
        <v>45903</v>
      </c>
    </row>
    <row r="43" spans="1:11" x14ac:dyDescent="0.25">
      <c r="A43" s="2">
        <f t="shared" ca="1" si="1"/>
        <v>45960</v>
      </c>
      <c r="B43">
        <f ca="1">VLOOKUP(EOMONTH(A43,-1)+1,Tullet!$N$4:$S$34,3,0)</f>
        <v>447.96492045454539</v>
      </c>
      <c r="C43">
        <f ca="1">VLOOKUP(EOMONTH(A43,0)+1,Tullet!$N$50:$S$83,3,0)</f>
        <v>478.37742045454542</v>
      </c>
      <c r="D43">
        <f t="shared" ca="1" si="0"/>
        <v>30.412500000000023</v>
      </c>
      <c r="E43" s="433">
        <f ca="1">VLOOKUP(DATE(YEAR(A43), MONTH(A43), 1), 'Tullet US'!$V$24:$X$32, 3, FALSE)*6.35</f>
        <v>13.97</v>
      </c>
      <c r="H43" s="513"/>
      <c r="I43" s="515"/>
      <c r="J43" s="5" t="s">
        <v>106</v>
      </c>
      <c r="K43" s="113">
        <f ca="1">'Loading Arrival'!B44</f>
        <v>45915</v>
      </c>
    </row>
    <row r="44" spans="1:11" ht="15.75" thickBot="1" x14ac:dyDescent="0.3">
      <c r="A44" s="2">
        <f t="shared" ca="1" si="1"/>
        <v>45961</v>
      </c>
      <c r="B44">
        <f ca="1">VLOOKUP(EOMONTH(A44,-1)+1,Tullet!$N$4:$S$34,3,0)</f>
        <v>447.96492045454539</v>
      </c>
      <c r="C44">
        <f ca="1">VLOOKUP(EOMONTH(A44,0)+1,Tullet!$N$50:$S$83,3,0)</f>
        <v>478.37742045454542</v>
      </c>
      <c r="D44">
        <f t="shared" ca="1" si="0"/>
        <v>30.412500000000023</v>
      </c>
      <c r="E44" s="433">
        <f ca="1">VLOOKUP(DATE(YEAR(A44), MONTH(A44), 1), 'Tullet US'!$V$24:$X$32, 3, FALSE)*6.35</f>
        <v>13.97</v>
      </c>
      <c r="H44" s="513"/>
      <c r="I44" s="515"/>
      <c r="J44" s="118" t="s">
        <v>107</v>
      </c>
      <c r="K44" s="119">
        <f ca="1">SUMPRODUCT(--($A$2:$A$66&gt;=K42),--($A$2:$A$66&lt;=K43),$D$2:$D$66)/SUMPRODUCT(--($A$2:$A$66&gt;=K42),--($A$2:$A$66&lt;=K43))</f>
        <v>28.662500000000023</v>
      </c>
    </row>
    <row r="45" spans="1:11" x14ac:dyDescent="0.25">
      <c r="A45" s="2">
        <f t="shared" ca="1" si="1"/>
        <v>45964</v>
      </c>
      <c r="B45">
        <f ca="1">VLOOKUP(EOMONTH(A45,-1)+1,Tullet!$N$4:$S$34,3,0)</f>
        <v>444.21492045454539</v>
      </c>
      <c r="C45">
        <f ca="1">VLOOKUP(EOMONTH(A45,0)+1,Tullet!$N$50:$S$83,3,0)</f>
        <v>475.87742045454542</v>
      </c>
      <c r="D45">
        <f t="shared" ca="1" si="0"/>
        <v>31.662500000000023</v>
      </c>
      <c r="E45" s="433">
        <f ca="1">VLOOKUP(DATE(YEAR(A45), MONTH(A45), 1), 'Tullet US'!$V$24:$X$32, 3, FALSE)*6.35</f>
        <v>14.224</v>
      </c>
      <c r="H45" s="513"/>
      <c r="I45" s="515"/>
      <c r="J45" s="3" t="s">
        <v>108</v>
      </c>
      <c r="K45" s="116">
        <f ca="1">'Loading Arrival'!C38</f>
        <v>45917</v>
      </c>
    </row>
    <row r="46" spans="1:11" x14ac:dyDescent="0.25">
      <c r="A46" s="2">
        <f t="shared" ca="1" si="1"/>
        <v>45965</v>
      </c>
      <c r="B46">
        <f ca="1">VLOOKUP(EOMONTH(A46,-1)+1,Tullet!$N$4:$S$34,3,0)</f>
        <v>444.21492045454539</v>
      </c>
      <c r="C46">
        <f ca="1">VLOOKUP(EOMONTH(A46,0)+1,Tullet!$N$50:$S$83,3,0)</f>
        <v>475.87742045454542</v>
      </c>
      <c r="D46">
        <f t="shared" ca="1" si="0"/>
        <v>31.662500000000023</v>
      </c>
      <c r="E46" s="433">
        <f ca="1">VLOOKUP(DATE(YEAR(A46), MONTH(A46), 1), 'Tullet US'!$V$24:$X$32, 3, FALSE)*6.35</f>
        <v>14.224</v>
      </c>
      <c r="H46" s="513"/>
      <c r="I46" s="515"/>
      <c r="J46" s="5" t="s">
        <v>106</v>
      </c>
      <c r="K46" s="117">
        <f ca="1">'Loading Arrival'!C44</f>
        <v>45929</v>
      </c>
    </row>
    <row r="47" spans="1:11" ht="15.75" thickBot="1" x14ac:dyDescent="0.3">
      <c r="A47" s="2">
        <f t="shared" ca="1" si="1"/>
        <v>45966</v>
      </c>
      <c r="B47">
        <f ca="1">VLOOKUP(EOMONTH(A47,-1)+1,Tullet!$N$4:$S$34,3,0)</f>
        <v>444.21492045454539</v>
      </c>
      <c r="C47">
        <f ca="1">VLOOKUP(EOMONTH(A47,0)+1,Tullet!$N$50:$S$83,3,0)</f>
        <v>475.87742045454542</v>
      </c>
      <c r="D47">
        <f t="shared" ca="1" si="0"/>
        <v>31.662500000000023</v>
      </c>
      <c r="E47" s="433">
        <f ca="1">VLOOKUP(DATE(YEAR(A47), MONTH(A47), 1), 'Tullet US'!$V$24:$X$32, 3, FALSE)*6.35</f>
        <v>14.224</v>
      </c>
      <c r="H47" s="513"/>
      <c r="I47" s="515"/>
      <c r="J47" s="114" t="s">
        <v>107</v>
      </c>
      <c r="K47" s="115">
        <f ca="1">SUMPRODUCT(--($A$2:$A$66&gt;=K45),--($A$2:$A$66&lt;=K46),$D$2:$D$66)/SUMPRODUCT(--($A$2:$A$66&gt;=K45),--($A$2:$A$66&lt;=K46))</f>
        <v>28.662500000000023</v>
      </c>
    </row>
    <row r="48" spans="1:11" x14ac:dyDescent="0.25">
      <c r="A48" s="2">
        <f t="shared" ca="1" si="1"/>
        <v>45967</v>
      </c>
      <c r="B48">
        <f ca="1">VLOOKUP(EOMONTH(A48,-1)+1,Tullet!$N$4:$S$34,3,0)</f>
        <v>444.21492045454539</v>
      </c>
      <c r="C48">
        <f ca="1">VLOOKUP(EOMONTH(A48,0)+1,Tullet!$N$50:$S$83,3,0)</f>
        <v>475.87742045454542</v>
      </c>
      <c r="D48">
        <f t="shared" ca="1" si="0"/>
        <v>31.662500000000023</v>
      </c>
      <c r="E48" s="433">
        <f ca="1">VLOOKUP(DATE(YEAR(A48), MONTH(A48), 1), 'Tullet US'!$V$24:$X$32, 3, FALSE)*6.35</f>
        <v>14.224</v>
      </c>
      <c r="H48" s="513"/>
      <c r="I48" s="515"/>
      <c r="J48" s="5" t="s">
        <v>109</v>
      </c>
      <c r="K48" s="117">
        <f ca="1">'Loading Arrival'!D38</f>
        <v>45931</v>
      </c>
    </row>
    <row r="49" spans="1:11" x14ac:dyDescent="0.25">
      <c r="A49" s="2">
        <f t="shared" ca="1" si="1"/>
        <v>45968</v>
      </c>
      <c r="B49">
        <f ca="1">VLOOKUP(EOMONTH(A49,-1)+1,Tullet!$N$4:$S$34,3,0)</f>
        <v>444.21492045454539</v>
      </c>
      <c r="C49">
        <f ca="1">VLOOKUP(EOMONTH(A49,0)+1,Tullet!$N$50:$S$83,3,0)</f>
        <v>475.87742045454542</v>
      </c>
      <c r="D49">
        <f t="shared" ca="1" si="0"/>
        <v>31.662500000000023</v>
      </c>
      <c r="E49" s="433">
        <f ca="1">VLOOKUP(DATE(YEAR(A49), MONTH(A49), 1), 'Tullet US'!$V$24:$X$32, 3, FALSE)*6.35</f>
        <v>14.224</v>
      </c>
      <c r="H49" s="513"/>
      <c r="I49" s="515"/>
      <c r="J49" s="5" t="s">
        <v>106</v>
      </c>
      <c r="K49" s="117">
        <f ca="1">'Loading Arrival'!D44</f>
        <v>45943</v>
      </c>
    </row>
    <row r="50" spans="1:11" ht="15.75" thickBot="1" x14ac:dyDescent="0.3">
      <c r="A50" s="2">
        <f t="shared" ca="1" si="1"/>
        <v>45971</v>
      </c>
      <c r="B50">
        <f ca="1">VLOOKUP(EOMONTH(A50,-1)+1,Tullet!$N$4:$S$34,3,0)</f>
        <v>444.21492045454539</v>
      </c>
      <c r="C50">
        <f ca="1">VLOOKUP(EOMONTH(A50,0)+1,Tullet!$N$50:$S$83,3,0)</f>
        <v>475.87742045454542</v>
      </c>
      <c r="D50">
        <f t="shared" ca="1" si="0"/>
        <v>31.662500000000023</v>
      </c>
      <c r="E50" s="433">
        <f ca="1">VLOOKUP(DATE(YEAR(A50), MONTH(A50), 1), 'Tullet US'!$V$24:$X$32, 3, FALSE)*6.35</f>
        <v>14.224</v>
      </c>
      <c r="H50" s="513"/>
      <c r="I50" s="516"/>
      <c r="J50" s="114" t="s">
        <v>107</v>
      </c>
      <c r="K50" s="115">
        <f ca="1">SUMPRODUCT(--($A$2:$A$66&gt;=K48),--($A$2:$A$66&lt;=K49),$D$2:$D$66)/SUMPRODUCT(--($A$2:$A$66&gt;=K48),--($A$2:$A$66&lt;=K49))</f>
        <v>30.412500000000023</v>
      </c>
    </row>
    <row r="51" spans="1:11" ht="15.75" thickBot="1" x14ac:dyDescent="0.3">
      <c r="A51" s="2">
        <f t="shared" ca="1" si="1"/>
        <v>45972</v>
      </c>
      <c r="B51">
        <f ca="1">VLOOKUP(EOMONTH(A51,-1)+1,Tullet!$N$4:$S$34,3,0)</f>
        <v>444.21492045454539</v>
      </c>
      <c r="C51">
        <f ca="1">VLOOKUP(EOMONTH(A51,0)+1,Tullet!$N$50:$S$83,3,0)</f>
        <v>475.87742045454542</v>
      </c>
      <c r="D51">
        <f t="shared" ca="1" si="0"/>
        <v>31.662500000000023</v>
      </c>
      <c r="E51" s="433">
        <f ca="1">VLOOKUP(DATE(YEAR(A51), MONTH(A51), 1), 'Tullet US'!$V$24:$X$32, 3, FALSE)*6.35</f>
        <v>14.224</v>
      </c>
    </row>
    <row r="52" spans="1:11" x14ac:dyDescent="0.25">
      <c r="A52" s="2">
        <f t="shared" ca="1" si="1"/>
        <v>45973</v>
      </c>
      <c r="B52">
        <f ca="1">VLOOKUP(EOMONTH(A52,-1)+1,Tullet!$N$4:$S$34,3,0)</f>
        <v>444.21492045454539</v>
      </c>
      <c r="C52">
        <f ca="1">VLOOKUP(EOMONTH(A52,0)+1,Tullet!$N$50:$S$83,3,0)</f>
        <v>475.87742045454542</v>
      </c>
      <c r="D52">
        <f t="shared" ca="1" si="0"/>
        <v>31.662500000000023</v>
      </c>
      <c r="E52" s="433">
        <f ca="1">VLOOKUP(DATE(YEAR(A52), MONTH(A52), 1), 'Tullet US'!$V$24:$X$32, 3, FALSE)*6.35</f>
        <v>14.224</v>
      </c>
      <c r="H52" s="513" t="s">
        <v>222</v>
      </c>
      <c r="I52" s="514" t="s">
        <v>110</v>
      </c>
      <c r="J52" s="3" t="s">
        <v>105</v>
      </c>
      <c r="K52" s="112">
        <f ca="1">'Loading Arrival'!G3</f>
        <v>45903</v>
      </c>
    </row>
    <row r="53" spans="1:11" x14ac:dyDescent="0.25">
      <c r="A53" s="2">
        <f t="shared" ca="1" si="1"/>
        <v>45974</v>
      </c>
      <c r="B53">
        <f ca="1">VLOOKUP(EOMONTH(A53,-1)+1,Tullet!$N$4:$S$34,3,0)</f>
        <v>444.21492045454539</v>
      </c>
      <c r="C53">
        <f ca="1">VLOOKUP(EOMONTH(A53,0)+1,Tullet!$N$50:$S$83,3,0)</f>
        <v>475.87742045454542</v>
      </c>
      <c r="D53">
        <f t="shared" ca="1" si="0"/>
        <v>31.662500000000023</v>
      </c>
      <c r="E53" s="433">
        <f ca="1">VLOOKUP(DATE(YEAR(A53), MONTH(A53), 1), 'Tullet US'!$V$24:$X$32, 3, FALSE)*6.35</f>
        <v>14.224</v>
      </c>
      <c r="H53" s="513"/>
      <c r="I53" s="515"/>
      <c r="J53" s="5" t="s">
        <v>106</v>
      </c>
      <c r="K53" s="113">
        <f ca="1">'Loading Arrival'!G9</f>
        <v>45918</v>
      </c>
    </row>
    <row r="54" spans="1:11" ht="15.75" thickBot="1" x14ac:dyDescent="0.3">
      <c r="A54" s="2">
        <f t="shared" ca="1" si="1"/>
        <v>45975</v>
      </c>
      <c r="B54">
        <f ca="1">VLOOKUP(EOMONTH(A54,-1)+1,Tullet!$N$4:$S$34,3,0)</f>
        <v>444.21492045454539</v>
      </c>
      <c r="C54">
        <f ca="1">VLOOKUP(EOMONTH(A54,0)+1,Tullet!$N$50:$S$83,3,0)</f>
        <v>475.87742045454542</v>
      </c>
      <c r="D54">
        <f t="shared" ca="1" si="0"/>
        <v>31.662500000000023</v>
      </c>
      <c r="E54" s="433">
        <f ca="1">VLOOKUP(DATE(YEAR(A54), MONTH(A54), 1), 'Tullet US'!$V$24:$X$32, 3, FALSE)*6.35</f>
        <v>14.224</v>
      </c>
      <c r="H54" s="513"/>
      <c r="I54" s="515"/>
      <c r="J54" s="118" t="s">
        <v>107</v>
      </c>
      <c r="K54" s="119" cm="1">
        <f t="array" aca="1" ref="K54" ca="1">SUMPRODUCT(--($A$2:$A$66&gt;=K52),--($A$2:$A$66&lt;=K53),$E$2:$E$66)/SUMPRODUCT(--($A$2:$A$66&gt;=K52),--($A$2:$A$66&lt;=K53))</f>
        <v>15.875</v>
      </c>
    </row>
    <row r="55" spans="1:11" x14ac:dyDescent="0.25">
      <c r="A55" s="2">
        <f t="shared" ca="1" si="1"/>
        <v>45978</v>
      </c>
      <c r="B55">
        <f ca="1">VLOOKUP(EOMONTH(A55,-1)+1,Tullet!$N$4:$S$34,3,0)</f>
        <v>444.21492045454539</v>
      </c>
      <c r="C55">
        <f ca="1">VLOOKUP(EOMONTH(A55,0)+1,Tullet!$N$50:$S$83,3,0)</f>
        <v>475.87742045454542</v>
      </c>
      <c r="D55">
        <f t="shared" ca="1" si="0"/>
        <v>31.662500000000023</v>
      </c>
      <c r="E55" s="433">
        <f ca="1">VLOOKUP(DATE(YEAR(A55), MONTH(A55), 1), 'Tullet US'!$V$24:$X$32, 3, FALSE)*6.35</f>
        <v>14.224</v>
      </c>
      <c r="H55" s="513"/>
      <c r="I55" s="515"/>
      <c r="J55" s="3" t="s">
        <v>108</v>
      </c>
      <c r="K55" s="116">
        <f ca="1">'Loading Arrival'!H3</f>
        <v>45917</v>
      </c>
    </row>
    <row r="56" spans="1:11" x14ac:dyDescent="0.25">
      <c r="A56" s="2">
        <f t="shared" ca="1" si="1"/>
        <v>45979</v>
      </c>
      <c r="B56">
        <f ca="1">VLOOKUP(EOMONTH(A56,-1)+1,Tullet!$N$4:$S$34,3,0)</f>
        <v>444.21492045454539</v>
      </c>
      <c r="C56">
        <f ca="1">VLOOKUP(EOMONTH(A56,0)+1,Tullet!$N$50:$S$83,3,0)</f>
        <v>475.87742045454542</v>
      </c>
      <c r="D56">
        <f t="shared" ca="1" si="0"/>
        <v>31.662500000000023</v>
      </c>
      <c r="E56" s="433">
        <f ca="1">VLOOKUP(DATE(YEAR(A56), MONTH(A56), 1), 'Tullet US'!$V$24:$X$32, 3, FALSE)*6.35</f>
        <v>14.224</v>
      </c>
      <c r="H56" s="513"/>
      <c r="I56" s="515"/>
      <c r="J56" s="5" t="s">
        <v>106</v>
      </c>
      <c r="K56" s="117">
        <f ca="1">'Loading Arrival'!H9</f>
        <v>45932</v>
      </c>
    </row>
    <row r="57" spans="1:11" ht="15.75" thickBot="1" x14ac:dyDescent="0.3">
      <c r="A57" s="2">
        <f t="shared" ca="1" si="1"/>
        <v>45980</v>
      </c>
      <c r="B57">
        <f ca="1">VLOOKUP(EOMONTH(A57,-1)+1,Tullet!$N$4:$S$34,3,0)</f>
        <v>444.21492045454539</v>
      </c>
      <c r="C57">
        <f ca="1">VLOOKUP(EOMONTH(A57,0)+1,Tullet!$N$50:$S$83,3,0)</f>
        <v>475.87742045454542</v>
      </c>
      <c r="D57">
        <f t="shared" ca="1" si="0"/>
        <v>31.662500000000023</v>
      </c>
      <c r="E57" s="433">
        <f ca="1">VLOOKUP(DATE(YEAR(A57), MONTH(A57), 1), 'Tullet US'!$V$24:$X$32, 3, FALSE)*6.35</f>
        <v>14.224</v>
      </c>
      <c r="H57" s="513"/>
      <c r="I57" s="515"/>
      <c r="J57" s="114" t="s">
        <v>107</v>
      </c>
      <c r="K57" s="115" cm="1">
        <f t="array" aca="1" ref="K57" ca="1">SUMPRODUCT(--($A$2:$A$66&gt;=K55),--($A$2:$A$66&lt;=K56),$E$2:$E$66)/SUMPRODUCT(--($A$2:$A$66&gt;=K55),--($A$2:$A$66&lt;=K56))</f>
        <v>15.557499999999999</v>
      </c>
    </row>
    <row r="58" spans="1:11" x14ac:dyDescent="0.25">
      <c r="A58" s="2">
        <f t="shared" ca="1" si="1"/>
        <v>45981</v>
      </c>
      <c r="B58">
        <f ca="1">VLOOKUP(EOMONTH(A58,-1)+1,Tullet!$N$4:$S$34,3,0)</f>
        <v>444.21492045454539</v>
      </c>
      <c r="C58">
        <f ca="1">VLOOKUP(EOMONTH(A58,0)+1,Tullet!$N$50:$S$83,3,0)</f>
        <v>475.87742045454542</v>
      </c>
      <c r="D58">
        <f t="shared" ca="1" si="0"/>
        <v>31.662500000000023</v>
      </c>
      <c r="E58" s="433">
        <f ca="1">VLOOKUP(DATE(YEAR(A58), MONTH(A58), 1), 'Tullet US'!$V$24:$X$32, 3, FALSE)*6.35</f>
        <v>14.224</v>
      </c>
      <c r="H58" s="513"/>
      <c r="I58" s="515"/>
      <c r="J58" s="5" t="s">
        <v>109</v>
      </c>
      <c r="K58" s="117">
        <f ca="1">'Loading Arrival'!I3</f>
        <v>45931</v>
      </c>
    </row>
    <row r="59" spans="1:11" x14ac:dyDescent="0.25">
      <c r="A59" s="2">
        <f t="shared" ca="1" si="1"/>
        <v>45982</v>
      </c>
      <c r="B59">
        <f ca="1">VLOOKUP(EOMONTH(A59,-1)+1,Tullet!$N$4:$S$34,3,0)</f>
        <v>444.21492045454539</v>
      </c>
      <c r="C59">
        <f ca="1">VLOOKUP(EOMONTH(A59,0)+1,Tullet!$N$50:$S$83,3,0)</f>
        <v>475.87742045454542</v>
      </c>
      <c r="D59">
        <f t="shared" ca="1" si="0"/>
        <v>31.662500000000023</v>
      </c>
      <c r="E59" s="433">
        <f ca="1">VLOOKUP(DATE(YEAR(A59), MONTH(A59), 1), 'Tullet US'!$V$24:$X$32, 3, FALSE)*6.35</f>
        <v>14.224</v>
      </c>
      <c r="H59" s="513"/>
      <c r="I59" s="515"/>
      <c r="J59" s="5" t="s">
        <v>106</v>
      </c>
      <c r="K59" s="117">
        <f ca="1">'Loading Arrival'!I9</f>
        <v>45946</v>
      </c>
    </row>
    <row r="60" spans="1:11" ht="15.75" thickBot="1" x14ac:dyDescent="0.3">
      <c r="A60" s="2">
        <f t="shared" ca="1" si="1"/>
        <v>45985</v>
      </c>
      <c r="B60">
        <f ca="1">VLOOKUP(EOMONTH(A60,-1)+1,Tullet!$N$4:$S$34,3,0)</f>
        <v>444.21492045454539</v>
      </c>
      <c r="C60">
        <f ca="1">VLOOKUP(EOMONTH(A60,0)+1,Tullet!$N$50:$S$83,3,0)</f>
        <v>475.87742045454542</v>
      </c>
      <c r="D60">
        <f t="shared" ca="1" si="0"/>
        <v>31.662500000000023</v>
      </c>
      <c r="E60" s="433">
        <f ca="1">VLOOKUP(DATE(YEAR(A60), MONTH(A60), 1), 'Tullet US'!$V$24:$X$32, 3, FALSE)*6.35</f>
        <v>14.224</v>
      </c>
      <c r="H60" s="513"/>
      <c r="I60" s="516"/>
      <c r="J60" s="114" t="s">
        <v>107</v>
      </c>
      <c r="K60" s="115" cm="1">
        <f t="array" aca="1" ref="K60" ca="1">SUMPRODUCT(--($A$2:$A$66&gt;=K58),--($A$2:$A$66&lt;=K59),$E$2:$E$66)/SUMPRODUCT(--($A$2:$A$66&gt;=K58),--($A$2:$A$66&lt;=K59))</f>
        <v>13.97</v>
      </c>
    </row>
    <row r="61" spans="1:11" x14ac:dyDescent="0.25">
      <c r="A61" s="2">
        <f t="shared" ca="1" si="1"/>
        <v>45986</v>
      </c>
      <c r="B61">
        <f ca="1">VLOOKUP(EOMONTH(A61,-1)+1,Tullet!$N$4:$S$34,3,0)</f>
        <v>444.21492045454539</v>
      </c>
      <c r="C61">
        <f ca="1">VLOOKUP(EOMONTH(A61,0)+1,Tullet!$N$50:$S$83,3,0)</f>
        <v>475.87742045454542</v>
      </c>
      <c r="D61">
        <f t="shared" ca="1" si="0"/>
        <v>31.662500000000023</v>
      </c>
      <c r="E61" s="433">
        <f ca="1">VLOOKUP(DATE(YEAR(A61), MONTH(A61), 1), 'Tullet US'!$V$24:$X$32, 3, FALSE)*6.35</f>
        <v>14.224</v>
      </c>
    </row>
    <row r="62" spans="1:11" x14ac:dyDescent="0.25">
      <c r="A62" s="2">
        <f t="shared" ca="1" si="1"/>
        <v>45987</v>
      </c>
      <c r="B62">
        <f ca="1">VLOOKUP(EOMONTH(A62,-1)+1,Tullet!$N$4:$S$34,3,0)</f>
        <v>444.21492045454539</v>
      </c>
      <c r="C62">
        <f ca="1">VLOOKUP(EOMONTH(A62,0)+1,Tullet!$N$50:$S$83,3,0)</f>
        <v>475.87742045454542</v>
      </c>
      <c r="D62">
        <f t="shared" ca="1" si="0"/>
        <v>31.662500000000023</v>
      </c>
      <c r="E62" s="433">
        <f ca="1">VLOOKUP(DATE(YEAR(A62), MONTH(A62), 1), 'Tullet US'!$V$24:$X$32, 3, FALSE)*6.35</f>
        <v>14.224</v>
      </c>
    </row>
    <row r="63" spans="1:11" x14ac:dyDescent="0.25">
      <c r="A63" s="2">
        <f t="shared" ca="1" si="1"/>
        <v>45988</v>
      </c>
      <c r="B63">
        <f ca="1">VLOOKUP(EOMONTH(A63,-1)+1,Tullet!$N$4:$S$34,3,0)</f>
        <v>444.21492045454539</v>
      </c>
      <c r="C63">
        <f ca="1">VLOOKUP(EOMONTH(A63,0)+1,Tullet!$N$50:$S$83,3,0)</f>
        <v>475.87742045454542</v>
      </c>
      <c r="D63">
        <f t="shared" ca="1" si="0"/>
        <v>31.662500000000023</v>
      </c>
      <c r="E63" s="433">
        <f ca="1">VLOOKUP(DATE(YEAR(A63), MONTH(A63), 1), 'Tullet US'!$V$24:$X$32, 3, FALSE)*6.35</f>
        <v>14.224</v>
      </c>
    </row>
    <row r="64" spans="1:11" x14ac:dyDescent="0.25">
      <c r="A64" s="2">
        <f t="shared" ca="1" si="1"/>
        <v>45989</v>
      </c>
      <c r="B64">
        <f ca="1">VLOOKUP(EOMONTH(A64,-1)+1,Tullet!$N$4:$S$34,3,0)</f>
        <v>444.21492045454539</v>
      </c>
      <c r="C64">
        <f ca="1">VLOOKUP(EOMONTH(A64,0)+1,Tullet!$N$50:$S$83,3,0)</f>
        <v>475.87742045454542</v>
      </c>
      <c r="D64">
        <f t="shared" ca="1" si="0"/>
        <v>31.662500000000023</v>
      </c>
      <c r="E64" s="433">
        <f ca="1">VLOOKUP(DATE(YEAR(A64), MONTH(A64), 1), 'Tullet US'!$V$24:$X$32, 3, FALSE)*6.35</f>
        <v>14.224</v>
      </c>
    </row>
    <row r="65" spans="1:5" x14ac:dyDescent="0.25">
      <c r="A65" s="2">
        <f t="shared" ca="1" si="1"/>
        <v>45992</v>
      </c>
      <c r="B65">
        <f ca="1">VLOOKUP(EOMONTH(A65,-1)+1,Tullet!$N$4:$S$34,3,0)</f>
        <v>441.46492045454539</v>
      </c>
      <c r="C65">
        <f ca="1">VLOOKUP(EOMONTH(A65,0)+1,Tullet!$N$50:$S$83,3,0)</f>
        <v>473.62742045454542</v>
      </c>
      <c r="D65">
        <f t="shared" ca="1" si="0"/>
        <v>32.162500000000023</v>
      </c>
      <c r="E65" s="433">
        <f ca="1">VLOOKUP(DATE(YEAR(A65), MONTH(A65), 1), 'Tullet US'!$V$24:$X$32, 3, FALSE)*6.35</f>
        <v>13.843</v>
      </c>
    </row>
    <row r="66" spans="1:5" x14ac:dyDescent="0.25">
      <c r="A66" s="2">
        <f t="shared" ca="1" si="1"/>
        <v>45993</v>
      </c>
      <c r="B66">
        <f ca="1">VLOOKUP(EOMONTH(A66,-1)+1,Tullet!$N$4:$S$34,3,0)</f>
        <v>441.46492045454539</v>
      </c>
      <c r="C66">
        <f ca="1">VLOOKUP(EOMONTH(A66,0)+1,Tullet!$N$50:$S$83,3,0)</f>
        <v>473.62742045454542</v>
      </c>
      <c r="D66">
        <f t="shared" ca="1" si="0"/>
        <v>32.162500000000023</v>
      </c>
      <c r="E66" s="433">
        <f ca="1">VLOOKUP(DATE(YEAR(A66), MONTH(A66), 1), 'Tullet US'!$V$24:$X$32, 3, FALSE)*6.35</f>
        <v>13.843</v>
      </c>
    </row>
  </sheetData>
  <mergeCells count="11">
    <mergeCell ref="H52:H60"/>
    <mergeCell ref="I52:I60"/>
    <mergeCell ref="H42:H50"/>
    <mergeCell ref="I42:I50"/>
    <mergeCell ref="H2:H20"/>
    <mergeCell ref="I2:I10"/>
    <mergeCell ref="I12:I20"/>
    <mergeCell ref="H22:H30"/>
    <mergeCell ref="I22:I30"/>
    <mergeCell ref="H32:H40"/>
    <mergeCell ref="I32:I40"/>
  </mergeCells>
  <pageMargins left="0.7" right="0.7" top="0.75" bottom="0.75" header="0.3" footer="0.3"/>
  <customProperties>
    <customPr name="_pios_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B12"/>
  <sheetViews>
    <sheetView workbookViewId="0">
      <selection activeCell="Y16" sqref="Y16"/>
    </sheetView>
  </sheetViews>
  <sheetFormatPr defaultRowHeight="15" x14ac:dyDescent="0.25"/>
  <sheetData>
    <row r="1" spans="1:2" x14ac:dyDescent="0.25">
      <c r="A1">
        <v>1</v>
      </c>
      <c r="B1" t="s">
        <v>89</v>
      </c>
    </row>
    <row r="2" spans="1:2" x14ac:dyDescent="0.25">
      <c r="A2">
        <v>2</v>
      </c>
      <c r="B2" t="s">
        <v>90</v>
      </c>
    </row>
    <row r="3" spans="1:2" x14ac:dyDescent="0.25">
      <c r="A3">
        <v>3</v>
      </c>
      <c r="B3" t="s">
        <v>91</v>
      </c>
    </row>
    <row r="4" spans="1:2" x14ac:dyDescent="0.25">
      <c r="A4">
        <v>4</v>
      </c>
      <c r="B4" t="s">
        <v>92</v>
      </c>
    </row>
    <row r="5" spans="1:2" x14ac:dyDescent="0.25">
      <c r="A5">
        <v>5</v>
      </c>
      <c r="B5" t="s">
        <v>93</v>
      </c>
    </row>
    <row r="6" spans="1:2" x14ac:dyDescent="0.25">
      <c r="A6">
        <v>6</v>
      </c>
      <c r="B6" t="s">
        <v>94</v>
      </c>
    </row>
    <row r="7" spans="1:2" x14ac:dyDescent="0.25">
      <c r="A7">
        <v>7</v>
      </c>
      <c r="B7" t="s">
        <v>95</v>
      </c>
    </row>
    <row r="8" spans="1:2" x14ac:dyDescent="0.25">
      <c r="A8">
        <v>8</v>
      </c>
      <c r="B8" t="s">
        <v>96</v>
      </c>
    </row>
    <row r="9" spans="1:2" x14ac:dyDescent="0.25">
      <c r="A9">
        <v>9</v>
      </c>
      <c r="B9" t="s">
        <v>97</v>
      </c>
    </row>
    <row r="10" spans="1:2" x14ac:dyDescent="0.25">
      <c r="A10">
        <v>10</v>
      </c>
      <c r="B10" t="s">
        <v>98</v>
      </c>
    </row>
    <row r="11" spans="1:2" x14ac:dyDescent="0.25">
      <c r="A11">
        <v>11</v>
      </c>
      <c r="B11" t="s">
        <v>99</v>
      </c>
    </row>
    <row r="12" spans="1:2" x14ac:dyDescent="0.25">
      <c r="A12">
        <v>12</v>
      </c>
      <c r="B12" t="s">
        <v>100</v>
      </c>
    </row>
  </sheetData>
  <pageMargins left="0.7" right="0.7" top="0.75" bottom="0.75" header="0.3" footer="0.3"/>
  <customProperties>
    <customPr name="_pios_i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S168"/>
  <sheetViews>
    <sheetView topLeftCell="A52" workbookViewId="0">
      <selection activeCell="F77" sqref="F77"/>
    </sheetView>
  </sheetViews>
  <sheetFormatPr defaultRowHeight="12.75" customHeight="1" zeroHeight="1" x14ac:dyDescent="0.25"/>
  <cols>
    <col min="1" max="2" width="10.28515625" customWidth="1"/>
    <col min="3" max="3" width="13.5703125" bestFit="1" customWidth="1"/>
    <col min="4" max="4" width="10.28515625" customWidth="1"/>
    <col min="5" max="5" width="10.5703125" customWidth="1"/>
    <col min="6" max="6" width="12.5703125" customWidth="1"/>
    <col min="7" max="7" width="12.42578125" bestFit="1" customWidth="1"/>
    <col min="8" max="12" width="10.28515625" customWidth="1"/>
    <col min="13" max="13" width="10.85546875" customWidth="1"/>
    <col min="15" max="16" width="11.7109375" customWidth="1"/>
    <col min="17" max="17" width="9.7109375" bestFit="1" customWidth="1"/>
    <col min="18" max="18" width="9.7109375" customWidth="1"/>
    <col min="19" max="19" width="13.140625" bestFit="1" customWidth="1"/>
    <col min="257" max="258" width="10.28515625" customWidth="1"/>
    <col min="259" max="259" width="13.5703125" bestFit="1" customWidth="1"/>
    <col min="260" max="260" width="10.28515625" customWidth="1"/>
    <col min="261" max="261" width="10.5703125" customWidth="1"/>
    <col min="262" max="262" width="12.5703125" customWidth="1"/>
    <col min="263" max="263" width="12.42578125" bestFit="1" customWidth="1"/>
    <col min="264" max="268" width="10.28515625" customWidth="1"/>
    <col min="269" max="269" width="10.85546875" customWidth="1"/>
    <col min="271" max="272" width="11.7109375" customWidth="1"/>
    <col min="273" max="273" width="9.7109375" bestFit="1" customWidth="1"/>
    <col min="274" max="274" width="9.7109375" customWidth="1"/>
    <col min="275" max="275" width="13.140625" bestFit="1" customWidth="1"/>
    <col min="513" max="514" width="10.28515625" customWidth="1"/>
    <col min="515" max="515" width="13.5703125" bestFit="1" customWidth="1"/>
    <col min="516" max="516" width="10.28515625" customWidth="1"/>
    <col min="517" max="517" width="10.5703125" customWidth="1"/>
    <col min="518" max="518" width="12.5703125" customWidth="1"/>
    <col min="519" max="519" width="12.42578125" bestFit="1" customWidth="1"/>
    <col min="520" max="524" width="10.28515625" customWidth="1"/>
    <col min="525" max="525" width="10.85546875" customWidth="1"/>
    <col min="527" max="528" width="11.7109375" customWidth="1"/>
    <col min="529" max="529" width="9.7109375" bestFit="1" customWidth="1"/>
    <col min="530" max="530" width="9.7109375" customWidth="1"/>
    <col min="531" max="531" width="13.140625" bestFit="1" customWidth="1"/>
    <col min="769" max="770" width="10.28515625" customWidth="1"/>
    <col min="771" max="771" width="13.5703125" bestFit="1" customWidth="1"/>
    <col min="772" max="772" width="10.28515625" customWidth="1"/>
    <col min="773" max="773" width="10.5703125" customWidth="1"/>
    <col min="774" max="774" width="12.5703125" customWidth="1"/>
    <col min="775" max="775" width="12.42578125" bestFit="1" customWidth="1"/>
    <col min="776" max="780" width="10.28515625" customWidth="1"/>
    <col min="781" max="781" width="10.85546875" customWidth="1"/>
    <col min="783" max="784" width="11.7109375" customWidth="1"/>
    <col min="785" max="785" width="9.7109375" bestFit="1" customWidth="1"/>
    <col min="786" max="786" width="9.7109375" customWidth="1"/>
    <col min="787" max="787" width="13.140625" bestFit="1" customWidth="1"/>
    <col min="1025" max="1026" width="10.28515625" customWidth="1"/>
    <col min="1027" max="1027" width="13.5703125" bestFit="1" customWidth="1"/>
    <col min="1028" max="1028" width="10.28515625" customWidth="1"/>
    <col min="1029" max="1029" width="10.5703125" customWidth="1"/>
    <col min="1030" max="1030" width="12.5703125" customWidth="1"/>
    <col min="1031" max="1031" width="12.42578125" bestFit="1" customWidth="1"/>
    <col min="1032" max="1036" width="10.28515625" customWidth="1"/>
    <col min="1037" max="1037" width="10.85546875" customWidth="1"/>
    <col min="1039" max="1040" width="11.7109375" customWidth="1"/>
    <col min="1041" max="1041" width="9.7109375" bestFit="1" customWidth="1"/>
    <col min="1042" max="1042" width="9.7109375" customWidth="1"/>
    <col min="1043" max="1043" width="13.140625" bestFit="1" customWidth="1"/>
    <col min="1281" max="1282" width="10.28515625" customWidth="1"/>
    <col min="1283" max="1283" width="13.5703125" bestFit="1" customWidth="1"/>
    <col min="1284" max="1284" width="10.28515625" customWidth="1"/>
    <col min="1285" max="1285" width="10.5703125" customWidth="1"/>
    <col min="1286" max="1286" width="12.5703125" customWidth="1"/>
    <col min="1287" max="1287" width="12.42578125" bestFit="1" customWidth="1"/>
    <col min="1288" max="1292" width="10.28515625" customWidth="1"/>
    <col min="1293" max="1293" width="10.85546875" customWidth="1"/>
    <col min="1295" max="1296" width="11.7109375" customWidth="1"/>
    <col min="1297" max="1297" width="9.7109375" bestFit="1" customWidth="1"/>
    <col min="1298" max="1298" width="9.7109375" customWidth="1"/>
    <col min="1299" max="1299" width="13.140625" bestFit="1" customWidth="1"/>
    <col min="1537" max="1538" width="10.28515625" customWidth="1"/>
    <col min="1539" max="1539" width="13.5703125" bestFit="1" customWidth="1"/>
    <col min="1540" max="1540" width="10.28515625" customWidth="1"/>
    <col min="1541" max="1541" width="10.5703125" customWidth="1"/>
    <col min="1542" max="1542" width="12.5703125" customWidth="1"/>
    <col min="1543" max="1543" width="12.42578125" bestFit="1" customWidth="1"/>
    <col min="1544" max="1548" width="10.28515625" customWidth="1"/>
    <col min="1549" max="1549" width="10.85546875" customWidth="1"/>
    <col min="1551" max="1552" width="11.7109375" customWidth="1"/>
    <col min="1553" max="1553" width="9.7109375" bestFit="1" customWidth="1"/>
    <col min="1554" max="1554" width="9.7109375" customWidth="1"/>
    <col min="1555" max="1555" width="13.140625" bestFit="1" customWidth="1"/>
    <col min="1793" max="1794" width="10.28515625" customWidth="1"/>
    <col min="1795" max="1795" width="13.5703125" bestFit="1" customWidth="1"/>
    <col min="1796" max="1796" width="10.28515625" customWidth="1"/>
    <col min="1797" max="1797" width="10.5703125" customWidth="1"/>
    <col min="1798" max="1798" width="12.5703125" customWidth="1"/>
    <col min="1799" max="1799" width="12.42578125" bestFit="1" customWidth="1"/>
    <col min="1800" max="1804" width="10.28515625" customWidth="1"/>
    <col min="1805" max="1805" width="10.85546875" customWidth="1"/>
    <col min="1807" max="1808" width="11.7109375" customWidth="1"/>
    <col min="1809" max="1809" width="9.7109375" bestFit="1" customWidth="1"/>
    <col min="1810" max="1810" width="9.7109375" customWidth="1"/>
    <col min="1811" max="1811" width="13.140625" bestFit="1" customWidth="1"/>
    <col min="2049" max="2050" width="10.28515625" customWidth="1"/>
    <col min="2051" max="2051" width="13.5703125" bestFit="1" customWidth="1"/>
    <col min="2052" max="2052" width="10.28515625" customWidth="1"/>
    <col min="2053" max="2053" width="10.5703125" customWidth="1"/>
    <col min="2054" max="2054" width="12.5703125" customWidth="1"/>
    <col min="2055" max="2055" width="12.42578125" bestFit="1" customWidth="1"/>
    <col min="2056" max="2060" width="10.28515625" customWidth="1"/>
    <col min="2061" max="2061" width="10.85546875" customWidth="1"/>
    <col min="2063" max="2064" width="11.7109375" customWidth="1"/>
    <col min="2065" max="2065" width="9.7109375" bestFit="1" customWidth="1"/>
    <col min="2066" max="2066" width="9.7109375" customWidth="1"/>
    <col min="2067" max="2067" width="13.140625" bestFit="1" customWidth="1"/>
    <col min="2305" max="2306" width="10.28515625" customWidth="1"/>
    <col min="2307" max="2307" width="13.5703125" bestFit="1" customWidth="1"/>
    <col min="2308" max="2308" width="10.28515625" customWidth="1"/>
    <col min="2309" max="2309" width="10.5703125" customWidth="1"/>
    <col min="2310" max="2310" width="12.5703125" customWidth="1"/>
    <col min="2311" max="2311" width="12.42578125" bestFit="1" customWidth="1"/>
    <col min="2312" max="2316" width="10.28515625" customWidth="1"/>
    <col min="2317" max="2317" width="10.85546875" customWidth="1"/>
    <col min="2319" max="2320" width="11.7109375" customWidth="1"/>
    <col min="2321" max="2321" width="9.7109375" bestFit="1" customWidth="1"/>
    <col min="2322" max="2322" width="9.7109375" customWidth="1"/>
    <col min="2323" max="2323" width="13.140625" bestFit="1" customWidth="1"/>
    <col min="2561" max="2562" width="10.28515625" customWidth="1"/>
    <col min="2563" max="2563" width="13.5703125" bestFit="1" customWidth="1"/>
    <col min="2564" max="2564" width="10.28515625" customWidth="1"/>
    <col min="2565" max="2565" width="10.5703125" customWidth="1"/>
    <col min="2566" max="2566" width="12.5703125" customWidth="1"/>
    <col min="2567" max="2567" width="12.42578125" bestFit="1" customWidth="1"/>
    <col min="2568" max="2572" width="10.28515625" customWidth="1"/>
    <col min="2573" max="2573" width="10.85546875" customWidth="1"/>
    <col min="2575" max="2576" width="11.7109375" customWidth="1"/>
    <col min="2577" max="2577" width="9.7109375" bestFit="1" customWidth="1"/>
    <col min="2578" max="2578" width="9.7109375" customWidth="1"/>
    <col min="2579" max="2579" width="13.140625" bestFit="1" customWidth="1"/>
    <col min="2817" max="2818" width="10.28515625" customWidth="1"/>
    <col min="2819" max="2819" width="13.5703125" bestFit="1" customWidth="1"/>
    <col min="2820" max="2820" width="10.28515625" customWidth="1"/>
    <col min="2821" max="2821" width="10.5703125" customWidth="1"/>
    <col min="2822" max="2822" width="12.5703125" customWidth="1"/>
    <col min="2823" max="2823" width="12.42578125" bestFit="1" customWidth="1"/>
    <col min="2824" max="2828" width="10.28515625" customWidth="1"/>
    <col min="2829" max="2829" width="10.85546875" customWidth="1"/>
    <col min="2831" max="2832" width="11.7109375" customWidth="1"/>
    <col min="2833" max="2833" width="9.7109375" bestFit="1" customWidth="1"/>
    <col min="2834" max="2834" width="9.7109375" customWidth="1"/>
    <col min="2835" max="2835" width="13.140625" bestFit="1" customWidth="1"/>
    <col min="3073" max="3074" width="10.28515625" customWidth="1"/>
    <col min="3075" max="3075" width="13.5703125" bestFit="1" customWidth="1"/>
    <col min="3076" max="3076" width="10.28515625" customWidth="1"/>
    <col min="3077" max="3077" width="10.5703125" customWidth="1"/>
    <col min="3078" max="3078" width="12.5703125" customWidth="1"/>
    <col min="3079" max="3079" width="12.42578125" bestFit="1" customWidth="1"/>
    <col min="3080" max="3084" width="10.28515625" customWidth="1"/>
    <col min="3085" max="3085" width="10.85546875" customWidth="1"/>
    <col min="3087" max="3088" width="11.7109375" customWidth="1"/>
    <col min="3089" max="3089" width="9.7109375" bestFit="1" customWidth="1"/>
    <col min="3090" max="3090" width="9.7109375" customWidth="1"/>
    <col min="3091" max="3091" width="13.140625" bestFit="1" customWidth="1"/>
    <col min="3329" max="3330" width="10.28515625" customWidth="1"/>
    <col min="3331" max="3331" width="13.5703125" bestFit="1" customWidth="1"/>
    <col min="3332" max="3332" width="10.28515625" customWidth="1"/>
    <col min="3333" max="3333" width="10.5703125" customWidth="1"/>
    <col min="3334" max="3334" width="12.5703125" customWidth="1"/>
    <col min="3335" max="3335" width="12.42578125" bestFit="1" customWidth="1"/>
    <col min="3336" max="3340" width="10.28515625" customWidth="1"/>
    <col min="3341" max="3341" width="10.85546875" customWidth="1"/>
    <col min="3343" max="3344" width="11.7109375" customWidth="1"/>
    <col min="3345" max="3345" width="9.7109375" bestFit="1" customWidth="1"/>
    <col min="3346" max="3346" width="9.7109375" customWidth="1"/>
    <col min="3347" max="3347" width="13.140625" bestFit="1" customWidth="1"/>
    <col min="3585" max="3586" width="10.28515625" customWidth="1"/>
    <col min="3587" max="3587" width="13.5703125" bestFit="1" customWidth="1"/>
    <col min="3588" max="3588" width="10.28515625" customWidth="1"/>
    <col min="3589" max="3589" width="10.5703125" customWidth="1"/>
    <col min="3590" max="3590" width="12.5703125" customWidth="1"/>
    <col min="3591" max="3591" width="12.42578125" bestFit="1" customWidth="1"/>
    <col min="3592" max="3596" width="10.28515625" customWidth="1"/>
    <col min="3597" max="3597" width="10.85546875" customWidth="1"/>
    <col min="3599" max="3600" width="11.7109375" customWidth="1"/>
    <col min="3601" max="3601" width="9.7109375" bestFit="1" customWidth="1"/>
    <col min="3602" max="3602" width="9.7109375" customWidth="1"/>
    <col min="3603" max="3603" width="13.140625" bestFit="1" customWidth="1"/>
    <col min="3841" max="3842" width="10.28515625" customWidth="1"/>
    <col min="3843" max="3843" width="13.5703125" bestFit="1" customWidth="1"/>
    <col min="3844" max="3844" width="10.28515625" customWidth="1"/>
    <col min="3845" max="3845" width="10.5703125" customWidth="1"/>
    <col min="3846" max="3846" width="12.5703125" customWidth="1"/>
    <col min="3847" max="3847" width="12.42578125" bestFit="1" customWidth="1"/>
    <col min="3848" max="3852" width="10.28515625" customWidth="1"/>
    <col min="3853" max="3853" width="10.85546875" customWidth="1"/>
    <col min="3855" max="3856" width="11.7109375" customWidth="1"/>
    <col min="3857" max="3857" width="9.7109375" bestFit="1" customWidth="1"/>
    <col min="3858" max="3858" width="9.7109375" customWidth="1"/>
    <col min="3859" max="3859" width="13.140625" bestFit="1" customWidth="1"/>
    <col min="4097" max="4098" width="10.28515625" customWidth="1"/>
    <col min="4099" max="4099" width="13.5703125" bestFit="1" customWidth="1"/>
    <col min="4100" max="4100" width="10.28515625" customWidth="1"/>
    <col min="4101" max="4101" width="10.5703125" customWidth="1"/>
    <col min="4102" max="4102" width="12.5703125" customWidth="1"/>
    <col min="4103" max="4103" width="12.42578125" bestFit="1" customWidth="1"/>
    <col min="4104" max="4108" width="10.28515625" customWidth="1"/>
    <col min="4109" max="4109" width="10.85546875" customWidth="1"/>
    <col min="4111" max="4112" width="11.7109375" customWidth="1"/>
    <col min="4113" max="4113" width="9.7109375" bestFit="1" customWidth="1"/>
    <col min="4114" max="4114" width="9.7109375" customWidth="1"/>
    <col min="4115" max="4115" width="13.140625" bestFit="1" customWidth="1"/>
    <col min="4353" max="4354" width="10.28515625" customWidth="1"/>
    <col min="4355" max="4355" width="13.5703125" bestFit="1" customWidth="1"/>
    <col min="4356" max="4356" width="10.28515625" customWidth="1"/>
    <col min="4357" max="4357" width="10.5703125" customWidth="1"/>
    <col min="4358" max="4358" width="12.5703125" customWidth="1"/>
    <col min="4359" max="4359" width="12.42578125" bestFit="1" customWidth="1"/>
    <col min="4360" max="4364" width="10.28515625" customWidth="1"/>
    <col min="4365" max="4365" width="10.85546875" customWidth="1"/>
    <col min="4367" max="4368" width="11.7109375" customWidth="1"/>
    <col min="4369" max="4369" width="9.7109375" bestFit="1" customWidth="1"/>
    <col min="4370" max="4370" width="9.7109375" customWidth="1"/>
    <col min="4371" max="4371" width="13.140625" bestFit="1" customWidth="1"/>
    <col min="4609" max="4610" width="10.28515625" customWidth="1"/>
    <col min="4611" max="4611" width="13.5703125" bestFit="1" customWidth="1"/>
    <col min="4612" max="4612" width="10.28515625" customWidth="1"/>
    <col min="4613" max="4613" width="10.5703125" customWidth="1"/>
    <col min="4614" max="4614" width="12.5703125" customWidth="1"/>
    <col min="4615" max="4615" width="12.42578125" bestFit="1" customWidth="1"/>
    <col min="4616" max="4620" width="10.28515625" customWidth="1"/>
    <col min="4621" max="4621" width="10.85546875" customWidth="1"/>
    <col min="4623" max="4624" width="11.7109375" customWidth="1"/>
    <col min="4625" max="4625" width="9.7109375" bestFit="1" customWidth="1"/>
    <col min="4626" max="4626" width="9.7109375" customWidth="1"/>
    <col min="4627" max="4627" width="13.140625" bestFit="1" customWidth="1"/>
    <col min="4865" max="4866" width="10.28515625" customWidth="1"/>
    <col min="4867" max="4867" width="13.5703125" bestFit="1" customWidth="1"/>
    <col min="4868" max="4868" width="10.28515625" customWidth="1"/>
    <col min="4869" max="4869" width="10.5703125" customWidth="1"/>
    <col min="4870" max="4870" width="12.5703125" customWidth="1"/>
    <col min="4871" max="4871" width="12.42578125" bestFit="1" customWidth="1"/>
    <col min="4872" max="4876" width="10.28515625" customWidth="1"/>
    <col min="4877" max="4877" width="10.85546875" customWidth="1"/>
    <col min="4879" max="4880" width="11.7109375" customWidth="1"/>
    <col min="4881" max="4881" width="9.7109375" bestFit="1" customWidth="1"/>
    <col min="4882" max="4882" width="9.7109375" customWidth="1"/>
    <col min="4883" max="4883" width="13.140625" bestFit="1" customWidth="1"/>
    <col min="5121" max="5122" width="10.28515625" customWidth="1"/>
    <col min="5123" max="5123" width="13.5703125" bestFit="1" customWidth="1"/>
    <col min="5124" max="5124" width="10.28515625" customWidth="1"/>
    <col min="5125" max="5125" width="10.5703125" customWidth="1"/>
    <col min="5126" max="5126" width="12.5703125" customWidth="1"/>
    <col min="5127" max="5127" width="12.42578125" bestFit="1" customWidth="1"/>
    <col min="5128" max="5132" width="10.28515625" customWidth="1"/>
    <col min="5133" max="5133" width="10.85546875" customWidth="1"/>
    <col min="5135" max="5136" width="11.7109375" customWidth="1"/>
    <col min="5137" max="5137" width="9.7109375" bestFit="1" customWidth="1"/>
    <col min="5138" max="5138" width="9.7109375" customWidth="1"/>
    <col min="5139" max="5139" width="13.140625" bestFit="1" customWidth="1"/>
    <col min="5377" max="5378" width="10.28515625" customWidth="1"/>
    <col min="5379" max="5379" width="13.5703125" bestFit="1" customWidth="1"/>
    <col min="5380" max="5380" width="10.28515625" customWidth="1"/>
    <col min="5381" max="5381" width="10.5703125" customWidth="1"/>
    <col min="5382" max="5382" width="12.5703125" customWidth="1"/>
    <col min="5383" max="5383" width="12.42578125" bestFit="1" customWidth="1"/>
    <col min="5384" max="5388" width="10.28515625" customWidth="1"/>
    <col min="5389" max="5389" width="10.85546875" customWidth="1"/>
    <col min="5391" max="5392" width="11.7109375" customWidth="1"/>
    <col min="5393" max="5393" width="9.7109375" bestFit="1" customWidth="1"/>
    <col min="5394" max="5394" width="9.7109375" customWidth="1"/>
    <col min="5395" max="5395" width="13.140625" bestFit="1" customWidth="1"/>
    <col min="5633" max="5634" width="10.28515625" customWidth="1"/>
    <col min="5635" max="5635" width="13.5703125" bestFit="1" customWidth="1"/>
    <col min="5636" max="5636" width="10.28515625" customWidth="1"/>
    <col min="5637" max="5637" width="10.5703125" customWidth="1"/>
    <col min="5638" max="5638" width="12.5703125" customWidth="1"/>
    <col min="5639" max="5639" width="12.42578125" bestFit="1" customWidth="1"/>
    <col min="5640" max="5644" width="10.28515625" customWidth="1"/>
    <col min="5645" max="5645" width="10.85546875" customWidth="1"/>
    <col min="5647" max="5648" width="11.7109375" customWidth="1"/>
    <col min="5649" max="5649" width="9.7109375" bestFit="1" customWidth="1"/>
    <col min="5650" max="5650" width="9.7109375" customWidth="1"/>
    <col min="5651" max="5651" width="13.140625" bestFit="1" customWidth="1"/>
    <col min="5889" max="5890" width="10.28515625" customWidth="1"/>
    <col min="5891" max="5891" width="13.5703125" bestFit="1" customWidth="1"/>
    <col min="5892" max="5892" width="10.28515625" customWidth="1"/>
    <col min="5893" max="5893" width="10.5703125" customWidth="1"/>
    <col min="5894" max="5894" width="12.5703125" customWidth="1"/>
    <col min="5895" max="5895" width="12.42578125" bestFit="1" customWidth="1"/>
    <col min="5896" max="5900" width="10.28515625" customWidth="1"/>
    <col min="5901" max="5901" width="10.85546875" customWidth="1"/>
    <col min="5903" max="5904" width="11.7109375" customWidth="1"/>
    <col min="5905" max="5905" width="9.7109375" bestFit="1" customWidth="1"/>
    <col min="5906" max="5906" width="9.7109375" customWidth="1"/>
    <col min="5907" max="5907" width="13.140625" bestFit="1" customWidth="1"/>
    <col min="6145" max="6146" width="10.28515625" customWidth="1"/>
    <col min="6147" max="6147" width="13.5703125" bestFit="1" customWidth="1"/>
    <col min="6148" max="6148" width="10.28515625" customWidth="1"/>
    <col min="6149" max="6149" width="10.5703125" customWidth="1"/>
    <col min="6150" max="6150" width="12.5703125" customWidth="1"/>
    <col min="6151" max="6151" width="12.42578125" bestFit="1" customWidth="1"/>
    <col min="6152" max="6156" width="10.28515625" customWidth="1"/>
    <col min="6157" max="6157" width="10.85546875" customWidth="1"/>
    <col min="6159" max="6160" width="11.7109375" customWidth="1"/>
    <col min="6161" max="6161" width="9.7109375" bestFit="1" customWidth="1"/>
    <col min="6162" max="6162" width="9.7109375" customWidth="1"/>
    <col min="6163" max="6163" width="13.140625" bestFit="1" customWidth="1"/>
    <col min="6401" max="6402" width="10.28515625" customWidth="1"/>
    <col min="6403" max="6403" width="13.5703125" bestFit="1" customWidth="1"/>
    <col min="6404" max="6404" width="10.28515625" customWidth="1"/>
    <col min="6405" max="6405" width="10.5703125" customWidth="1"/>
    <col min="6406" max="6406" width="12.5703125" customWidth="1"/>
    <col min="6407" max="6407" width="12.42578125" bestFit="1" customWidth="1"/>
    <col min="6408" max="6412" width="10.28515625" customWidth="1"/>
    <col min="6413" max="6413" width="10.85546875" customWidth="1"/>
    <col min="6415" max="6416" width="11.7109375" customWidth="1"/>
    <col min="6417" max="6417" width="9.7109375" bestFit="1" customWidth="1"/>
    <col min="6418" max="6418" width="9.7109375" customWidth="1"/>
    <col min="6419" max="6419" width="13.140625" bestFit="1" customWidth="1"/>
    <col min="6657" max="6658" width="10.28515625" customWidth="1"/>
    <col min="6659" max="6659" width="13.5703125" bestFit="1" customWidth="1"/>
    <col min="6660" max="6660" width="10.28515625" customWidth="1"/>
    <col min="6661" max="6661" width="10.5703125" customWidth="1"/>
    <col min="6662" max="6662" width="12.5703125" customWidth="1"/>
    <col min="6663" max="6663" width="12.42578125" bestFit="1" customWidth="1"/>
    <col min="6664" max="6668" width="10.28515625" customWidth="1"/>
    <col min="6669" max="6669" width="10.85546875" customWidth="1"/>
    <col min="6671" max="6672" width="11.7109375" customWidth="1"/>
    <col min="6673" max="6673" width="9.7109375" bestFit="1" customWidth="1"/>
    <col min="6674" max="6674" width="9.7109375" customWidth="1"/>
    <col min="6675" max="6675" width="13.140625" bestFit="1" customWidth="1"/>
    <col min="6913" max="6914" width="10.28515625" customWidth="1"/>
    <col min="6915" max="6915" width="13.5703125" bestFit="1" customWidth="1"/>
    <col min="6916" max="6916" width="10.28515625" customWidth="1"/>
    <col min="6917" max="6917" width="10.5703125" customWidth="1"/>
    <col min="6918" max="6918" width="12.5703125" customWidth="1"/>
    <col min="6919" max="6919" width="12.42578125" bestFit="1" customWidth="1"/>
    <col min="6920" max="6924" width="10.28515625" customWidth="1"/>
    <col min="6925" max="6925" width="10.85546875" customWidth="1"/>
    <col min="6927" max="6928" width="11.7109375" customWidth="1"/>
    <col min="6929" max="6929" width="9.7109375" bestFit="1" customWidth="1"/>
    <col min="6930" max="6930" width="9.7109375" customWidth="1"/>
    <col min="6931" max="6931" width="13.140625" bestFit="1" customWidth="1"/>
    <col min="7169" max="7170" width="10.28515625" customWidth="1"/>
    <col min="7171" max="7171" width="13.5703125" bestFit="1" customWidth="1"/>
    <col min="7172" max="7172" width="10.28515625" customWidth="1"/>
    <col min="7173" max="7173" width="10.5703125" customWidth="1"/>
    <col min="7174" max="7174" width="12.5703125" customWidth="1"/>
    <col min="7175" max="7175" width="12.42578125" bestFit="1" customWidth="1"/>
    <col min="7176" max="7180" width="10.28515625" customWidth="1"/>
    <col min="7181" max="7181" width="10.85546875" customWidth="1"/>
    <col min="7183" max="7184" width="11.7109375" customWidth="1"/>
    <col min="7185" max="7185" width="9.7109375" bestFit="1" customWidth="1"/>
    <col min="7186" max="7186" width="9.7109375" customWidth="1"/>
    <col min="7187" max="7187" width="13.140625" bestFit="1" customWidth="1"/>
    <col min="7425" max="7426" width="10.28515625" customWidth="1"/>
    <col min="7427" max="7427" width="13.5703125" bestFit="1" customWidth="1"/>
    <col min="7428" max="7428" width="10.28515625" customWidth="1"/>
    <col min="7429" max="7429" width="10.5703125" customWidth="1"/>
    <col min="7430" max="7430" width="12.5703125" customWidth="1"/>
    <col min="7431" max="7431" width="12.42578125" bestFit="1" customWidth="1"/>
    <col min="7432" max="7436" width="10.28515625" customWidth="1"/>
    <col min="7437" max="7437" width="10.85546875" customWidth="1"/>
    <col min="7439" max="7440" width="11.7109375" customWidth="1"/>
    <col min="7441" max="7441" width="9.7109375" bestFit="1" customWidth="1"/>
    <col min="7442" max="7442" width="9.7109375" customWidth="1"/>
    <col min="7443" max="7443" width="13.140625" bestFit="1" customWidth="1"/>
    <col min="7681" max="7682" width="10.28515625" customWidth="1"/>
    <col min="7683" max="7683" width="13.5703125" bestFit="1" customWidth="1"/>
    <col min="7684" max="7684" width="10.28515625" customWidth="1"/>
    <col min="7685" max="7685" width="10.5703125" customWidth="1"/>
    <col min="7686" max="7686" width="12.5703125" customWidth="1"/>
    <col min="7687" max="7687" width="12.42578125" bestFit="1" customWidth="1"/>
    <col min="7688" max="7692" width="10.28515625" customWidth="1"/>
    <col min="7693" max="7693" width="10.85546875" customWidth="1"/>
    <col min="7695" max="7696" width="11.7109375" customWidth="1"/>
    <col min="7697" max="7697" width="9.7109375" bestFit="1" customWidth="1"/>
    <col min="7698" max="7698" width="9.7109375" customWidth="1"/>
    <col min="7699" max="7699" width="13.140625" bestFit="1" customWidth="1"/>
    <col min="7937" max="7938" width="10.28515625" customWidth="1"/>
    <col min="7939" max="7939" width="13.5703125" bestFit="1" customWidth="1"/>
    <col min="7940" max="7940" width="10.28515625" customWidth="1"/>
    <col min="7941" max="7941" width="10.5703125" customWidth="1"/>
    <col min="7942" max="7942" width="12.5703125" customWidth="1"/>
    <col min="7943" max="7943" width="12.42578125" bestFit="1" customWidth="1"/>
    <col min="7944" max="7948" width="10.28515625" customWidth="1"/>
    <col min="7949" max="7949" width="10.85546875" customWidth="1"/>
    <col min="7951" max="7952" width="11.7109375" customWidth="1"/>
    <col min="7953" max="7953" width="9.7109375" bestFit="1" customWidth="1"/>
    <col min="7954" max="7954" width="9.7109375" customWidth="1"/>
    <col min="7955" max="7955" width="13.140625" bestFit="1" customWidth="1"/>
    <col min="8193" max="8194" width="10.28515625" customWidth="1"/>
    <col min="8195" max="8195" width="13.5703125" bestFit="1" customWidth="1"/>
    <col min="8196" max="8196" width="10.28515625" customWidth="1"/>
    <col min="8197" max="8197" width="10.5703125" customWidth="1"/>
    <col min="8198" max="8198" width="12.5703125" customWidth="1"/>
    <col min="8199" max="8199" width="12.42578125" bestFit="1" customWidth="1"/>
    <col min="8200" max="8204" width="10.28515625" customWidth="1"/>
    <col min="8205" max="8205" width="10.85546875" customWidth="1"/>
    <col min="8207" max="8208" width="11.7109375" customWidth="1"/>
    <col min="8209" max="8209" width="9.7109375" bestFit="1" customWidth="1"/>
    <col min="8210" max="8210" width="9.7109375" customWidth="1"/>
    <col min="8211" max="8211" width="13.140625" bestFit="1" customWidth="1"/>
    <col min="8449" max="8450" width="10.28515625" customWidth="1"/>
    <col min="8451" max="8451" width="13.5703125" bestFit="1" customWidth="1"/>
    <col min="8452" max="8452" width="10.28515625" customWidth="1"/>
    <col min="8453" max="8453" width="10.5703125" customWidth="1"/>
    <col min="8454" max="8454" width="12.5703125" customWidth="1"/>
    <col min="8455" max="8455" width="12.42578125" bestFit="1" customWidth="1"/>
    <col min="8456" max="8460" width="10.28515625" customWidth="1"/>
    <col min="8461" max="8461" width="10.85546875" customWidth="1"/>
    <col min="8463" max="8464" width="11.7109375" customWidth="1"/>
    <col min="8465" max="8465" width="9.7109375" bestFit="1" customWidth="1"/>
    <col min="8466" max="8466" width="9.7109375" customWidth="1"/>
    <col min="8467" max="8467" width="13.140625" bestFit="1" customWidth="1"/>
    <col min="8705" max="8706" width="10.28515625" customWidth="1"/>
    <col min="8707" max="8707" width="13.5703125" bestFit="1" customWidth="1"/>
    <col min="8708" max="8708" width="10.28515625" customWidth="1"/>
    <col min="8709" max="8709" width="10.5703125" customWidth="1"/>
    <col min="8710" max="8710" width="12.5703125" customWidth="1"/>
    <col min="8711" max="8711" width="12.42578125" bestFit="1" customWidth="1"/>
    <col min="8712" max="8716" width="10.28515625" customWidth="1"/>
    <col min="8717" max="8717" width="10.85546875" customWidth="1"/>
    <col min="8719" max="8720" width="11.7109375" customWidth="1"/>
    <col min="8721" max="8721" width="9.7109375" bestFit="1" customWidth="1"/>
    <col min="8722" max="8722" width="9.7109375" customWidth="1"/>
    <col min="8723" max="8723" width="13.140625" bestFit="1" customWidth="1"/>
    <col min="8961" max="8962" width="10.28515625" customWidth="1"/>
    <col min="8963" max="8963" width="13.5703125" bestFit="1" customWidth="1"/>
    <col min="8964" max="8964" width="10.28515625" customWidth="1"/>
    <col min="8965" max="8965" width="10.5703125" customWidth="1"/>
    <col min="8966" max="8966" width="12.5703125" customWidth="1"/>
    <col min="8967" max="8967" width="12.42578125" bestFit="1" customWidth="1"/>
    <col min="8968" max="8972" width="10.28515625" customWidth="1"/>
    <col min="8973" max="8973" width="10.85546875" customWidth="1"/>
    <col min="8975" max="8976" width="11.7109375" customWidth="1"/>
    <col min="8977" max="8977" width="9.7109375" bestFit="1" customWidth="1"/>
    <col min="8978" max="8978" width="9.7109375" customWidth="1"/>
    <col min="8979" max="8979" width="13.140625" bestFit="1" customWidth="1"/>
    <col min="9217" max="9218" width="10.28515625" customWidth="1"/>
    <col min="9219" max="9219" width="13.5703125" bestFit="1" customWidth="1"/>
    <col min="9220" max="9220" width="10.28515625" customWidth="1"/>
    <col min="9221" max="9221" width="10.5703125" customWidth="1"/>
    <col min="9222" max="9222" width="12.5703125" customWidth="1"/>
    <col min="9223" max="9223" width="12.42578125" bestFit="1" customWidth="1"/>
    <col min="9224" max="9228" width="10.28515625" customWidth="1"/>
    <col min="9229" max="9229" width="10.85546875" customWidth="1"/>
    <col min="9231" max="9232" width="11.7109375" customWidth="1"/>
    <col min="9233" max="9233" width="9.7109375" bestFit="1" customWidth="1"/>
    <col min="9234" max="9234" width="9.7109375" customWidth="1"/>
    <col min="9235" max="9235" width="13.140625" bestFit="1" customWidth="1"/>
    <col min="9473" max="9474" width="10.28515625" customWidth="1"/>
    <col min="9475" max="9475" width="13.5703125" bestFit="1" customWidth="1"/>
    <col min="9476" max="9476" width="10.28515625" customWidth="1"/>
    <col min="9477" max="9477" width="10.5703125" customWidth="1"/>
    <col min="9478" max="9478" width="12.5703125" customWidth="1"/>
    <col min="9479" max="9479" width="12.42578125" bestFit="1" customWidth="1"/>
    <col min="9480" max="9484" width="10.28515625" customWidth="1"/>
    <col min="9485" max="9485" width="10.85546875" customWidth="1"/>
    <col min="9487" max="9488" width="11.7109375" customWidth="1"/>
    <col min="9489" max="9489" width="9.7109375" bestFit="1" customWidth="1"/>
    <col min="9490" max="9490" width="9.7109375" customWidth="1"/>
    <col min="9491" max="9491" width="13.140625" bestFit="1" customWidth="1"/>
    <col min="9729" max="9730" width="10.28515625" customWidth="1"/>
    <col min="9731" max="9731" width="13.5703125" bestFit="1" customWidth="1"/>
    <col min="9732" max="9732" width="10.28515625" customWidth="1"/>
    <col min="9733" max="9733" width="10.5703125" customWidth="1"/>
    <col min="9734" max="9734" width="12.5703125" customWidth="1"/>
    <col min="9735" max="9735" width="12.42578125" bestFit="1" customWidth="1"/>
    <col min="9736" max="9740" width="10.28515625" customWidth="1"/>
    <col min="9741" max="9741" width="10.85546875" customWidth="1"/>
    <col min="9743" max="9744" width="11.7109375" customWidth="1"/>
    <col min="9745" max="9745" width="9.7109375" bestFit="1" customWidth="1"/>
    <col min="9746" max="9746" width="9.7109375" customWidth="1"/>
    <col min="9747" max="9747" width="13.140625" bestFit="1" customWidth="1"/>
    <col min="9985" max="9986" width="10.28515625" customWidth="1"/>
    <col min="9987" max="9987" width="13.5703125" bestFit="1" customWidth="1"/>
    <col min="9988" max="9988" width="10.28515625" customWidth="1"/>
    <col min="9989" max="9989" width="10.5703125" customWidth="1"/>
    <col min="9990" max="9990" width="12.5703125" customWidth="1"/>
    <col min="9991" max="9991" width="12.42578125" bestFit="1" customWidth="1"/>
    <col min="9992" max="9996" width="10.28515625" customWidth="1"/>
    <col min="9997" max="9997" width="10.85546875" customWidth="1"/>
    <col min="9999" max="10000" width="11.7109375" customWidth="1"/>
    <col min="10001" max="10001" width="9.7109375" bestFit="1" customWidth="1"/>
    <col min="10002" max="10002" width="9.7109375" customWidth="1"/>
    <col min="10003" max="10003" width="13.140625" bestFit="1" customWidth="1"/>
    <col min="10241" max="10242" width="10.28515625" customWidth="1"/>
    <col min="10243" max="10243" width="13.5703125" bestFit="1" customWidth="1"/>
    <col min="10244" max="10244" width="10.28515625" customWidth="1"/>
    <col min="10245" max="10245" width="10.5703125" customWidth="1"/>
    <col min="10246" max="10246" width="12.5703125" customWidth="1"/>
    <col min="10247" max="10247" width="12.42578125" bestFit="1" customWidth="1"/>
    <col min="10248" max="10252" width="10.28515625" customWidth="1"/>
    <col min="10253" max="10253" width="10.85546875" customWidth="1"/>
    <col min="10255" max="10256" width="11.7109375" customWidth="1"/>
    <col min="10257" max="10257" width="9.7109375" bestFit="1" customWidth="1"/>
    <col min="10258" max="10258" width="9.7109375" customWidth="1"/>
    <col min="10259" max="10259" width="13.140625" bestFit="1" customWidth="1"/>
    <col min="10497" max="10498" width="10.28515625" customWidth="1"/>
    <col min="10499" max="10499" width="13.5703125" bestFit="1" customWidth="1"/>
    <col min="10500" max="10500" width="10.28515625" customWidth="1"/>
    <col min="10501" max="10501" width="10.5703125" customWidth="1"/>
    <col min="10502" max="10502" width="12.5703125" customWidth="1"/>
    <col min="10503" max="10503" width="12.42578125" bestFit="1" customWidth="1"/>
    <col min="10504" max="10508" width="10.28515625" customWidth="1"/>
    <col min="10509" max="10509" width="10.85546875" customWidth="1"/>
    <col min="10511" max="10512" width="11.7109375" customWidth="1"/>
    <col min="10513" max="10513" width="9.7109375" bestFit="1" customWidth="1"/>
    <col min="10514" max="10514" width="9.7109375" customWidth="1"/>
    <col min="10515" max="10515" width="13.140625" bestFit="1" customWidth="1"/>
    <col min="10753" max="10754" width="10.28515625" customWidth="1"/>
    <col min="10755" max="10755" width="13.5703125" bestFit="1" customWidth="1"/>
    <col min="10756" max="10756" width="10.28515625" customWidth="1"/>
    <col min="10757" max="10757" width="10.5703125" customWidth="1"/>
    <col min="10758" max="10758" width="12.5703125" customWidth="1"/>
    <col min="10759" max="10759" width="12.42578125" bestFit="1" customWidth="1"/>
    <col min="10760" max="10764" width="10.28515625" customWidth="1"/>
    <col min="10765" max="10765" width="10.85546875" customWidth="1"/>
    <col min="10767" max="10768" width="11.7109375" customWidth="1"/>
    <col min="10769" max="10769" width="9.7109375" bestFit="1" customWidth="1"/>
    <col min="10770" max="10770" width="9.7109375" customWidth="1"/>
    <col min="10771" max="10771" width="13.140625" bestFit="1" customWidth="1"/>
    <col min="11009" max="11010" width="10.28515625" customWidth="1"/>
    <col min="11011" max="11011" width="13.5703125" bestFit="1" customWidth="1"/>
    <col min="11012" max="11012" width="10.28515625" customWidth="1"/>
    <col min="11013" max="11013" width="10.5703125" customWidth="1"/>
    <col min="11014" max="11014" width="12.5703125" customWidth="1"/>
    <col min="11015" max="11015" width="12.42578125" bestFit="1" customWidth="1"/>
    <col min="11016" max="11020" width="10.28515625" customWidth="1"/>
    <col min="11021" max="11021" width="10.85546875" customWidth="1"/>
    <col min="11023" max="11024" width="11.7109375" customWidth="1"/>
    <col min="11025" max="11025" width="9.7109375" bestFit="1" customWidth="1"/>
    <col min="11026" max="11026" width="9.7109375" customWidth="1"/>
    <col min="11027" max="11027" width="13.140625" bestFit="1" customWidth="1"/>
    <col min="11265" max="11266" width="10.28515625" customWidth="1"/>
    <col min="11267" max="11267" width="13.5703125" bestFit="1" customWidth="1"/>
    <col min="11268" max="11268" width="10.28515625" customWidth="1"/>
    <col min="11269" max="11269" width="10.5703125" customWidth="1"/>
    <col min="11270" max="11270" width="12.5703125" customWidth="1"/>
    <col min="11271" max="11271" width="12.42578125" bestFit="1" customWidth="1"/>
    <col min="11272" max="11276" width="10.28515625" customWidth="1"/>
    <col min="11277" max="11277" width="10.85546875" customWidth="1"/>
    <col min="11279" max="11280" width="11.7109375" customWidth="1"/>
    <col min="11281" max="11281" width="9.7109375" bestFit="1" customWidth="1"/>
    <col min="11282" max="11282" width="9.7109375" customWidth="1"/>
    <col min="11283" max="11283" width="13.140625" bestFit="1" customWidth="1"/>
    <col min="11521" max="11522" width="10.28515625" customWidth="1"/>
    <col min="11523" max="11523" width="13.5703125" bestFit="1" customWidth="1"/>
    <col min="11524" max="11524" width="10.28515625" customWidth="1"/>
    <col min="11525" max="11525" width="10.5703125" customWidth="1"/>
    <col min="11526" max="11526" width="12.5703125" customWidth="1"/>
    <col min="11527" max="11527" width="12.42578125" bestFit="1" customWidth="1"/>
    <col min="11528" max="11532" width="10.28515625" customWidth="1"/>
    <col min="11533" max="11533" width="10.85546875" customWidth="1"/>
    <col min="11535" max="11536" width="11.7109375" customWidth="1"/>
    <col min="11537" max="11537" width="9.7109375" bestFit="1" customWidth="1"/>
    <col min="11538" max="11538" width="9.7109375" customWidth="1"/>
    <col min="11539" max="11539" width="13.140625" bestFit="1" customWidth="1"/>
    <col min="11777" max="11778" width="10.28515625" customWidth="1"/>
    <col min="11779" max="11779" width="13.5703125" bestFit="1" customWidth="1"/>
    <col min="11780" max="11780" width="10.28515625" customWidth="1"/>
    <col min="11781" max="11781" width="10.5703125" customWidth="1"/>
    <col min="11782" max="11782" width="12.5703125" customWidth="1"/>
    <col min="11783" max="11783" width="12.42578125" bestFit="1" customWidth="1"/>
    <col min="11784" max="11788" width="10.28515625" customWidth="1"/>
    <col min="11789" max="11789" width="10.85546875" customWidth="1"/>
    <col min="11791" max="11792" width="11.7109375" customWidth="1"/>
    <col min="11793" max="11793" width="9.7109375" bestFit="1" customWidth="1"/>
    <col min="11794" max="11794" width="9.7109375" customWidth="1"/>
    <col min="11795" max="11795" width="13.140625" bestFit="1" customWidth="1"/>
    <col min="12033" max="12034" width="10.28515625" customWidth="1"/>
    <col min="12035" max="12035" width="13.5703125" bestFit="1" customWidth="1"/>
    <col min="12036" max="12036" width="10.28515625" customWidth="1"/>
    <col min="12037" max="12037" width="10.5703125" customWidth="1"/>
    <col min="12038" max="12038" width="12.5703125" customWidth="1"/>
    <col min="12039" max="12039" width="12.42578125" bestFit="1" customWidth="1"/>
    <col min="12040" max="12044" width="10.28515625" customWidth="1"/>
    <col min="12045" max="12045" width="10.85546875" customWidth="1"/>
    <col min="12047" max="12048" width="11.7109375" customWidth="1"/>
    <col min="12049" max="12049" width="9.7109375" bestFit="1" customWidth="1"/>
    <col min="12050" max="12050" width="9.7109375" customWidth="1"/>
    <col min="12051" max="12051" width="13.140625" bestFit="1" customWidth="1"/>
    <col min="12289" max="12290" width="10.28515625" customWidth="1"/>
    <col min="12291" max="12291" width="13.5703125" bestFit="1" customWidth="1"/>
    <col min="12292" max="12292" width="10.28515625" customWidth="1"/>
    <col min="12293" max="12293" width="10.5703125" customWidth="1"/>
    <col min="12294" max="12294" width="12.5703125" customWidth="1"/>
    <col min="12295" max="12295" width="12.42578125" bestFit="1" customWidth="1"/>
    <col min="12296" max="12300" width="10.28515625" customWidth="1"/>
    <col min="12301" max="12301" width="10.85546875" customWidth="1"/>
    <col min="12303" max="12304" width="11.7109375" customWidth="1"/>
    <col min="12305" max="12305" width="9.7109375" bestFit="1" customWidth="1"/>
    <col min="12306" max="12306" width="9.7109375" customWidth="1"/>
    <col min="12307" max="12307" width="13.140625" bestFit="1" customWidth="1"/>
    <col min="12545" max="12546" width="10.28515625" customWidth="1"/>
    <col min="12547" max="12547" width="13.5703125" bestFit="1" customWidth="1"/>
    <col min="12548" max="12548" width="10.28515625" customWidth="1"/>
    <col min="12549" max="12549" width="10.5703125" customWidth="1"/>
    <col min="12550" max="12550" width="12.5703125" customWidth="1"/>
    <col min="12551" max="12551" width="12.42578125" bestFit="1" customWidth="1"/>
    <col min="12552" max="12556" width="10.28515625" customWidth="1"/>
    <col min="12557" max="12557" width="10.85546875" customWidth="1"/>
    <col min="12559" max="12560" width="11.7109375" customWidth="1"/>
    <col min="12561" max="12561" width="9.7109375" bestFit="1" customWidth="1"/>
    <col min="12562" max="12562" width="9.7109375" customWidth="1"/>
    <col min="12563" max="12563" width="13.140625" bestFit="1" customWidth="1"/>
    <col min="12801" max="12802" width="10.28515625" customWidth="1"/>
    <col min="12803" max="12803" width="13.5703125" bestFit="1" customWidth="1"/>
    <col min="12804" max="12804" width="10.28515625" customWidth="1"/>
    <col min="12805" max="12805" width="10.5703125" customWidth="1"/>
    <col min="12806" max="12806" width="12.5703125" customWidth="1"/>
    <col min="12807" max="12807" width="12.42578125" bestFit="1" customWidth="1"/>
    <col min="12808" max="12812" width="10.28515625" customWidth="1"/>
    <col min="12813" max="12813" width="10.85546875" customWidth="1"/>
    <col min="12815" max="12816" width="11.7109375" customWidth="1"/>
    <col min="12817" max="12817" width="9.7109375" bestFit="1" customWidth="1"/>
    <col min="12818" max="12818" width="9.7109375" customWidth="1"/>
    <col min="12819" max="12819" width="13.140625" bestFit="1" customWidth="1"/>
    <col min="13057" max="13058" width="10.28515625" customWidth="1"/>
    <col min="13059" max="13059" width="13.5703125" bestFit="1" customWidth="1"/>
    <col min="13060" max="13060" width="10.28515625" customWidth="1"/>
    <col min="13061" max="13061" width="10.5703125" customWidth="1"/>
    <col min="13062" max="13062" width="12.5703125" customWidth="1"/>
    <col min="13063" max="13063" width="12.42578125" bestFit="1" customWidth="1"/>
    <col min="13064" max="13068" width="10.28515625" customWidth="1"/>
    <col min="13069" max="13069" width="10.85546875" customWidth="1"/>
    <col min="13071" max="13072" width="11.7109375" customWidth="1"/>
    <col min="13073" max="13073" width="9.7109375" bestFit="1" customWidth="1"/>
    <col min="13074" max="13074" width="9.7109375" customWidth="1"/>
    <col min="13075" max="13075" width="13.140625" bestFit="1" customWidth="1"/>
    <col min="13313" max="13314" width="10.28515625" customWidth="1"/>
    <col min="13315" max="13315" width="13.5703125" bestFit="1" customWidth="1"/>
    <col min="13316" max="13316" width="10.28515625" customWidth="1"/>
    <col min="13317" max="13317" width="10.5703125" customWidth="1"/>
    <col min="13318" max="13318" width="12.5703125" customWidth="1"/>
    <col min="13319" max="13319" width="12.42578125" bestFit="1" customWidth="1"/>
    <col min="13320" max="13324" width="10.28515625" customWidth="1"/>
    <col min="13325" max="13325" width="10.85546875" customWidth="1"/>
    <col min="13327" max="13328" width="11.7109375" customWidth="1"/>
    <col min="13329" max="13329" width="9.7109375" bestFit="1" customWidth="1"/>
    <col min="13330" max="13330" width="9.7109375" customWidth="1"/>
    <col min="13331" max="13331" width="13.140625" bestFit="1" customWidth="1"/>
    <col min="13569" max="13570" width="10.28515625" customWidth="1"/>
    <col min="13571" max="13571" width="13.5703125" bestFit="1" customWidth="1"/>
    <col min="13572" max="13572" width="10.28515625" customWidth="1"/>
    <col min="13573" max="13573" width="10.5703125" customWidth="1"/>
    <col min="13574" max="13574" width="12.5703125" customWidth="1"/>
    <col min="13575" max="13575" width="12.42578125" bestFit="1" customWidth="1"/>
    <col min="13576" max="13580" width="10.28515625" customWidth="1"/>
    <col min="13581" max="13581" width="10.85546875" customWidth="1"/>
    <col min="13583" max="13584" width="11.7109375" customWidth="1"/>
    <col min="13585" max="13585" width="9.7109375" bestFit="1" customWidth="1"/>
    <col min="13586" max="13586" width="9.7109375" customWidth="1"/>
    <col min="13587" max="13587" width="13.140625" bestFit="1" customWidth="1"/>
    <col min="13825" max="13826" width="10.28515625" customWidth="1"/>
    <col min="13827" max="13827" width="13.5703125" bestFit="1" customWidth="1"/>
    <col min="13828" max="13828" width="10.28515625" customWidth="1"/>
    <col min="13829" max="13829" width="10.5703125" customWidth="1"/>
    <col min="13830" max="13830" width="12.5703125" customWidth="1"/>
    <col min="13831" max="13831" width="12.42578125" bestFit="1" customWidth="1"/>
    <col min="13832" max="13836" width="10.28515625" customWidth="1"/>
    <col min="13837" max="13837" width="10.85546875" customWidth="1"/>
    <col min="13839" max="13840" width="11.7109375" customWidth="1"/>
    <col min="13841" max="13841" width="9.7109375" bestFit="1" customWidth="1"/>
    <col min="13842" max="13842" width="9.7109375" customWidth="1"/>
    <col min="13843" max="13843" width="13.140625" bestFit="1" customWidth="1"/>
    <col min="14081" max="14082" width="10.28515625" customWidth="1"/>
    <col min="14083" max="14083" width="13.5703125" bestFit="1" customWidth="1"/>
    <col min="14084" max="14084" width="10.28515625" customWidth="1"/>
    <col min="14085" max="14085" width="10.5703125" customWidth="1"/>
    <col min="14086" max="14086" width="12.5703125" customWidth="1"/>
    <col min="14087" max="14087" width="12.42578125" bestFit="1" customWidth="1"/>
    <col min="14088" max="14092" width="10.28515625" customWidth="1"/>
    <col min="14093" max="14093" width="10.85546875" customWidth="1"/>
    <col min="14095" max="14096" width="11.7109375" customWidth="1"/>
    <col min="14097" max="14097" width="9.7109375" bestFit="1" customWidth="1"/>
    <col min="14098" max="14098" width="9.7109375" customWidth="1"/>
    <col min="14099" max="14099" width="13.140625" bestFit="1" customWidth="1"/>
    <col min="14337" max="14338" width="10.28515625" customWidth="1"/>
    <col min="14339" max="14339" width="13.5703125" bestFit="1" customWidth="1"/>
    <col min="14340" max="14340" width="10.28515625" customWidth="1"/>
    <col min="14341" max="14341" width="10.5703125" customWidth="1"/>
    <col min="14342" max="14342" width="12.5703125" customWidth="1"/>
    <col min="14343" max="14343" width="12.42578125" bestFit="1" customWidth="1"/>
    <col min="14344" max="14348" width="10.28515625" customWidth="1"/>
    <col min="14349" max="14349" width="10.85546875" customWidth="1"/>
    <col min="14351" max="14352" width="11.7109375" customWidth="1"/>
    <col min="14353" max="14353" width="9.7109375" bestFit="1" customWidth="1"/>
    <col min="14354" max="14354" width="9.7109375" customWidth="1"/>
    <col min="14355" max="14355" width="13.140625" bestFit="1" customWidth="1"/>
    <col min="14593" max="14594" width="10.28515625" customWidth="1"/>
    <col min="14595" max="14595" width="13.5703125" bestFit="1" customWidth="1"/>
    <col min="14596" max="14596" width="10.28515625" customWidth="1"/>
    <col min="14597" max="14597" width="10.5703125" customWidth="1"/>
    <col min="14598" max="14598" width="12.5703125" customWidth="1"/>
    <col min="14599" max="14599" width="12.42578125" bestFit="1" customWidth="1"/>
    <col min="14600" max="14604" width="10.28515625" customWidth="1"/>
    <col min="14605" max="14605" width="10.85546875" customWidth="1"/>
    <col min="14607" max="14608" width="11.7109375" customWidth="1"/>
    <col min="14609" max="14609" width="9.7109375" bestFit="1" customWidth="1"/>
    <col min="14610" max="14610" width="9.7109375" customWidth="1"/>
    <col min="14611" max="14611" width="13.140625" bestFit="1" customWidth="1"/>
    <col min="14849" max="14850" width="10.28515625" customWidth="1"/>
    <col min="14851" max="14851" width="13.5703125" bestFit="1" customWidth="1"/>
    <col min="14852" max="14852" width="10.28515625" customWidth="1"/>
    <col min="14853" max="14853" width="10.5703125" customWidth="1"/>
    <col min="14854" max="14854" width="12.5703125" customWidth="1"/>
    <col min="14855" max="14855" width="12.42578125" bestFit="1" customWidth="1"/>
    <col min="14856" max="14860" width="10.28515625" customWidth="1"/>
    <col min="14861" max="14861" width="10.85546875" customWidth="1"/>
    <col min="14863" max="14864" width="11.7109375" customWidth="1"/>
    <col min="14865" max="14865" width="9.7109375" bestFit="1" customWidth="1"/>
    <col min="14866" max="14866" width="9.7109375" customWidth="1"/>
    <col min="14867" max="14867" width="13.140625" bestFit="1" customWidth="1"/>
    <col min="15105" max="15106" width="10.28515625" customWidth="1"/>
    <col min="15107" max="15107" width="13.5703125" bestFit="1" customWidth="1"/>
    <col min="15108" max="15108" width="10.28515625" customWidth="1"/>
    <col min="15109" max="15109" width="10.5703125" customWidth="1"/>
    <col min="15110" max="15110" width="12.5703125" customWidth="1"/>
    <col min="15111" max="15111" width="12.42578125" bestFit="1" customWidth="1"/>
    <col min="15112" max="15116" width="10.28515625" customWidth="1"/>
    <col min="15117" max="15117" width="10.85546875" customWidth="1"/>
    <col min="15119" max="15120" width="11.7109375" customWidth="1"/>
    <col min="15121" max="15121" width="9.7109375" bestFit="1" customWidth="1"/>
    <col min="15122" max="15122" width="9.7109375" customWidth="1"/>
    <col min="15123" max="15123" width="13.140625" bestFit="1" customWidth="1"/>
    <col min="15361" max="15362" width="10.28515625" customWidth="1"/>
    <col min="15363" max="15363" width="13.5703125" bestFit="1" customWidth="1"/>
    <col min="15364" max="15364" width="10.28515625" customWidth="1"/>
    <col min="15365" max="15365" width="10.5703125" customWidth="1"/>
    <col min="15366" max="15366" width="12.5703125" customWidth="1"/>
    <col min="15367" max="15367" width="12.42578125" bestFit="1" customWidth="1"/>
    <col min="15368" max="15372" width="10.28515625" customWidth="1"/>
    <col min="15373" max="15373" width="10.85546875" customWidth="1"/>
    <col min="15375" max="15376" width="11.7109375" customWidth="1"/>
    <col min="15377" max="15377" width="9.7109375" bestFit="1" customWidth="1"/>
    <col min="15378" max="15378" width="9.7109375" customWidth="1"/>
    <col min="15379" max="15379" width="13.140625" bestFit="1" customWidth="1"/>
    <col min="15617" max="15618" width="10.28515625" customWidth="1"/>
    <col min="15619" max="15619" width="13.5703125" bestFit="1" customWidth="1"/>
    <col min="15620" max="15620" width="10.28515625" customWidth="1"/>
    <col min="15621" max="15621" width="10.5703125" customWidth="1"/>
    <col min="15622" max="15622" width="12.5703125" customWidth="1"/>
    <col min="15623" max="15623" width="12.42578125" bestFit="1" customWidth="1"/>
    <col min="15624" max="15628" width="10.28515625" customWidth="1"/>
    <col min="15629" max="15629" width="10.85546875" customWidth="1"/>
    <col min="15631" max="15632" width="11.7109375" customWidth="1"/>
    <col min="15633" max="15633" width="9.7109375" bestFit="1" customWidth="1"/>
    <col min="15634" max="15634" width="9.7109375" customWidth="1"/>
    <col min="15635" max="15635" width="13.140625" bestFit="1" customWidth="1"/>
    <col min="15873" max="15874" width="10.28515625" customWidth="1"/>
    <col min="15875" max="15875" width="13.5703125" bestFit="1" customWidth="1"/>
    <col min="15876" max="15876" width="10.28515625" customWidth="1"/>
    <col min="15877" max="15877" width="10.5703125" customWidth="1"/>
    <col min="15878" max="15878" width="12.5703125" customWidth="1"/>
    <col min="15879" max="15879" width="12.42578125" bestFit="1" customWidth="1"/>
    <col min="15880" max="15884" width="10.28515625" customWidth="1"/>
    <col min="15885" max="15885" width="10.85546875" customWidth="1"/>
    <col min="15887" max="15888" width="11.7109375" customWidth="1"/>
    <col min="15889" max="15889" width="9.7109375" bestFit="1" customWidth="1"/>
    <col min="15890" max="15890" width="9.7109375" customWidth="1"/>
    <col min="15891" max="15891" width="13.140625" bestFit="1" customWidth="1"/>
    <col min="16129" max="16130" width="10.28515625" customWidth="1"/>
    <col min="16131" max="16131" width="13.5703125" bestFit="1" customWidth="1"/>
    <col min="16132" max="16132" width="10.28515625" customWidth="1"/>
    <col min="16133" max="16133" width="10.5703125" customWidth="1"/>
    <col min="16134" max="16134" width="12.5703125" customWidth="1"/>
    <col min="16135" max="16135" width="12.42578125" bestFit="1" customWidth="1"/>
    <col min="16136" max="16140" width="10.28515625" customWidth="1"/>
    <col min="16141" max="16141" width="10.85546875" customWidth="1"/>
    <col min="16143" max="16144" width="11.7109375" customWidth="1"/>
    <col min="16145" max="16145" width="9.7109375" bestFit="1" customWidth="1"/>
    <col min="16146" max="16146" width="9.7109375" customWidth="1"/>
    <col min="16147" max="16147" width="13.140625" bestFit="1" customWidth="1"/>
  </cols>
  <sheetData>
    <row r="1" spans="1:19" ht="12.75" customHeight="1" x14ac:dyDescent="0.25">
      <c r="A1" s="261" t="s">
        <v>0</v>
      </c>
      <c r="B1" s="262"/>
      <c r="C1" s="262"/>
      <c r="D1" s="262"/>
      <c r="E1" s="262"/>
      <c r="F1" s="263"/>
      <c r="G1" s="264"/>
      <c r="H1" s="265" t="s">
        <v>237</v>
      </c>
      <c r="I1" s="266">
        <v>67.48</v>
      </c>
      <c r="J1" s="267"/>
      <c r="K1" s="268"/>
      <c r="L1" s="268"/>
      <c r="M1" s="268"/>
      <c r="N1" s="268"/>
      <c r="O1" s="266"/>
      <c r="P1" s="269"/>
      <c r="Q1" s="270"/>
      <c r="R1" s="270"/>
      <c r="S1" s="271">
        <v>45895</v>
      </c>
    </row>
    <row r="2" spans="1:19" ht="12.75" customHeight="1" x14ac:dyDescent="0.25">
      <c r="A2" s="272" t="s">
        <v>1</v>
      </c>
      <c r="B2" s="273"/>
      <c r="C2" s="273"/>
      <c r="D2" s="273"/>
      <c r="E2" s="273"/>
      <c r="F2" s="273" t="s">
        <v>2</v>
      </c>
      <c r="G2" s="273"/>
      <c r="H2" s="273"/>
      <c r="I2" s="273"/>
      <c r="J2" s="273"/>
      <c r="K2" s="273"/>
      <c r="L2" s="273" t="s">
        <v>3</v>
      </c>
      <c r="M2" s="273"/>
      <c r="N2" s="273" t="s">
        <v>4</v>
      </c>
      <c r="O2" s="273"/>
      <c r="P2" s="273"/>
      <c r="Q2" s="273"/>
      <c r="R2" s="273"/>
      <c r="S2" s="273" t="s">
        <v>5</v>
      </c>
    </row>
    <row r="3" spans="1:19" ht="12.75" customHeight="1" x14ac:dyDescent="0.25">
      <c r="A3" s="274"/>
      <c r="B3" s="275" t="s">
        <v>6</v>
      </c>
      <c r="C3" s="275" t="s">
        <v>7</v>
      </c>
      <c r="D3" s="275" t="s">
        <v>8</v>
      </c>
      <c r="E3" s="275"/>
      <c r="F3" s="275" t="s">
        <v>9</v>
      </c>
      <c r="G3" s="275" t="s">
        <v>6</v>
      </c>
      <c r="H3" s="275" t="s">
        <v>7</v>
      </c>
      <c r="I3" s="275" t="s">
        <v>8</v>
      </c>
      <c r="J3" s="275"/>
      <c r="K3" s="275"/>
      <c r="L3" s="275" t="s">
        <v>10</v>
      </c>
      <c r="M3" s="275" t="s">
        <v>11</v>
      </c>
      <c r="N3" s="275"/>
      <c r="O3" s="275" t="s">
        <v>12</v>
      </c>
      <c r="P3" s="275" t="s">
        <v>6</v>
      </c>
      <c r="Q3" s="275" t="s">
        <v>7</v>
      </c>
      <c r="R3" s="275" t="s">
        <v>8</v>
      </c>
      <c r="S3" s="276" t="s">
        <v>13</v>
      </c>
    </row>
    <row r="4" spans="1:19" ht="12.75" customHeight="1" x14ac:dyDescent="0.25">
      <c r="A4" s="277">
        <v>45870</v>
      </c>
      <c r="B4" s="278">
        <v>386.75</v>
      </c>
      <c r="C4" s="278">
        <v>3.5</v>
      </c>
      <c r="D4" s="278">
        <v>-6.4357381889763801</v>
      </c>
      <c r="E4" s="277">
        <v>45870</v>
      </c>
      <c r="F4" s="278">
        <v>30.75</v>
      </c>
      <c r="G4" s="278">
        <v>417.5</v>
      </c>
      <c r="H4" s="278">
        <v>5.25</v>
      </c>
      <c r="I4" s="279">
        <v>-1.5932185039370097</v>
      </c>
      <c r="J4" s="279"/>
      <c r="K4" s="277">
        <v>45870</v>
      </c>
      <c r="L4" s="279">
        <v>35.464920454545393</v>
      </c>
      <c r="M4" s="280">
        <v>-4.75</v>
      </c>
      <c r="N4" s="277">
        <v>45870</v>
      </c>
      <c r="O4" s="281">
        <v>66.214920454545393</v>
      </c>
      <c r="P4" s="281">
        <v>452.96492045454539</v>
      </c>
      <c r="Q4" s="282">
        <v>0.5</v>
      </c>
      <c r="R4" s="282">
        <v>3.9918083392984851</v>
      </c>
      <c r="S4" s="283">
        <v>-221.78507954545461</v>
      </c>
    </row>
    <row r="5" spans="1:19" ht="12.75" customHeight="1" x14ac:dyDescent="0.25">
      <c r="A5" s="277">
        <v>45901</v>
      </c>
      <c r="B5" s="278">
        <v>383.25</v>
      </c>
      <c r="C5" s="278">
        <v>3.75</v>
      </c>
      <c r="D5" s="278">
        <v>-6.55</v>
      </c>
      <c r="E5" s="277">
        <v>45901</v>
      </c>
      <c r="F5" s="278">
        <v>29</v>
      </c>
      <c r="G5" s="278">
        <v>412.25</v>
      </c>
      <c r="H5" s="278">
        <v>6.75</v>
      </c>
      <c r="I5" s="279">
        <v>-1.9830708661417322</v>
      </c>
      <c r="J5" s="279"/>
      <c r="K5" s="277">
        <v>45901</v>
      </c>
      <c r="L5" s="279">
        <v>40.214920454545393</v>
      </c>
      <c r="M5" s="280">
        <v>-2.25</v>
      </c>
      <c r="N5" s="277">
        <v>45901</v>
      </c>
      <c r="O5" s="281">
        <v>69.214920454545393</v>
      </c>
      <c r="P5" s="281">
        <v>452.46492045454539</v>
      </c>
      <c r="Q5" s="282">
        <v>4.5</v>
      </c>
      <c r="R5" s="282">
        <v>4.3499999999999996</v>
      </c>
      <c r="S5" s="283">
        <v>-219.50098863636373</v>
      </c>
    </row>
    <row r="6" spans="1:19" ht="12.75" customHeight="1" x14ac:dyDescent="0.25">
      <c r="A6" s="277">
        <v>45931</v>
      </c>
      <c r="B6" s="278">
        <v>379.5</v>
      </c>
      <c r="C6" s="278">
        <v>4.25</v>
      </c>
      <c r="D6" s="278">
        <v>-6.6938291680931101</v>
      </c>
      <c r="E6" s="277">
        <v>45931</v>
      </c>
      <c r="F6" s="278">
        <v>26</v>
      </c>
      <c r="G6" s="278">
        <v>405.5</v>
      </c>
      <c r="H6" s="278">
        <v>5.75</v>
      </c>
      <c r="I6" s="279">
        <v>-2.5993409791167323</v>
      </c>
      <c r="J6" s="279"/>
      <c r="K6" s="277">
        <v>45931</v>
      </c>
      <c r="L6" s="279">
        <v>42.464920454545393</v>
      </c>
      <c r="M6" s="280">
        <v>-2</v>
      </c>
      <c r="N6" s="277">
        <v>45931</v>
      </c>
      <c r="O6" s="281">
        <v>68.464920454545393</v>
      </c>
      <c r="P6" s="281">
        <v>447.96492045454539</v>
      </c>
      <c r="Q6" s="282">
        <v>3.75</v>
      </c>
      <c r="R6" s="282">
        <v>4.0880480688431735</v>
      </c>
      <c r="S6" s="283">
        <v>-215.19268824110685</v>
      </c>
    </row>
    <row r="7" spans="1:19" ht="12.75" customHeight="1" x14ac:dyDescent="0.25">
      <c r="A7" s="277">
        <v>45962</v>
      </c>
      <c r="B7" s="278">
        <v>375.25</v>
      </c>
      <c r="C7" s="278">
        <v>3.5</v>
      </c>
      <c r="D7" s="278">
        <v>-7.0820118110236123</v>
      </c>
      <c r="E7" s="277">
        <v>45962</v>
      </c>
      <c r="F7" s="278">
        <v>24.5</v>
      </c>
      <c r="G7" s="278">
        <v>399.75</v>
      </c>
      <c r="H7" s="278">
        <v>4.75</v>
      </c>
      <c r="I7" s="279">
        <v>-3.223744094488179</v>
      </c>
      <c r="J7" s="279"/>
      <c r="K7" s="277">
        <v>45962</v>
      </c>
      <c r="L7" s="279">
        <v>44.464920454545393</v>
      </c>
      <c r="M7" s="280">
        <v>-2</v>
      </c>
      <c r="N7" s="277">
        <v>45962</v>
      </c>
      <c r="O7" s="281">
        <v>68.964920454545393</v>
      </c>
      <c r="P7" s="281">
        <v>444.21492045454539</v>
      </c>
      <c r="Q7" s="282">
        <v>2.75</v>
      </c>
      <c r="R7" s="282">
        <v>3.7786055833929861</v>
      </c>
      <c r="S7" s="283">
        <v>-207.90382954545458</v>
      </c>
    </row>
    <row r="8" spans="1:19" ht="12.75" customHeight="1" x14ac:dyDescent="0.25">
      <c r="A8" s="277">
        <v>45992</v>
      </c>
      <c r="B8" s="278">
        <v>371.75</v>
      </c>
      <c r="C8" s="278">
        <v>1.75</v>
      </c>
      <c r="D8" s="278">
        <v>-7.4647363916466816</v>
      </c>
      <c r="E8" s="277">
        <v>45992</v>
      </c>
      <c r="F8" s="278">
        <v>23.25</v>
      </c>
      <c r="G8" s="278">
        <v>395</v>
      </c>
      <c r="H8" s="278">
        <v>2.75</v>
      </c>
      <c r="I8" s="279">
        <v>-3.8033190688120357</v>
      </c>
      <c r="J8" s="279"/>
      <c r="K8" s="277">
        <v>45992</v>
      </c>
      <c r="L8" s="279">
        <v>46.464920454545393</v>
      </c>
      <c r="M8" s="280">
        <v>-0.75</v>
      </c>
      <c r="N8" s="277">
        <v>45992</v>
      </c>
      <c r="O8" s="281">
        <v>69.714920454545393</v>
      </c>
      <c r="P8" s="281">
        <v>441.46492045454539</v>
      </c>
      <c r="Q8" s="282">
        <v>2</v>
      </c>
      <c r="R8" s="282">
        <v>3.5139912389903891</v>
      </c>
      <c r="S8" s="283">
        <v>-203.55681867588936</v>
      </c>
    </row>
    <row r="9" spans="1:19" ht="12.75" customHeight="1" x14ac:dyDescent="0.25">
      <c r="A9" s="277">
        <v>46023</v>
      </c>
      <c r="B9" s="278">
        <v>370</v>
      </c>
      <c r="C9" s="278">
        <v>1.25</v>
      </c>
      <c r="D9" s="278">
        <v>-7.6650107372942031</v>
      </c>
      <c r="E9" s="277">
        <v>46023</v>
      </c>
      <c r="F9" s="278">
        <v>22.25</v>
      </c>
      <c r="G9" s="278">
        <v>392.25</v>
      </c>
      <c r="H9" s="278">
        <v>1.25</v>
      </c>
      <c r="I9" s="279">
        <v>-4.1610737294201874</v>
      </c>
      <c r="J9" s="279"/>
      <c r="K9" s="277">
        <v>46023</v>
      </c>
      <c r="L9" s="279">
        <v>47.214920454545393</v>
      </c>
      <c r="M9" s="280">
        <v>0.25</v>
      </c>
      <c r="N9" s="277">
        <v>46023</v>
      </c>
      <c r="O9" s="281">
        <v>69.464920454545393</v>
      </c>
      <c r="P9" s="281">
        <v>439.46492045454539</v>
      </c>
      <c r="Q9" s="282">
        <v>1.5</v>
      </c>
      <c r="R9" s="282">
        <v>3.2743468146027102</v>
      </c>
      <c r="S9" s="283">
        <v>-204.03507954545461</v>
      </c>
    </row>
    <row r="10" spans="1:19" ht="12.75" customHeight="1" x14ac:dyDescent="0.25">
      <c r="A10" s="277">
        <v>46054</v>
      </c>
      <c r="B10" s="278">
        <v>368.75</v>
      </c>
      <c r="C10" s="278">
        <v>0</v>
      </c>
      <c r="D10" s="278">
        <v>-7.8121338582677069</v>
      </c>
      <c r="E10" s="277">
        <v>46054</v>
      </c>
      <c r="F10" s="278">
        <v>22.25</v>
      </c>
      <c r="G10" s="278">
        <v>391</v>
      </c>
      <c r="H10" s="278">
        <v>1.25</v>
      </c>
      <c r="I10" s="279">
        <v>-4.3081968503936912</v>
      </c>
      <c r="J10" s="279"/>
      <c r="K10" s="277">
        <v>46054</v>
      </c>
      <c r="L10" s="279">
        <v>46.964920454545393</v>
      </c>
      <c r="M10" s="280">
        <v>0.25</v>
      </c>
      <c r="N10" s="277">
        <v>46054</v>
      </c>
      <c r="O10" s="281">
        <v>69.214920454545393</v>
      </c>
      <c r="P10" s="281">
        <v>437.96492045454539</v>
      </c>
      <c r="Q10" s="282">
        <v>1.5</v>
      </c>
      <c r="R10" s="282">
        <v>3.087853614889049</v>
      </c>
      <c r="S10" s="283">
        <v>-202.41007954545461</v>
      </c>
    </row>
    <row r="11" spans="1:19" ht="12.75" customHeight="1" x14ac:dyDescent="0.25">
      <c r="A11" s="277">
        <v>46082</v>
      </c>
      <c r="B11" s="278">
        <v>368.75</v>
      </c>
      <c r="C11" s="278">
        <v>0</v>
      </c>
      <c r="D11" s="278">
        <v>-7.7720884037222575</v>
      </c>
      <c r="E11" s="277">
        <v>46082</v>
      </c>
      <c r="F11" s="278">
        <v>21</v>
      </c>
      <c r="G11" s="278">
        <v>389.75</v>
      </c>
      <c r="H11" s="278">
        <v>1.25</v>
      </c>
      <c r="I11" s="279">
        <v>-4.4650017895490288</v>
      </c>
      <c r="J11" s="279"/>
      <c r="K11" s="277">
        <v>46082</v>
      </c>
      <c r="L11" s="279">
        <v>46.714920454545393</v>
      </c>
      <c r="M11" s="280">
        <v>0</v>
      </c>
      <c r="N11" s="277">
        <v>46082</v>
      </c>
      <c r="O11" s="281">
        <v>67.714920454545393</v>
      </c>
      <c r="P11" s="281">
        <v>436.46492045454539</v>
      </c>
      <c r="Q11" s="282">
        <v>1.25</v>
      </c>
      <c r="R11" s="282">
        <v>2.8916785969935521</v>
      </c>
      <c r="S11" s="283">
        <v>-199.78507954545461</v>
      </c>
    </row>
    <row r="12" spans="1:19" ht="12.75" customHeight="1" x14ac:dyDescent="0.25">
      <c r="A12" s="277">
        <v>46113</v>
      </c>
      <c r="B12" s="278">
        <v>368.75</v>
      </c>
      <c r="C12" s="278">
        <v>0.5</v>
      </c>
      <c r="D12" s="278">
        <v>-7.7266338582677108</v>
      </c>
      <c r="E12" s="277">
        <v>46113</v>
      </c>
      <c r="F12" s="278">
        <v>19.75</v>
      </c>
      <c r="G12" s="278">
        <v>388.5</v>
      </c>
      <c r="H12" s="278">
        <v>1.25</v>
      </c>
      <c r="I12" s="279">
        <v>-4.61639763779527</v>
      </c>
      <c r="J12" s="279"/>
      <c r="K12" s="277">
        <v>46113</v>
      </c>
      <c r="L12" s="279">
        <v>46.714920454545393</v>
      </c>
      <c r="M12" s="280">
        <v>0.25</v>
      </c>
      <c r="N12" s="277">
        <v>46113</v>
      </c>
      <c r="O12" s="281">
        <v>66.464920454545393</v>
      </c>
      <c r="P12" s="281">
        <v>435.21492045454539</v>
      </c>
      <c r="Q12" s="282">
        <v>1.5</v>
      </c>
      <c r="R12" s="282">
        <v>2.7402827487473118</v>
      </c>
      <c r="S12" s="283">
        <v>-195.16007954545461</v>
      </c>
    </row>
    <row r="13" spans="1:19" ht="12.75" customHeight="1" x14ac:dyDescent="0.25">
      <c r="A13" s="277">
        <v>46143</v>
      </c>
      <c r="B13" s="278">
        <v>368.25</v>
      </c>
      <c r="C13" s="278">
        <v>0.75</v>
      </c>
      <c r="D13" s="278">
        <v>-7.7502549681289707</v>
      </c>
      <c r="E13" s="277">
        <v>46143</v>
      </c>
      <c r="F13" s="278">
        <v>19</v>
      </c>
      <c r="G13" s="278">
        <v>387.25</v>
      </c>
      <c r="H13" s="278">
        <v>1.25</v>
      </c>
      <c r="I13" s="279">
        <v>-4.7581289838770022</v>
      </c>
      <c r="J13" s="279"/>
      <c r="K13" s="277">
        <v>46143</v>
      </c>
      <c r="L13" s="279">
        <v>46.464920454545393</v>
      </c>
      <c r="M13" s="280">
        <v>0.25</v>
      </c>
      <c r="N13" s="277">
        <v>46143</v>
      </c>
      <c r="O13" s="281">
        <v>65.464920454545393</v>
      </c>
      <c r="P13" s="281">
        <v>433.71492045454539</v>
      </c>
      <c r="Q13" s="282">
        <v>1.5</v>
      </c>
      <c r="R13" s="282">
        <v>2.5591813239254222</v>
      </c>
      <c r="S13" s="283">
        <v>-194.41007954545461</v>
      </c>
    </row>
    <row r="14" spans="1:19" ht="12.75" customHeight="1" x14ac:dyDescent="0.25">
      <c r="A14" s="277">
        <v>46174</v>
      </c>
      <c r="B14" s="278">
        <v>367.5</v>
      </c>
      <c r="C14" s="278">
        <v>1</v>
      </c>
      <c r="D14" s="278">
        <v>-7.8139387974230345</v>
      </c>
      <c r="E14" s="277">
        <v>46174</v>
      </c>
      <c r="F14" s="278">
        <v>18.5</v>
      </c>
      <c r="G14" s="278">
        <v>386</v>
      </c>
      <c r="H14" s="278">
        <v>1.25</v>
      </c>
      <c r="I14" s="279">
        <v>-4.9005529706513808</v>
      </c>
      <c r="J14" s="279"/>
      <c r="K14" s="277">
        <v>46174</v>
      </c>
      <c r="L14" s="279">
        <v>46.214920454545393</v>
      </c>
      <c r="M14" s="280">
        <v>0.25</v>
      </c>
      <c r="N14" s="277">
        <v>46174</v>
      </c>
      <c r="O14" s="281">
        <v>64.714920454545393</v>
      </c>
      <c r="P14" s="281">
        <v>432.21492045454539</v>
      </c>
      <c r="Q14" s="282">
        <v>1.5</v>
      </c>
      <c r="R14" s="282">
        <v>2.3773872584108862</v>
      </c>
      <c r="S14" s="283">
        <v>-194.03507954545461</v>
      </c>
    </row>
    <row r="15" spans="1:19" ht="12.75" customHeight="1" x14ac:dyDescent="0.25">
      <c r="A15" s="277">
        <v>46204</v>
      </c>
      <c r="B15" s="278">
        <v>366.5</v>
      </c>
      <c r="C15" s="278">
        <v>3</v>
      </c>
      <c r="D15" s="278">
        <v>-7.9273776104073832</v>
      </c>
      <c r="E15" s="277">
        <v>46204</v>
      </c>
      <c r="F15" s="278">
        <v>18.25</v>
      </c>
      <c r="G15" s="278">
        <v>384.75</v>
      </c>
      <c r="H15" s="278">
        <v>1.75</v>
      </c>
      <c r="I15" s="279">
        <v>-5.0533618623758869</v>
      </c>
      <c r="J15" s="279"/>
      <c r="K15" s="277">
        <v>46204</v>
      </c>
      <c r="L15" s="279">
        <v>45.964920454545393</v>
      </c>
      <c r="M15" s="280">
        <v>0</v>
      </c>
      <c r="N15" s="277">
        <v>46204</v>
      </c>
      <c r="O15" s="281">
        <v>64.214920454545393</v>
      </c>
      <c r="P15" s="281">
        <v>430.71492045454539</v>
      </c>
      <c r="Q15" s="282">
        <v>1.75</v>
      </c>
      <c r="R15" s="282">
        <v>2.1852082879462227</v>
      </c>
      <c r="S15" s="283">
        <v>-194.91007954545461</v>
      </c>
    </row>
    <row r="16" spans="1:19" ht="12.75" customHeight="1" x14ac:dyDescent="0.25">
      <c r="A16" s="277">
        <v>46235</v>
      </c>
      <c r="B16" s="278">
        <v>363.5</v>
      </c>
      <c r="C16" s="278">
        <v>4</v>
      </c>
      <c r="D16" s="278">
        <v>-8.3763817022871905</v>
      </c>
      <c r="E16" s="277">
        <v>46235</v>
      </c>
      <c r="F16" s="278">
        <v>19.5</v>
      </c>
      <c r="G16" s="278">
        <v>383</v>
      </c>
      <c r="H16" s="278">
        <v>1.75</v>
      </c>
      <c r="I16" s="279">
        <v>-5.3055155605549071</v>
      </c>
      <c r="J16" s="279"/>
      <c r="K16" s="277">
        <v>46235</v>
      </c>
      <c r="L16" s="279">
        <v>45.964920454545393</v>
      </c>
      <c r="M16" s="280">
        <v>0</v>
      </c>
      <c r="N16" s="277">
        <v>46235</v>
      </c>
      <c r="O16" s="281">
        <v>65.464920454545393</v>
      </c>
      <c r="P16" s="281">
        <v>428.96492045454539</v>
      </c>
      <c r="Q16" s="282">
        <v>1.75</v>
      </c>
      <c r="R16" s="282">
        <v>1.9330545897672025</v>
      </c>
      <c r="S16" s="283">
        <v>-196.53507954545461</v>
      </c>
    </row>
    <row r="17" spans="1:19" ht="12.75" customHeight="1" x14ac:dyDescent="0.25">
      <c r="A17" s="277">
        <v>46266</v>
      </c>
      <c r="B17" s="278">
        <v>359.5</v>
      </c>
      <c r="C17" s="278">
        <v>4.25</v>
      </c>
      <c r="D17" s="278">
        <v>-9.01150858983533</v>
      </c>
      <c r="E17" s="277">
        <v>46266</v>
      </c>
      <c r="F17" s="278">
        <v>21.75</v>
      </c>
      <c r="G17" s="278">
        <v>381.25</v>
      </c>
      <c r="H17" s="278">
        <v>2.5</v>
      </c>
      <c r="I17" s="279">
        <v>-5.5863117394416291</v>
      </c>
      <c r="J17" s="279"/>
      <c r="K17" s="277">
        <v>46266</v>
      </c>
      <c r="L17" s="279">
        <v>45.964920454545393</v>
      </c>
      <c r="M17" s="280">
        <v>-1</v>
      </c>
      <c r="N17" s="277">
        <v>46266</v>
      </c>
      <c r="O17" s="281">
        <v>67.714920454545393</v>
      </c>
      <c r="P17" s="281">
        <v>427.21492045454539</v>
      </c>
      <c r="Q17" s="282">
        <v>1.5</v>
      </c>
      <c r="R17" s="282">
        <v>1.6522584108804796</v>
      </c>
      <c r="S17" s="283">
        <v>-198.41007954545461</v>
      </c>
    </row>
    <row r="18" spans="1:19" ht="12.75" customHeight="1" x14ac:dyDescent="0.25">
      <c r="A18" s="277">
        <v>46296</v>
      </c>
      <c r="B18" s="278">
        <v>355.25</v>
      </c>
      <c r="C18" s="278">
        <v>2.75</v>
      </c>
      <c r="D18" s="278">
        <v>-9.6935272011452795</v>
      </c>
      <c r="E18" s="277">
        <v>46296</v>
      </c>
      <c r="F18" s="278">
        <v>23.5</v>
      </c>
      <c r="G18" s="278">
        <v>378.75</v>
      </c>
      <c r="H18" s="278">
        <v>2.25</v>
      </c>
      <c r="I18" s="279">
        <v>-5.9927397995704759</v>
      </c>
      <c r="J18" s="279"/>
      <c r="K18" s="277">
        <v>46296</v>
      </c>
      <c r="L18" s="279">
        <v>46.964920454545393</v>
      </c>
      <c r="M18" s="280">
        <v>-0.75</v>
      </c>
      <c r="N18" s="277">
        <v>46296</v>
      </c>
      <c r="O18" s="281">
        <v>70.464920454545393</v>
      </c>
      <c r="P18" s="281">
        <v>425.71492045454539</v>
      </c>
      <c r="Q18" s="282">
        <v>1.5</v>
      </c>
      <c r="R18" s="282">
        <v>1.4033106657122634</v>
      </c>
      <c r="S18" s="283">
        <v>-201.28507954545461</v>
      </c>
    </row>
    <row r="19" spans="1:19" ht="12.75" customHeight="1" x14ac:dyDescent="0.25">
      <c r="A19" s="277">
        <v>46327</v>
      </c>
      <c r="B19" s="278">
        <v>352.5</v>
      </c>
      <c r="C19" s="278">
        <v>1.75</v>
      </c>
      <c r="D19" s="278">
        <v>-10.091998500187437</v>
      </c>
      <c r="E19" s="277">
        <v>46327</v>
      </c>
      <c r="F19" s="278">
        <v>24</v>
      </c>
      <c r="G19" s="278">
        <v>376.5</v>
      </c>
      <c r="H19" s="278">
        <v>1.5</v>
      </c>
      <c r="I19" s="279">
        <v>-6.3124709411323181</v>
      </c>
      <c r="J19" s="279"/>
      <c r="K19" s="277">
        <v>46327</v>
      </c>
      <c r="L19" s="279">
        <v>47.714920454545393</v>
      </c>
      <c r="M19" s="280">
        <v>0</v>
      </c>
      <c r="N19" s="277">
        <v>46327</v>
      </c>
      <c r="O19" s="281">
        <v>71.714920454545393</v>
      </c>
      <c r="P19" s="281">
        <v>424.21492045454539</v>
      </c>
      <c r="Q19" s="282">
        <v>1.5</v>
      </c>
      <c r="R19" s="282">
        <v>1.2016897603708934</v>
      </c>
      <c r="S19" s="283">
        <v>-201.41007954545461</v>
      </c>
    </row>
    <row r="20" spans="1:19" ht="12.75" customHeight="1" x14ac:dyDescent="0.25">
      <c r="A20" s="277">
        <v>46357</v>
      </c>
      <c r="B20" s="278">
        <v>350.75</v>
      </c>
      <c r="C20" s="278">
        <v>-1.5</v>
      </c>
      <c r="D20" s="278">
        <v>-10.3450838753851</v>
      </c>
      <c r="E20" s="277">
        <v>46357</v>
      </c>
      <c r="F20" s="278">
        <v>24.25</v>
      </c>
      <c r="G20" s="278">
        <v>375</v>
      </c>
      <c r="H20" s="278">
        <v>-0.25</v>
      </c>
      <c r="I20" s="279">
        <v>-6.5261862375898243</v>
      </c>
      <c r="J20" s="279"/>
      <c r="K20" s="277">
        <v>46357</v>
      </c>
      <c r="L20" s="279">
        <v>47.714920454545393</v>
      </c>
      <c r="M20" s="280">
        <v>1.25</v>
      </c>
      <c r="N20" s="277">
        <v>46357</v>
      </c>
      <c r="O20" s="281">
        <v>71.964920454545393</v>
      </c>
      <c r="P20" s="281">
        <v>422.71492045454539</v>
      </c>
      <c r="Q20" s="282">
        <v>1</v>
      </c>
      <c r="R20" s="282">
        <v>0.98797446391338717</v>
      </c>
      <c r="S20" s="283">
        <v>-200.53507954545461</v>
      </c>
    </row>
    <row r="21" spans="1:19" ht="12.75" customHeight="1" x14ac:dyDescent="0.25">
      <c r="A21" s="277">
        <v>46388</v>
      </c>
      <c r="B21" s="278">
        <v>352.25</v>
      </c>
      <c r="C21" s="278">
        <v>-1.25</v>
      </c>
      <c r="D21" s="278">
        <v>-10.123273340832355</v>
      </c>
      <c r="E21" s="277">
        <v>46388</v>
      </c>
      <c r="F21" s="278">
        <v>23</v>
      </c>
      <c r="G21" s="278">
        <v>375.25</v>
      </c>
      <c r="H21" s="278">
        <v>-0.25</v>
      </c>
      <c r="I21" s="279">
        <v>-6.5012260967378666</v>
      </c>
      <c r="J21" s="279"/>
      <c r="K21" s="277">
        <v>46388</v>
      </c>
      <c r="L21" s="279">
        <v>46.464920454545393</v>
      </c>
      <c r="M21" s="280">
        <v>0.75</v>
      </c>
      <c r="N21" s="277">
        <v>46388</v>
      </c>
      <c r="O21" s="281">
        <v>69.464920454545393</v>
      </c>
      <c r="P21" s="281">
        <v>421.71492045454539</v>
      </c>
      <c r="Q21" s="282">
        <v>0.5</v>
      </c>
      <c r="R21" s="282">
        <v>0.81608421106455786</v>
      </c>
      <c r="S21" s="283">
        <v>-201.41007954545461</v>
      </c>
    </row>
    <row r="22" spans="1:19" ht="12.75" customHeight="1" x14ac:dyDescent="0.25">
      <c r="A22" s="277">
        <v>46419</v>
      </c>
      <c r="B22" s="278">
        <v>353.5</v>
      </c>
      <c r="C22" s="278">
        <v>-1.25</v>
      </c>
      <c r="D22" s="278">
        <v>-9.9437086614172898</v>
      </c>
      <c r="E22" s="277">
        <v>46419</v>
      </c>
      <c r="F22" s="278">
        <v>22</v>
      </c>
      <c r="G22" s="278">
        <v>375.5</v>
      </c>
      <c r="H22" s="278">
        <v>-0.25</v>
      </c>
      <c r="I22" s="279">
        <v>-6.4791417322834315</v>
      </c>
      <c r="J22" s="279"/>
      <c r="K22" s="277">
        <v>46419</v>
      </c>
      <c r="L22" s="279">
        <v>45.714920454545393</v>
      </c>
      <c r="M22" s="280">
        <v>0.75</v>
      </c>
      <c r="N22" s="277">
        <v>46419</v>
      </c>
      <c r="O22" s="281">
        <v>67.714920454545393</v>
      </c>
      <c r="P22" s="281">
        <v>421.21492045454539</v>
      </c>
      <c r="Q22" s="282">
        <v>0.5</v>
      </c>
      <c r="R22" s="282">
        <v>0.72005833929851981</v>
      </c>
      <c r="S22" s="283">
        <v>-202.28507954545461</v>
      </c>
    </row>
    <row r="23" spans="1:19" ht="12.75" customHeight="1" x14ac:dyDescent="0.25">
      <c r="A23" s="277">
        <v>46447</v>
      </c>
      <c r="B23" s="278">
        <v>354.75</v>
      </c>
      <c r="C23" s="278"/>
      <c r="D23" s="278">
        <v>-9.8064669633686776</v>
      </c>
      <c r="E23" s="277">
        <v>46447</v>
      </c>
      <c r="F23" s="278">
        <v>21</v>
      </c>
      <c r="G23" s="278">
        <v>375.75</v>
      </c>
      <c r="H23" s="278"/>
      <c r="I23" s="279">
        <v>-6.4993803491954489</v>
      </c>
      <c r="J23" s="279"/>
      <c r="K23" s="277">
        <v>46447</v>
      </c>
      <c r="L23" s="279">
        <v>44.964920454545393</v>
      </c>
      <c r="M23" s="280"/>
      <c r="N23" s="277">
        <v>46447</v>
      </c>
      <c r="O23" s="281">
        <v>65.964920454545393</v>
      </c>
      <c r="P23" s="281">
        <v>420.71492045454539</v>
      </c>
      <c r="Q23" s="282"/>
      <c r="R23" s="282">
        <v>0.58170948616603013</v>
      </c>
      <c r="S23" s="283">
        <v>-202.91007954545461</v>
      </c>
    </row>
    <row r="24" spans="1:19" ht="12.75" customHeight="1" x14ac:dyDescent="0.25">
      <c r="A24" s="284"/>
      <c r="B24" s="280"/>
      <c r="C24" s="278"/>
      <c r="D24" s="278"/>
      <c r="E24" s="284"/>
      <c r="F24" s="280"/>
      <c r="G24" s="278"/>
      <c r="H24" s="278"/>
      <c r="I24" s="279"/>
      <c r="J24" s="279"/>
      <c r="K24" s="284"/>
      <c r="L24" s="279"/>
      <c r="M24" s="280"/>
      <c r="N24" s="284"/>
      <c r="O24" s="281"/>
      <c r="P24" s="281"/>
      <c r="Q24" s="282"/>
      <c r="R24" s="282"/>
      <c r="S24" s="283"/>
    </row>
    <row r="25" spans="1:19" ht="12.75" customHeight="1" x14ac:dyDescent="0.25">
      <c r="A25" s="285" t="s">
        <v>156</v>
      </c>
      <c r="B25" s="278">
        <v>375.5</v>
      </c>
      <c r="C25" s="278">
        <v>6.3333333333333144</v>
      </c>
      <c r="D25" s="278">
        <v>-7.080192456921135</v>
      </c>
      <c r="E25" s="285" t="s">
        <v>156</v>
      </c>
      <c r="F25" s="278">
        <v>24.583333333333332</v>
      </c>
      <c r="G25" s="278">
        <v>400.08333333333331</v>
      </c>
      <c r="H25" s="278">
        <v>9.0833333333333144</v>
      </c>
      <c r="I25" s="279">
        <v>-3.2088013808056495</v>
      </c>
      <c r="J25" s="279"/>
      <c r="K25" s="285" t="s">
        <v>156</v>
      </c>
      <c r="L25" s="279">
        <v>44.46492045454545</v>
      </c>
      <c r="M25" s="280">
        <v>-2.4999999999999432</v>
      </c>
      <c r="N25" s="285" t="s">
        <v>156</v>
      </c>
      <c r="O25" s="281">
        <v>69.048253787878764</v>
      </c>
      <c r="P25" s="281">
        <v>444.54825378787876</v>
      </c>
      <c r="Q25" s="282">
        <v>6.5833333333333712</v>
      </c>
      <c r="R25" s="282">
        <v>3.7935482970755161</v>
      </c>
      <c r="S25" s="283">
        <v>-208.88444548748362</v>
      </c>
    </row>
    <row r="26" spans="1:19" ht="12.75" customHeight="1" x14ac:dyDescent="0.25">
      <c r="A26" s="285" t="s">
        <v>162</v>
      </c>
      <c r="B26" s="278">
        <v>369.16666666666669</v>
      </c>
      <c r="C26" s="278">
        <v>1</v>
      </c>
      <c r="D26" s="278">
        <v>-7.7497443330947222</v>
      </c>
      <c r="E26" s="285" t="s">
        <v>162</v>
      </c>
      <c r="F26" s="278">
        <v>21.833333333333332</v>
      </c>
      <c r="G26" s="278">
        <v>391</v>
      </c>
      <c r="H26" s="278">
        <v>3.75</v>
      </c>
      <c r="I26" s="279">
        <v>-4.3114241231209691</v>
      </c>
      <c r="J26" s="279"/>
      <c r="K26" s="285" t="s">
        <v>162</v>
      </c>
      <c r="L26" s="279">
        <v>46.964920454545393</v>
      </c>
      <c r="M26" s="280">
        <v>0.5</v>
      </c>
      <c r="N26" s="285" t="s">
        <v>162</v>
      </c>
      <c r="O26" s="281">
        <v>68.798253787878707</v>
      </c>
      <c r="P26" s="281">
        <v>437.96492045454539</v>
      </c>
      <c r="Q26" s="282">
        <v>4.25</v>
      </c>
      <c r="R26" s="282">
        <v>3.0846263421617706</v>
      </c>
      <c r="S26" s="283">
        <v>-202.07674621212126</v>
      </c>
    </row>
    <row r="27" spans="1:19" ht="12.75" customHeight="1" x14ac:dyDescent="0.25">
      <c r="A27" s="285" t="s">
        <v>163</v>
      </c>
      <c r="B27" s="278">
        <v>368.16666666666669</v>
      </c>
      <c r="C27" s="278">
        <v>5</v>
      </c>
      <c r="D27" s="278">
        <v>-7.7636092079399051</v>
      </c>
      <c r="E27" s="285" t="s">
        <v>163</v>
      </c>
      <c r="F27" s="278">
        <v>19.083333333333332</v>
      </c>
      <c r="G27" s="278">
        <v>387.25</v>
      </c>
      <c r="H27" s="278">
        <v>4.25</v>
      </c>
      <c r="I27" s="279">
        <v>-4.7583598641078844</v>
      </c>
      <c r="J27" s="279"/>
      <c r="K27" s="285" t="s">
        <v>163</v>
      </c>
      <c r="L27" s="279">
        <v>46.464920454545393</v>
      </c>
      <c r="M27" s="280">
        <v>0.5</v>
      </c>
      <c r="N27" s="285" t="s">
        <v>163</v>
      </c>
      <c r="O27" s="281">
        <v>65.548253787878707</v>
      </c>
      <c r="P27" s="281">
        <v>433.71492045454539</v>
      </c>
      <c r="Q27" s="282">
        <v>4.75</v>
      </c>
      <c r="R27" s="282">
        <v>2.5589504436945401</v>
      </c>
      <c r="S27" s="283">
        <v>-194.53507954545458</v>
      </c>
    </row>
    <row r="28" spans="1:19" ht="12.75" customHeight="1" x14ac:dyDescent="0.25">
      <c r="A28" s="285" t="s">
        <v>164</v>
      </c>
      <c r="B28" s="278">
        <v>363.16666666666669</v>
      </c>
      <c r="C28" s="278">
        <v>10.333333333333371</v>
      </c>
      <c r="D28" s="278">
        <v>-8.438422634176634</v>
      </c>
      <c r="E28" s="285" t="s">
        <v>164</v>
      </c>
      <c r="F28" s="278">
        <v>19.833333333333332</v>
      </c>
      <c r="G28" s="278">
        <v>383</v>
      </c>
      <c r="H28" s="278">
        <v>6.25</v>
      </c>
      <c r="I28" s="279">
        <v>-5.3150630541241402</v>
      </c>
      <c r="J28" s="279"/>
      <c r="K28" s="285" t="s">
        <v>164</v>
      </c>
      <c r="L28" s="279">
        <v>45.964920454545393</v>
      </c>
      <c r="M28" s="280">
        <v>-1.5</v>
      </c>
      <c r="N28" s="285" t="s">
        <v>164</v>
      </c>
      <c r="O28" s="281">
        <v>65.798253787878707</v>
      </c>
      <c r="P28" s="281">
        <v>428.96492045454539</v>
      </c>
      <c r="Q28" s="282">
        <v>4.75</v>
      </c>
      <c r="R28" s="282">
        <v>1.9235070961979683</v>
      </c>
      <c r="S28" s="283">
        <v>-196.61841287878792</v>
      </c>
    </row>
    <row r="29" spans="1:19" ht="12.75" customHeight="1" x14ac:dyDescent="0.25">
      <c r="A29" s="285" t="s">
        <v>165</v>
      </c>
      <c r="B29" s="278">
        <v>352.83333333333331</v>
      </c>
      <c r="C29" s="278">
        <v>-0.66666666666668561</v>
      </c>
      <c r="D29" s="278">
        <v>-10.043536525572605</v>
      </c>
      <c r="E29" s="285" t="s">
        <v>165</v>
      </c>
      <c r="F29" s="278">
        <v>23.916666666666668</v>
      </c>
      <c r="G29" s="278">
        <v>376.75</v>
      </c>
      <c r="H29" s="278">
        <v>1.25</v>
      </c>
      <c r="I29" s="279">
        <v>-6.27713232609754</v>
      </c>
      <c r="J29" s="279"/>
      <c r="K29" s="285" t="s">
        <v>165</v>
      </c>
      <c r="L29" s="279">
        <v>47.464920454545393</v>
      </c>
      <c r="M29" s="280">
        <v>1.75</v>
      </c>
      <c r="N29" s="285" t="s">
        <v>165</v>
      </c>
      <c r="O29" s="281">
        <v>71.381587121212078</v>
      </c>
      <c r="P29" s="281">
        <v>424.21492045454539</v>
      </c>
      <c r="Q29" s="282">
        <v>3</v>
      </c>
      <c r="R29" s="282">
        <v>1.1976582966655147</v>
      </c>
      <c r="S29" s="283">
        <v>-201.07674621212126</v>
      </c>
    </row>
    <row r="30" spans="1:19" ht="12.75" customHeight="1" x14ac:dyDescent="0.25">
      <c r="A30" s="285" t="s">
        <v>238</v>
      </c>
      <c r="B30" s="278">
        <v>353.5</v>
      </c>
      <c r="C30" s="278"/>
      <c r="D30" s="278">
        <v>-9.9578163218727749</v>
      </c>
      <c r="E30" s="285" t="s">
        <v>238</v>
      </c>
      <c r="F30" s="278">
        <v>22</v>
      </c>
      <c r="G30" s="278">
        <v>375.5</v>
      </c>
      <c r="H30" s="278"/>
      <c r="I30" s="279">
        <v>-6.4932493927389165</v>
      </c>
      <c r="J30" s="279"/>
      <c r="K30" s="285" t="s">
        <v>238</v>
      </c>
      <c r="L30" s="279">
        <v>45.714920454545393</v>
      </c>
      <c r="M30" s="280"/>
      <c r="N30" s="285" t="s">
        <v>238</v>
      </c>
      <c r="O30" s="281">
        <v>67.714920454545393</v>
      </c>
      <c r="P30" s="281">
        <v>421.21492045454539</v>
      </c>
      <c r="Q30" s="282"/>
      <c r="R30" s="282">
        <v>0.70595067884303597</v>
      </c>
      <c r="S30" s="283">
        <v>-202.20174621212126</v>
      </c>
    </row>
    <row r="31" spans="1:19" ht="12.75" customHeight="1" x14ac:dyDescent="0.25">
      <c r="A31" s="286" t="s">
        <v>166</v>
      </c>
      <c r="B31" s="278">
        <v>363.33333333333331</v>
      </c>
      <c r="C31" s="282"/>
      <c r="D31" s="278">
        <v>-8.4988281751959676</v>
      </c>
      <c r="E31" s="286" t="s">
        <v>166</v>
      </c>
      <c r="F31" s="278">
        <v>21.166666666666668</v>
      </c>
      <c r="G31" s="278">
        <v>384.5</v>
      </c>
      <c r="H31" s="282"/>
      <c r="I31" s="279">
        <v>-5.1654948418626336</v>
      </c>
      <c r="J31" s="281"/>
      <c r="K31" s="285" t="s">
        <v>166</v>
      </c>
      <c r="L31" s="279">
        <v>46.714920454545393</v>
      </c>
      <c r="M31" s="282"/>
      <c r="N31" s="285" t="s">
        <v>166</v>
      </c>
      <c r="O31" s="281">
        <v>67.881587121212078</v>
      </c>
      <c r="P31" s="281">
        <v>431.21492045454539</v>
      </c>
      <c r="Q31" s="282"/>
      <c r="R31" s="282">
        <v>2.1911855446799486</v>
      </c>
      <c r="S31" s="283">
        <v>-198.57674621212126</v>
      </c>
    </row>
    <row r="32" spans="1:19" ht="12.75" customHeight="1" x14ac:dyDescent="0.25">
      <c r="A32" s="287" t="s">
        <v>14</v>
      </c>
      <c r="B32" s="288"/>
      <c r="C32" s="288"/>
      <c r="D32" s="288"/>
      <c r="E32" s="289" t="s">
        <v>15</v>
      </c>
      <c r="F32" s="288"/>
      <c r="G32" s="288"/>
      <c r="H32" s="289" t="s">
        <v>16</v>
      </c>
      <c r="I32" s="288"/>
      <c r="J32" s="288"/>
      <c r="K32" s="289" t="s">
        <v>17</v>
      </c>
      <c r="L32" s="288"/>
      <c r="M32" s="288"/>
      <c r="N32" s="289" t="s">
        <v>18</v>
      </c>
      <c r="O32" s="288"/>
      <c r="P32" s="288"/>
      <c r="Q32" s="289" t="s">
        <v>19</v>
      </c>
      <c r="R32" s="288"/>
      <c r="S32" s="290"/>
    </row>
    <row r="33" spans="1:19" ht="12.75" customHeight="1" x14ac:dyDescent="0.25">
      <c r="A33" s="291"/>
      <c r="B33" s="292" t="s">
        <v>20</v>
      </c>
      <c r="C33" s="292" t="s">
        <v>21</v>
      </c>
      <c r="D33" s="293"/>
      <c r="E33" s="293"/>
      <c r="F33" s="292" t="s">
        <v>20</v>
      </c>
      <c r="G33" s="294" t="s">
        <v>22</v>
      </c>
      <c r="H33" s="293"/>
      <c r="I33" s="292" t="s">
        <v>20</v>
      </c>
      <c r="J33" s="294" t="s">
        <v>23</v>
      </c>
      <c r="K33" s="293"/>
      <c r="L33" s="292" t="s">
        <v>20</v>
      </c>
      <c r="M33" s="294" t="s">
        <v>24</v>
      </c>
      <c r="N33" s="293"/>
      <c r="O33" s="292" t="s">
        <v>20</v>
      </c>
      <c r="P33" s="292" t="s">
        <v>25</v>
      </c>
      <c r="Q33" s="293"/>
      <c r="R33" s="292" t="s">
        <v>20</v>
      </c>
      <c r="S33" s="295" t="s">
        <v>26</v>
      </c>
    </row>
    <row r="34" spans="1:19" ht="12.75" customHeight="1" x14ac:dyDescent="0.25">
      <c r="A34" s="296">
        <v>45870</v>
      </c>
      <c r="B34" s="297">
        <v>-4</v>
      </c>
      <c r="C34" s="298">
        <v>382.75</v>
      </c>
      <c r="D34" s="299"/>
      <c r="E34" s="296">
        <v>45870</v>
      </c>
      <c r="F34" s="297">
        <v>17.25</v>
      </c>
      <c r="G34" s="300">
        <v>400</v>
      </c>
      <c r="H34" s="296">
        <v>45870</v>
      </c>
      <c r="I34" s="297">
        <v>17.5</v>
      </c>
      <c r="J34" s="300">
        <v>447</v>
      </c>
      <c r="K34" s="296">
        <v>45870</v>
      </c>
      <c r="L34" s="297">
        <v>12</v>
      </c>
      <c r="M34" s="300">
        <v>429.5</v>
      </c>
      <c r="N34" s="296">
        <v>45870</v>
      </c>
      <c r="O34" s="301">
        <v>18</v>
      </c>
      <c r="P34" s="297">
        <v>435.5</v>
      </c>
      <c r="Q34" s="296">
        <v>45870</v>
      </c>
      <c r="R34" s="301">
        <v>0</v>
      </c>
      <c r="S34" s="302">
        <v>452.96492045454539</v>
      </c>
    </row>
    <row r="35" spans="1:19" ht="12.75" customHeight="1" x14ac:dyDescent="0.25">
      <c r="A35" s="296">
        <v>45901</v>
      </c>
      <c r="B35" s="297">
        <v>-8.5</v>
      </c>
      <c r="C35" s="298">
        <v>374.75</v>
      </c>
      <c r="D35" s="299"/>
      <c r="E35" s="296">
        <v>45901</v>
      </c>
      <c r="F35" s="297">
        <v>17.25</v>
      </c>
      <c r="G35" s="300">
        <v>392</v>
      </c>
      <c r="H35" s="296">
        <v>45901</v>
      </c>
      <c r="I35" s="297">
        <v>17.5</v>
      </c>
      <c r="J35" s="300">
        <v>442</v>
      </c>
      <c r="K35" s="296">
        <v>45901</v>
      </c>
      <c r="L35" s="297">
        <v>12.25</v>
      </c>
      <c r="M35" s="300">
        <v>424.5</v>
      </c>
      <c r="N35" s="296">
        <v>45901</v>
      </c>
      <c r="O35" s="301">
        <v>18.75</v>
      </c>
      <c r="P35" s="297">
        <v>431</v>
      </c>
      <c r="Q35" s="296">
        <v>45901</v>
      </c>
      <c r="R35" s="301">
        <v>0</v>
      </c>
      <c r="S35" s="302">
        <v>452.46492045454539</v>
      </c>
    </row>
    <row r="36" spans="1:19" ht="12.75" customHeight="1" x14ac:dyDescent="0.25">
      <c r="A36" s="296">
        <v>45931</v>
      </c>
      <c r="B36" s="297">
        <v>-7.75</v>
      </c>
      <c r="C36" s="298">
        <v>371.75</v>
      </c>
      <c r="D36" s="299"/>
      <c r="E36" s="296">
        <v>45931</v>
      </c>
      <c r="F36" s="297">
        <v>18</v>
      </c>
      <c r="G36" s="300">
        <v>389.75</v>
      </c>
      <c r="H36" s="296">
        <v>45931</v>
      </c>
      <c r="I36" s="297">
        <v>18.25</v>
      </c>
      <c r="J36" s="300">
        <v>437</v>
      </c>
      <c r="K36" s="296">
        <v>45931</v>
      </c>
      <c r="L36" s="297">
        <v>13.25</v>
      </c>
      <c r="M36" s="300">
        <v>418.75</v>
      </c>
      <c r="N36" s="296">
        <v>45931</v>
      </c>
      <c r="O36" s="301">
        <v>19.75</v>
      </c>
      <c r="P36" s="297">
        <v>425.25</v>
      </c>
      <c r="Q36" s="296">
        <v>45931</v>
      </c>
      <c r="R36" s="301">
        <v>0</v>
      </c>
      <c r="S36" s="302">
        <v>447.96492045454539</v>
      </c>
    </row>
    <row r="37" spans="1:19" ht="12.75" customHeight="1" x14ac:dyDescent="0.25">
      <c r="A37" s="296">
        <v>45962</v>
      </c>
      <c r="B37" s="297">
        <v>-7.75</v>
      </c>
      <c r="C37" s="298">
        <v>367.5</v>
      </c>
      <c r="D37" s="299"/>
      <c r="E37" s="296">
        <v>45962</v>
      </c>
      <c r="F37" s="297">
        <v>18.5</v>
      </c>
      <c r="G37" s="300">
        <v>386</v>
      </c>
      <c r="H37" s="296">
        <v>45962</v>
      </c>
      <c r="I37" s="297">
        <v>18.75</v>
      </c>
      <c r="J37" s="300">
        <v>432.25</v>
      </c>
      <c r="K37" s="296">
        <v>45962</v>
      </c>
      <c r="L37" s="297">
        <v>13.75</v>
      </c>
      <c r="M37" s="300">
        <v>413.5</v>
      </c>
      <c r="N37" s="296">
        <v>45962</v>
      </c>
      <c r="O37" s="301">
        <v>20.5</v>
      </c>
      <c r="P37" s="297">
        <v>420.25</v>
      </c>
      <c r="Q37" s="296">
        <v>45962</v>
      </c>
      <c r="R37" s="301">
        <v>0</v>
      </c>
      <c r="S37" s="302">
        <v>444.21492045454539</v>
      </c>
    </row>
    <row r="38" spans="1:19" ht="12.75" customHeight="1" x14ac:dyDescent="0.25">
      <c r="A38" s="296">
        <v>45992</v>
      </c>
      <c r="B38" s="297">
        <v>-8.25</v>
      </c>
      <c r="C38" s="298">
        <v>363.5</v>
      </c>
      <c r="D38" s="299"/>
      <c r="E38" s="296">
        <v>45992</v>
      </c>
      <c r="F38" s="297">
        <v>19.75</v>
      </c>
      <c r="G38" s="300">
        <v>383.25</v>
      </c>
      <c r="H38" s="296">
        <v>45992</v>
      </c>
      <c r="I38" s="297">
        <v>20</v>
      </c>
      <c r="J38" s="300">
        <v>429</v>
      </c>
      <c r="K38" s="296">
        <v>45992</v>
      </c>
      <c r="L38" s="297">
        <v>14</v>
      </c>
      <c r="M38" s="300">
        <v>409</v>
      </c>
      <c r="N38" s="296">
        <v>45992</v>
      </c>
      <c r="O38" s="301">
        <v>20.75</v>
      </c>
      <c r="P38" s="297">
        <v>415.75</v>
      </c>
      <c r="Q38" s="296">
        <v>45992</v>
      </c>
      <c r="R38" s="301">
        <v>1</v>
      </c>
      <c r="S38" s="302">
        <v>442.46492045454539</v>
      </c>
    </row>
    <row r="39" spans="1:19" ht="12.75" customHeight="1" x14ac:dyDescent="0.25">
      <c r="A39" s="296">
        <v>46023</v>
      </c>
      <c r="B39" s="297">
        <v>-6.5</v>
      </c>
      <c r="C39" s="298">
        <v>363.5</v>
      </c>
      <c r="D39" s="299"/>
      <c r="E39" s="296">
        <v>46023</v>
      </c>
      <c r="F39" s="297">
        <v>19.25</v>
      </c>
      <c r="G39" s="300">
        <v>382.75</v>
      </c>
      <c r="H39" s="296">
        <v>46023</v>
      </c>
      <c r="I39" s="297">
        <v>19.5</v>
      </c>
      <c r="J39" s="300">
        <v>426.25</v>
      </c>
      <c r="K39" s="296">
        <v>46023</v>
      </c>
      <c r="L39" s="297">
        <v>14.5</v>
      </c>
      <c r="M39" s="300">
        <v>406.75</v>
      </c>
      <c r="N39" s="296">
        <v>46023</v>
      </c>
      <c r="O39" s="301">
        <v>20.75</v>
      </c>
      <c r="P39" s="297">
        <v>413</v>
      </c>
      <c r="Q39" s="296">
        <v>46023</v>
      </c>
      <c r="R39" s="301">
        <v>1</v>
      </c>
      <c r="S39" s="302">
        <v>440.46492045454539</v>
      </c>
    </row>
    <row r="40" spans="1:19" ht="12.75" customHeight="1" x14ac:dyDescent="0.25">
      <c r="A40" s="296">
        <v>46054</v>
      </c>
      <c r="B40" s="297">
        <v>-6.5</v>
      </c>
      <c r="C40" s="298">
        <v>362.25</v>
      </c>
      <c r="D40" s="299"/>
      <c r="E40" s="296">
        <v>46054</v>
      </c>
      <c r="F40" s="297">
        <v>19</v>
      </c>
      <c r="G40" s="300">
        <v>381.25</v>
      </c>
      <c r="H40" s="296">
        <v>46054</v>
      </c>
      <c r="I40" s="297">
        <v>19.25</v>
      </c>
      <c r="J40" s="300">
        <v>424.75</v>
      </c>
      <c r="K40" s="296">
        <v>46054</v>
      </c>
      <c r="L40" s="297">
        <v>14.5</v>
      </c>
      <c r="M40" s="300">
        <v>405.5</v>
      </c>
      <c r="N40" s="296">
        <v>46054</v>
      </c>
      <c r="O40" s="301">
        <v>20.75</v>
      </c>
      <c r="P40" s="297">
        <v>411.75</v>
      </c>
      <c r="Q40" s="296">
        <v>46054</v>
      </c>
      <c r="R40" s="301">
        <v>1</v>
      </c>
      <c r="S40" s="302">
        <v>438.96492045454539</v>
      </c>
    </row>
    <row r="41" spans="1:19" ht="12.75" customHeight="1" x14ac:dyDescent="0.25">
      <c r="A41" s="296">
        <v>46082</v>
      </c>
      <c r="B41" s="297">
        <v>-6.5</v>
      </c>
      <c r="C41" s="298">
        <v>362.25</v>
      </c>
      <c r="D41" s="299"/>
      <c r="E41" s="296">
        <v>46082</v>
      </c>
      <c r="F41" s="297">
        <v>18.75</v>
      </c>
      <c r="G41" s="300">
        <v>381</v>
      </c>
      <c r="H41" s="296">
        <v>46082</v>
      </c>
      <c r="I41" s="297">
        <v>19</v>
      </c>
      <c r="J41" s="300">
        <v>423</v>
      </c>
      <c r="K41" s="296">
        <v>46082</v>
      </c>
      <c r="L41" s="297">
        <v>14.25</v>
      </c>
      <c r="M41" s="300">
        <v>404</v>
      </c>
      <c r="N41" s="296">
        <v>46082</v>
      </c>
      <c r="O41" s="301">
        <v>20</v>
      </c>
      <c r="P41" s="297">
        <v>409.75</v>
      </c>
      <c r="Q41" s="296">
        <v>46082</v>
      </c>
      <c r="R41" s="301">
        <v>1</v>
      </c>
      <c r="S41" s="302">
        <v>437.46492045454539</v>
      </c>
    </row>
    <row r="42" spans="1:19" ht="12.75" customHeight="1" x14ac:dyDescent="0.25">
      <c r="A42" s="296">
        <v>46113</v>
      </c>
      <c r="B42" s="297">
        <v>-5.5</v>
      </c>
      <c r="C42" s="298">
        <v>363.25</v>
      </c>
      <c r="D42" s="299"/>
      <c r="E42" s="296">
        <v>46113</v>
      </c>
      <c r="F42" s="297">
        <v>18.25</v>
      </c>
      <c r="G42" s="300">
        <v>381.5</v>
      </c>
      <c r="H42" s="296">
        <v>46113</v>
      </c>
      <c r="I42" s="297">
        <v>18.5</v>
      </c>
      <c r="J42" s="300">
        <v>421.25</v>
      </c>
      <c r="K42" s="296">
        <v>46113</v>
      </c>
      <c r="L42" s="297">
        <v>14.25</v>
      </c>
      <c r="M42" s="300">
        <v>402.75</v>
      </c>
      <c r="N42" s="296">
        <v>46113</v>
      </c>
      <c r="O42" s="301">
        <v>20</v>
      </c>
      <c r="P42" s="297">
        <v>408.5</v>
      </c>
      <c r="Q42" s="296">
        <v>46113</v>
      </c>
      <c r="R42" s="301">
        <v>1.25</v>
      </c>
      <c r="S42" s="302">
        <v>436.46492045454539</v>
      </c>
    </row>
    <row r="43" spans="1:19" ht="12.75" customHeight="1" x14ac:dyDescent="0.25">
      <c r="A43" s="296">
        <v>46143</v>
      </c>
      <c r="B43" s="297">
        <v>-5.5</v>
      </c>
      <c r="C43" s="298">
        <v>362.75</v>
      </c>
      <c r="D43" s="299"/>
      <c r="E43" s="296">
        <v>46143</v>
      </c>
      <c r="F43" s="297">
        <v>18</v>
      </c>
      <c r="G43" s="300">
        <v>380.75</v>
      </c>
      <c r="H43" s="296">
        <v>46143</v>
      </c>
      <c r="I43" s="297">
        <v>18.25</v>
      </c>
      <c r="J43" s="300">
        <v>419.75</v>
      </c>
      <c r="K43" s="296">
        <v>46143</v>
      </c>
      <c r="L43" s="297">
        <v>14.25</v>
      </c>
      <c r="M43" s="300">
        <v>401.5</v>
      </c>
      <c r="N43" s="296">
        <v>46143</v>
      </c>
      <c r="O43" s="301">
        <v>20</v>
      </c>
      <c r="P43" s="297">
        <v>407.25</v>
      </c>
      <c r="Q43" s="296">
        <v>46143</v>
      </c>
      <c r="R43" s="301">
        <v>1.25</v>
      </c>
      <c r="S43" s="302">
        <v>434.96492045454539</v>
      </c>
    </row>
    <row r="44" spans="1:19" ht="12.75" customHeight="1" x14ac:dyDescent="0.25">
      <c r="A44" s="296">
        <v>46174</v>
      </c>
      <c r="B44" s="297">
        <v>-5.5</v>
      </c>
      <c r="C44" s="298">
        <v>362</v>
      </c>
      <c r="D44" s="299"/>
      <c r="E44" s="296">
        <v>46174</v>
      </c>
      <c r="F44" s="297">
        <v>17.75</v>
      </c>
      <c r="G44" s="300">
        <v>379.75</v>
      </c>
      <c r="H44" s="296">
        <v>46174</v>
      </c>
      <c r="I44" s="297">
        <v>18</v>
      </c>
      <c r="J44" s="300">
        <v>418.25</v>
      </c>
      <c r="K44" s="296">
        <v>46174</v>
      </c>
      <c r="L44" s="297">
        <v>14.25</v>
      </c>
      <c r="M44" s="300">
        <v>400.25</v>
      </c>
      <c r="N44" s="296">
        <v>46174</v>
      </c>
      <c r="O44" s="301">
        <v>20</v>
      </c>
      <c r="P44" s="297">
        <v>406</v>
      </c>
      <c r="Q44" s="296">
        <v>46174</v>
      </c>
      <c r="R44" s="301">
        <v>1.25</v>
      </c>
      <c r="S44" s="302">
        <v>433.46492045454539</v>
      </c>
    </row>
    <row r="45" spans="1:19" ht="12.75" customHeight="1" x14ac:dyDescent="0.25">
      <c r="A45" s="296">
        <v>46204</v>
      </c>
      <c r="B45" s="297">
        <v>-5.5</v>
      </c>
      <c r="C45" s="298">
        <v>361</v>
      </c>
      <c r="D45" s="299"/>
      <c r="E45" s="296">
        <v>46204</v>
      </c>
      <c r="F45" s="297">
        <v>17.25</v>
      </c>
      <c r="G45" s="300">
        <v>378.25</v>
      </c>
      <c r="H45" s="296">
        <v>46204</v>
      </c>
      <c r="I45" s="297">
        <v>17.5</v>
      </c>
      <c r="J45" s="300">
        <v>416.25</v>
      </c>
      <c r="K45" s="296">
        <v>46204</v>
      </c>
      <c r="L45" s="297">
        <v>14</v>
      </c>
      <c r="M45" s="300">
        <v>398.75</v>
      </c>
      <c r="N45" s="296">
        <v>46204</v>
      </c>
      <c r="O45" s="301">
        <v>20.25</v>
      </c>
      <c r="P45" s="297">
        <v>405</v>
      </c>
      <c r="Q45" s="296">
        <v>46204</v>
      </c>
      <c r="R45" s="301">
        <v>1.25</v>
      </c>
      <c r="S45" s="302">
        <v>431.96492045454539</v>
      </c>
    </row>
    <row r="46" spans="1:19" ht="12.75" customHeight="1" x14ac:dyDescent="0.25">
      <c r="A46" s="296">
        <v>46235</v>
      </c>
      <c r="B46" s="297">
        <v>-5.5</v>
      </c>
      <c r="C46" s="298">
        <v>358</v>
      </c>
      <c r="D46" s="299"/>
      <c r="E46" s="296">
        <v>46235</v>
      </c>
      <c r="F46" s="297">
        <v>17</v>
      </c>
      <c r="G46" s="300">
        <v>375</v>
      </c>
      <c r="H46" s="296">
        <v>46235</v>
      </c>
      <c r="I46" s="297">
        <v>17.25</v>
      </c>
      <c r="J46" s="300">
        <v>414.25</v>
      </c>
      <c r="K46" s="296">
        <v>46235</v>
      </c>
      <c r="L46" s="297">
        <v>14</v>
      </c>
      <c r="M46" s="300">
        <v>397</v>
      </c>
      <c r="N46" s="296">
        <v>46235</v>
      </c>
      <c r="O46" s="301">
        <v>20.75</v>
      </c>
      <c r="P46" s="297">
        <v>403.75</v>
      </c>
      <c r="Q46" s="296">
        <v>46235</v>
      </c>
      <c r="R46" s="301">
        <v>1.25</v>
      </c>
      <c r="S46" s="302">
        <v>430.21492045454539</v>
      </c>
    </row>
    <row r="47" spans="1:19" ht="12.75" customHeight="1" x14ac:dyDescent="0.25">
      <c r="A47" s="296">
        <v>46266</v>
      </c>
      <c r="B47" s="297">
        <v>-5.5</v>
      </c>
      <c r="C47" s="298">
        <v>354</v>
      </c>
      <c r="D47" s="299"/>
      <c r="E47" s="296">
        <v>46266</v>
      </c>
      <c r="F47" s="297">
        <v>17.5</v>
      </c>
      <c r="G47" s="300">
        <v>371.5</v>
      </c>
      <c r="H47" s="296">
        <v>46266</v>
      </c>
      <c r="I47" s="297">
        <v>17.75</v>
      </c>
      <c r="J47" s="300">
        <v>413</v>
      </c>
      <c r="K47" s="296">
        <v>46266</v>
      </c>
      <c r="L47" s="297">
        <v>14</v>
      </c>
      <c r="M47" s="300">
        <v>395.25</v>
      </c>
      <c r="N47" s="296">
        <v>46266</v>
      </c>
      <c r="O47" s="301">
        <v>21.25</v>
      </c>
      <c r="P47" s="297">
        <v>402.5</v>
      </c>
      <c r="Q47" s="296">
        <v>46266</v>
      </c>
      <c r="R47" s="301">
        <v>1.25</v>
      </c>
      <c r="S47" s="302">
        <v>428.46492045454539</v>
      </c>
    </row>
    <row r="48" spans="1:19" ht="12.75" customHeight="1" x14ac:dyDescent="0.25">
      <c r="A48" s="296">
        <v>46296</v>
      </c>
      <c r="B48" s="297">
        <v>-6.5</v>
      </c>
      <c r="C48" s="298">
        <v>348.75</v>
      </c>
      <c r="D48" s="299"/>
      <c r="E48" s="296">
        <v>46296</v>
      </c>
      <c r="F48" s="297">
        <v>18</v>
      </c>
      <c r="G48" s="300">
        <v>366.75</v>
      </c>
      <c r="H48" s="296">
        <v>46296</v>
      </c>
      <c r="I48" s="297">
        <v>18.25</v>
      </c>
      <c r="J48" s="300">
        <v>411</v>
      </c>
      <c r="K48" s="296">
        <v>46296</v>
      </c>
      <c r="L48" s="297">
        <v>14</v>
      </c>
      <c r="M48" s="300">
        <v>392.75</v>
      </c>
      <c r="N48" s="296">
        <v>46296</v>
      </c>
      <c r="O48" s="301">
        <v>21.5</v>
      </c>
      <c r="P48" s="297">
        <v>400.25</v>
      </c>
      <c r="Q48" s="296">
        <v>46296</v>
      </c>
      <c r="R48" s="301">
        <v>1.5</v>
      </c>
      <c r="S48" s="302">
        <v>427.21492045454539</v>
      </c>
    </row>
    <row r="49" spans="1:19" ht="12.75" customHeight="1" x14ac:dyDescent="0.25">
      <c r="A49" s="296">
        <v>46327</v>
      </c>
      <c r="B49" s="297">
        <v>-6.5</v>
      </c>
      <c r="C49" s="298">
        <v>346</v>
      </c>
      <c r="D49" s="299"/>
      <c r="E49" s="296">
        <v>46327</v>
      </c>
      <c r="F49" s="297">
        <v>18.5</v>
      </c>
      <c r="G49" s="300">
        <v>364.5</v>
      </c>
      <c r="H49" s="296">
        <v>46327</v>
      </c>
      <c r="I49" s="297">
        <v>18.75</v>
      </c>
      <c r="J49" s="300">
        <v>409.5</v>
      </c>
      <c r="K49" s="296">
        <v>46327</v>
      </c>
      <c r="L49" s="297">
        <v>14.25</v>
      </c>
      <c r="M49" s="300">
        <v>390.75</v>
      </c>
      <c r="N49" s="296">
        <v>46327</v>
      </c>
      <c r="O49" s="301">
        <v>21.5</v>
      </c>
      <c r="P49" s="297">
        <v>398</v>
      </c>
      <c r="Q49" s="296">
        <v>46327</v>
      </c>
      <c r="R49" s="301">
        <v>1.5</v>
      </c>
      <c r="S49" s="302">
        <v>425.71492045454539</v>
      </c>
    </row>
    <row r="50" spans="1:19" ht="12.75" customHeight="1" x14ac:dyDescent="0.25">
      <c r="A50" s="296">
        <v>46357</v>
      </c>
      <c r="B50" s="297">
        <v>-6.5</v>
      </c>
      <c r="C50" s="298">
        <v>344.25</v>
      </c>
      <c r="D50" s="299"/>
      <c r="E50" s="296">
        <v>46357</v>
      </c>
      <c r="F50" s="297">
        <v>19.5</v>
      </c>
      <c r="G50" s="300">
        <v>363.75</v>
      </c>
      <c r="H50" s="296">
        <v>46357</v>
      </c>
      <c r="I50" s="297">
        <v>19.75</v>
      </c>
      <c r="J50" s="300">
        <v>409.25</v>
      </c>
      <c r="K50" s="296">
        <v>46357</v>
      </c>
      <c r="L50" s="297">
        <v>14.5</v>
      </c>
      <c r="M50" s="300">
        <v>389.5</v>
      </c>
      <c r="N50" s="296">
        <v>46357</v>
      </c>
      <c r="O50" s="301">
        <v>21.5</v>
      </c>
      <c r="P50" s="297">
        <v>396.5</v>
      </c>
      <c r="Q50" s="296">
        <v>46357</v>
      </c>
      <c r="R50" s="301">
        <v>1.5</v>
      </c>
      <c r="S50" s="302">
        <v>424.21492045454539</v>
      </c>
    </row>
    <row r="51" spans="1:19" ht="12.75" customHeight="1" x14ac:dyDescent="0.25">
      <c r="A51" s="296"/>
      <c r="B51" s="297"/>
      <c r="C51" s="298"/>
      <c r="D51" s="299"/>
      <c r="E51" s="296"/>
      <c r="F51" s="297"/>
      <c r="G51" s="300"/>
      <c r="H51" s="296"/>
      <c r="I51" s="297"/>
      <c r="J51" s="300"/>
      <c r="K51" s="296"/>
      <c r="L51" s="297"/>
      <c r="M51" s="300"/>
      <c r="N51" s="296"/>
      <c r="O51" s="301"/>
      <c r="P51" s="297"/>
      <c r="Q51" s="296"/>
      <c r="R51" s="301"/>
      <c r="S51" s="302"/>
    </row>
    <row r="52" spans="1:19" ht="12.75" customHeight="1" x14ac:dyDescent="0.25">
      <c r="A52" s="296" t="s">
        <v>156</v>
      </c>
      <c r="B52" s="303">
        <v>-7.916666666666667</v>
      </c>
      <c r="C52" s="298">
        <v>367.58333333333331</v>
      </c>
      <c r="D52" s="299"/>
      <c r="E52" s="296" t="s">
        <v>156</v>
      </c>
      <c r="F52" s="297">
        <v>18.75</v>
      </c>
      <c r="G52" s="300">
        <v>386.33333333333331</v>
      </c>
      <c r="H52" s="296" t="s">
        <v>156</v>
      </c>
      <c r="I52" s="297">
        <v>19</v>
      </c>
      <c r="J52" s="300">
        <v>432.75</v>
      </c>
      <c r="K52" s="296" t="s">
        <v>156</v>
      </c>
      <c r="L52" s="297">
        <v>13.666666666666666</v>
      </c>
      <c r="M52" s="300">
        <v>413.75</v>
      </c>
      <c r="N52" s="296" t="s">
        <v>156</v>
      </c>
      <c r="O52" s="297">
        <v>20.333333333333332</v>
      </c>
      <c r="P52" s="297">
        <v>420.41666666666663</v>
      </c>
      <c r="Q52" s="296" t="s">
        <v>156</v>
      </c>
      <c r="R52" s="297">
        <v>0.33333333333333331</v>
      </c>
      <c r="S52" s="302">
        <v>444.88158712121208</v>
      </c>
    </row>
    <row r="53" spans="1:19" ht="12.75" customHeight="1" x14ac:dyDescent="0.25">
      <c r="A53" s="296" t="s">
        <v>162</v>
      </c>
      <c r="B53" s="303">
        <v>-6.5</v>
      </c>
      <c r="C53" s="298">
        <v>362.66666666666669</v>
      </c>
      <c r="D53" s="299"/>
      <c r="E53" s="296" t="s">
        <v>162</v>
      </c>
      <c r="F53" s="297">
        <v>19</v>
      </c>
      <c r="G53" s="300">
        <v>381.66666666666669</v>
      </c>
      <c r="H53" s="296" t="s">
        <v>162</v>
      </c>
      <c r="I53" s="297">
        <v>19.25</v>
      </c>
      <c r="J53" s="300">
        <v>424.66666666666669</v>
      </c>
      <c r="K53" s="296" t="s">
        <v>162</v>
      </c>
      <c r="L53" s="297">
        <v>14.416666666666666</v>
      </c>
      <c r="M53" s="300">
        <v>405.41666666666669</v>
      </c>
      <c r="N53" s="296" t="s">
        <v>162</v>
      </c>
      <c r="O53" s="297">
        <v>20.5</v>
      </c>
      <c r="P53" s="297">
        <v>411.5</v>
      </c>
      <c r="Q53" s="296" t="s">
        <v>162</v>
      </c>
      <c r="R53" s="297">
        <v>1</v>
      </c>
      <c r="S53" s="302">
        <v>438.96492045454539</v>
      </c>
    </row>
    <row r="54" spans="1:19" ht="12.75" customHeight="1" x14ac:dyDescent="0.25">
      <c r="A54" s="296" t="s">
        <v>163</v>
      </c>
      <c r="B54" s="303">
        <v>-5.5</v>
      </c>
      <c r="C54" s="298">
        <v>362.66666666666669</v>
      </c>
      <c r="D54" s="299"/>
      <c r="E54" s="296" t="s">
        <v>163</v>
      </c>
      <c r="F54" s="297">
        <v>18</v>
      </c>
      <c r="G54" s="300">
        <v>380.66666666666669</v>
      </c>
      <c r="H54" s="296" t="s">
        <v>163</v>
      </c>
      <c r="I54" s="297">
        <v>18.25</v>
      </c>
      <c r="J54" s="300">
        <v>419.75</v>
      </c>
      <c r="K54" s="296" t="s">
        <v>163</v>
      </c>
      <c r="L54" s="297">
        <v>14.25</v>
      </c>
      <c r="M54" s="300">
        <v>401.5</v>
      </c>
      <c r="N54" s="296" t="s">
        <v>163</v>
      </c>
      <c r="O54" s="297">
        <v>20</v>
      </c>
      <c r="P54" s="297">
        <v>407.25</v>
      </c>
      <c r="Q54" s="296" t="s">
        <v>163</v>
      </c>
      <c r="R54" s="297">
        <v>1.25</v>
      </c>
      <c r="S54" s="302">
        <v>434.96492045454539</v>
      </c>
    </row>
    <row r="55" spans="1:19" ht="12.75" customHeight="1" x14ac:dyDescent="0.25">
      <c r="A55" s="296" t="s">
        <v>164</v>
      </c>
      <c r="B55" s="303">
        <v>-5.5</v>
      </c>
      <c r="C55" s="298">
        <v>357.66666666666669</v>
      </c>
      <c r="D55" s="299"/>
      <c r="E55" s="296" t="s">
        <v>164</v>
      </c>
      <c r="F55" s="297">
        <v>17.25</v>
      </c>
      <c r="G55" s="300">
        <v>374.91666666666669</v>
      </c>
      <c r="H55" s="296" t="s">
        <v>164</v>
      </c>
      <c r="I55" s="297">
        <v>17.5</v>
      </c>
      <c r="J55" s="300">
        <v>414.5</v>
      </c>
      <c r="K55" s="296" t="s">
        <v>164</v>
      </c>
      <c r="L55" s="297">
        <v>14</v>
      </c>
      <c r="M55" s="300">
        <v>397</v>
      </c>
      <c r="N55" s="296" t="s">
        <v>164</v>
      </c>
      <c r="O55" s="297">
        <v>20.75</v>
      </c>
      <c r="P55" s="297">
        <v>403.75</v>
      </c>
      <c r="Q55" s="296" t="s">
        <v>164</v>
      </c>
      <c r="R55" s="297">
        <v>1.25</v>
      </c>
      <c r="S55" s="302">
        <v>430.21492045454539</v>
      </c>
    </row>
    <row r="56" spans="1:19" ht="12.75" customHeight="1" x14ac:dyDescent="0.25">
      <c r="A56" s="296" t="s">
        <v>165</v>
      </c>
      <c r="B56" s="303">
        <v>-6.5</v>
      </c>
      <c r="C56" s="298">
        <v>346.33333333333331</v>
      </c>
      <c r="D56" s="299"/>
      <c r="E56" s="296" t="s">
        <v>165</v>
      </c>
      <c r="F56" s="297">
        <v>18.666666666666668</v>
      </c>
      <c r="G56" s="300">
        <v>365</v>
      </c>
      <c r="H56" s="296" t="s">
        <v>165</v>
      </c>
      <c r="I56" s="297">
        <v>18.916666666666668</v>
      </c>
      <c r="J56" s="300">
        <v>409.91666666666669</v>
      </c>
      <c r="K56" s="296" t="s">
        <v>165</v>
      </c>
      <c r="L56" s="297">
        <v>14.25</v>
      </c>
      <c r="M56" s="300">
        <v>391</v>
      </c>
      <c r="N56" s="296" t="s">
        <v>165</v>
      </c>
      <c r="O56" s="297">
        <v>21.5</v>
      </c>
      <c r="P56" s="297">
        <v>398.25</v>
      </c>
      <c r="Q56" s="296" t="s">
        <v>165</v>
      </c>
      <c r="R56" s="297">
        <v>1.5</v>
      </c>
      <c r="S56" s="302">
        <v>425.71492045454539</v>
      </c>
    </row>
    <row r="57" spans="1:19" ht="12.75" customHeight="1" x14ac:dyDescent="0.25">
      <c r="A57" s="439">
        <v>2026</v>
      </c>
      <c r="B57" s="298">
        <v>-6</v>
      </c>
      <c r="C57" s="298">
        <v>357.33333333333331</v>
      </c>
      <c r="D57" s="299"/>
      <c r="E57" s="439">
        <v>2026</v>
      </c>
      <c r="F57" s="301">
        <v>18.229166666666668</v>
      </c>
      <c r="G57" s="300">
        <v>375.5625</v>
      </c>
      <c r="H57" s="439">
        <v>2026</v>
      </c>
      <c r="I57" s="301">
        <v>18.479166666666668</v>
      </c>
      <c r="J57" s="440">
        <v>417.20833333333337</v>
      </c>
      <c r="K57" s="439">
        <v>2026</v>
      </c>
      <c r="L57" s="301">
        <v>14.229166666666666</v>
      </c>
      <c r="M57" s="440">
        <v>398.72916666666669</v>
      </c>
      <c r="N57" s="439">
        <v>2026</v>
      </c>
      <c r="O57" s="301">
        <v>20.6875</v>
      </c>
      <c r="P57" s="301">
        <v>405.1875</v>
      </c>
      <c r="Q57" s="439">
        <v>2026</v>
      </c>
      <c r="R57" s="301">
        <v>1.25</v>
      </c>
      <c r="S57" s="441">
        <v>432.46492045454539</v>
      </c>
    </row>
    <row r="58" spans="1:19" ht="12.75" customHeight="1" x14ac:dyDescent="0.25">
      <c r="A58" s="304" t="s">
        <v>27</v>
      </c>
      <c r="B58" s="305"/>
      <c r="C58" s="305"/>
      <c r="D58" s="305"/>
      <c r="E58" s="306" t="s">
        <v>28</v>
      </c>
      <c r="F58" s="307"/>
      <c r="G58" s="305"/>
      <c r="H58" s="305"/>
      <c r="I58" s="305"/>
      <c r="J58" s="305"/>
      <c r="K58" s="306" t="s">
        <v>29</v>
      </c>
      <c r="L58" s="305"/>
      <c r="M58" s="305"/>
      <c r="N58" s="306" t="s">
        <v>30</v>
      </c>
      <c r="O58" s="305"/>
      <c r="P58" s="305"/>
      <c r="Q58" s="305"/>
      <c r="R58" s="305" t="s">
        <v>155</v>
      </c>
      <c r="S58" s="308"/>
    </row>
    <row r="59" spans="1:19" ht="12.75" customHeight="1" x14ac:dyDescent="0.25">
      <c r="A59" s="309"/>
      <c r="B59" s="310" t="s">
        <v>31</v>
      </c>
      <c r="C59" s="311" t="s">
        <v>6</v>
      </c>
      <c r="D59" s="310" t="s">
        <v>7</v>
      </c>
      <c r="E59" s="312"/>
      <c r="F59" s="311" t="s">
        <v>32</v>
      </c>
      <c r="G59" s="311" t="s">
        <v>33</v>
      </c>
      <c r="H59" s="311" t="s">
        <v>6</v>
      </c>
      <c r="I59" s="310" t="s">
        <v>7</v>
      </c>
      <c r="J59" s="364" t="s">
        <v>8</v>
      </c>
      <c r="K59" s="312"/>
      <c r="L59" s="311" t="s">
        <v>20</v>
      </c>
      <c r="M59" s="310" t="s">
        <v>7</v>
      </c>
      <c r="N59" s="312"/>
      <c r="O59" s="311" t="s">
        <v>12</v>
      </c>
      <c r="P59" s="310" t="s">
        <v>6</v>
      </c>
      <c r="Q59" s="310" t="s">
        <v>7</v>
      </c>
      <c r="R59" s="311" t="s">
        <v>8</v>
      </c>
      <c r="S59" s="313" t="s">
        <v>34</v>
      </c>
    </row>
    <row r="60" spans="1:19" ht="12.75" customHeight="1" x14ac:dyDescent="0.25">
      <c r="A60" s="314">
        <v>45870</v>
      </c>
      <c r="B60" s="315">
        <v>19</v>
      </c>
      <c r="C60" s="316">
        <v>405.75</v>
      </c>
      <c r="D60" s="317">
        <v>-1</v>
      </c>
      <c r="E60" s="314">
        <v>45870</v>
      </c>
      <c r="F60" s="318">
        <v>13.5</v>
      </c>
      <c r="G60" s="319">
        <v>5.5</v>
      </c>
      <c r="H60" s="318">
        <v>392.25</v>
      </c>
      <c r="I60" s="317">
        <v>-1.5</v>
      </c>
      <c r="J60" s="319">
        <v>-5.5695964566929153</v>
      </c>
      <c r="K60" s="314">
        <v>45870</v>
      </c>
      <c r="L60" s="315">
        <v>29.662500000000023</v>
      </c>
      <c r="M60" s="315">
        <v>-0.5</v>
      </c>
      <c r="N60" s="314">
        <v>45870</v>
      </c>
      <c r="O60" s="315">
        <v>90.377420454545415</v>
      </c>
      <c r="P60" s="317">
        <v>482.62742045454542</v>
      </c>
      <c r="Q60" s="317">
        <v>0</v>
      </c>
      <c r="R60" s="317">
        <v>8.6630681818181756</v>
      </c>
      <c r="S60" s="320">
        <v>-170.12257954545458</v>
      </c>
    </row>
    <row r="61" spans="1:19" ht="12.75" customHeight="1" x14ac:dyDescent="0.25">
      <c r="A61" s="314">
        <v>45901</v>
      </c>
      <c r="B61" s="315">
        <v>23.5</v>
      </c>
      <c r="C61" s="316">
        <v>406.75</v>
      </c>
      <c r="D61" s="317">
        <v>0.5</v>
      </c>
      <c r="E61" s="314">
        <v>45901</v>
      </c>
      <c r="F61" s="318">
        <v>13</v>
      </c>
      <c r="G61" s="319">
        <v>10.5</v>
      </c>
      <c r="H61" s="318">
        <v>393.75</v>
      </c>
      <c r="I61" s="317">
        <v>0.5</v>
      </c>
      <c r="J61" s="319">
        <v>-4.8964566929133859</v>
      </c>
      <c r="K61" s="314">
        <v>45901</v>
      </c>
      <c r="L61" s="315">
        <v>30.162500000000023</v>
      </c>
      <c r="M61" s="315">
        <v>-3</v>
      </c>
      <c r="N61" s="314">
        <v>45901</v>
      </c>
      <c r="O61" s="315">
        <v>88.877420454545415</v>
      </c>
      <c r="P61" s="317">
        <v>482.62742045454542</v>
      </c>
      <c r="Q61" s="317">
        <v>1.5</v>
      </c>
      <c r="R61" s="317">
        <v>9.1</v>
      </c>
      <c r="S61" s="320">
        <v>-153.08848863636371</v>
      </c>
    </row>
    <row r="62" spans="1:19" ht="12.75" customHeight="1" x14ac:dyDescent="0.25">
      <c r="A62" s="314">
        <v>45931</v>
      </c>
      <c r="B62" s="315">
        <v>26.75</v>
      </c>
      <c r="C62" s="316">
        <v>406.25</v>
      </c>
      <c r="D62" s="317">
        <v>3.75</v>
      </c>
      <c r="E62" s="314">
        <v>45931</v>
      </c>
      <c r="F62" s="318">
        <v>13</v>
      </c>
      <c r="G62" s="319">
        <v>13.75</v>
      </c>
      <c r="H62" s="318">
        <v>393.25</v>
      </c>
      <c r="I62" s="317">
        <v>3.5</v>
      </c>
      <c r="J62" s="319">
        <v>-4.528474837384449</v>
      </c>
      <c r="K62" s="314">
        <v>45931</v>
      </c>
      <c r="L62" s="315">
        <v>33.162500000000023</v>
      </c>
      <c r="M62" s="315">
        <v>-1</v>
      </c>
      <c r="N62" s="314">
        <v>45931</v>
      </c>
      <c r="O62" s="315">
        <v>87.877420454545415</v>
      </c>
      <c r="P62" s="317">
        <v>481.12742045454542</v>
      </c>
      <c r="Q62" s="317">
        <v>2.75</v>
      </c>
      <c r="R62" s="317">
        <v>9.3104890137250607</v>
      </c>
      <c r="S62" s="320">
        <v>-149.03018824110683</v>
      </c>
    </row>
    <row r="63" spans="1:19" ht="12.75" customHeight="1" x14ac:dyDescent="0.25">
      <c r="A63" s="314">
        <v>45962</v>
      </c>
      <c r="B63" s="315">
        <v>27.25</v>
      </c>
      <c r="C63" s="316">
        <v>402.5</v>
      </c>
      <c r="D63" s="317">
        <v>3.25</v>
      </c>
      <c r="E63" s="314">
        <v>45962</v>
      </c>
      <c r="F63" s="318">
        <v>12.75</v>
      </c>
      <c r="G63" s="319">
        <v>14.5</v>
      </c>
      <c r="H63" s="318">
        <v>389.75</v>
      </c>
      <c r="I63" s="317">
        <v>3</v>
      </c>
      <c r="J63" s="319">
        <v>-4.798547244094479</v>
      </c>
      <c r="K63" s="314">
        <v>45962</v>
      </c>
      <c r="L63" s="315">
        <v>34.162500000000023</v>
      </c>
      <c r="M63" s="315">
        <v>-0.25</v>
      </c>
      <c r="N63" s="314">
        <v>45962</v>
      </c>
      <c r="O63" s="315">
        <v>88.627420454545415</v>
      </c>
      <c r="P63" s="317">
        <v>478.37742045454542</v>
      </c>
      <c r="Q63" s="317">
        <v>2.5</v>
      </c>
      <c r="R63" s="317">
        <v>9.1585268432355065</v>
      </c>
      <c r="S63" s="320">
        <v>-142.24132954545456</v>
      </c>
    </row>
    <row r="64" spans="1:19" ht="12.75" customHeight="1" x14ac:dyDescent="0.25">
      <c r="A64" s="314">
        <v>45992</v>
      </c>
      <c r="B64" s="315">
        <v>27.5</v>
      </c>
      <c r="C64" s="316">
        <v>399.25</v>
      </c>
      <c r="D64" s="317">
        <v>2</v>
      </c>
      <c r="E64" s="314">
        <v>45992</v>
      </c>
      <c r="F64" s="318">
        <v>12.5</v>
      </c>
      <c r="G64" s="319">
        <v>15</v>
      </c>
      <c r="H64" s="318">
        <v>386.75</v>
      </c>
      <c r="I64" s="317">
        <v>1.75</v>
      </c>
      <c r="J64" s="319">
        <v>-5.1025316672372325</v>
      </c>
      <c r="K64" s="314">
        <v>45992</v>
      </c>
      <c r="L64" s="315">
        <v>34.412500000000023</v>
      </c>
      <c r="M64" s="315">
        <v>0.25</v>
      </c>
      <c r="N64" s="314">
        <v>45992</v>
      </c>
      <c r="O64" s="315">
        <v>89.127420454545415</v>
      </c>
      <c r="P64" s="317">
        <v>475.87742045454542</v>
      </c>
      <c r="Q64" s="317">
        <v>2.25</v>
      </c>
      <c r="R64" s="317">
        <v>8.9332825775730669</v>
      </c>
      <c r="S64" s="320">
        <v>-142.64431867588934</v>
      </c>
    </row>
    <row r="65" spans="1:19" ht="12.75" customHeight="1" x14ac:dyDescent="0.25">
      <c r="A65" s="314">
        <v>46023</v>
      </c>
      <c r="B65" s="315">
        <v>27.25</v>
      </c>
      <c r="C65" s="316">
        <v>397.25</v>
      </c>
      <c r="D65" s="317">
        <v>1.25</v>
      </c>
      <c r="E65" s="314">
        <v>46023</v>
      </c>
      <c r="F65" s="318">
        <v>12.25</v>
      </c>
      <c r="G65" s="319">
        <v>15</v>
      </c>
      <c r="H65" s="318">
        <v>385</v>
      </c>
      <c r="I65" s="317">
        <v>1.25</v>
      </c>
      <c r="J65" s="319">
        <v>-5.3028060128847541</v>
      </c>
      <c r="K65" s="314">
        <v>46023</v>
      </c>
      <c r="L65" s="315">
        <v>34.162500000000023</v>
      </c>
      <c r="M65" s="315">
        <v>0.5</v>
      </c>
      <c r="N65" s="314">
        <v>46023</v>
      </c>
      <c r="O65" s="315">
        <v>88.627420454545415</v>
      </c>
      <c r="P65" s="317">
        <v>473.62742045454542</v>
      </c>
      <c r="Q65" s="317">
        <v>2</v>
      </c>
      <c r="R65" s="317">
        <v>8.6542680744452269</v>
      </c>
      <c r="S65" s="320">
        <v>-144.87257954545458</v>
      </c>
    </row>
    <row r="66" spans="1:19" ht="12.75" customHeight="1" x14ac:dyDescent="0.25">
      <c r="A66" s="314">
        <v>46054</v>
      </c>
      <c r="B66" s="315">
        <v>27.25</v>
      </c>
      <c r="C66" s="316">
        <v>396</v>
      </c>
      <c r="D66" s="317">
        <v>1</v>
      </c>
      <c r="E66" s="314">
        <v>46054</v>
      </c>
      <c r="F66" s="318">
        <v>12.25</v>
      </c>
      <c r="G66" s="319">
        <v>15</v>
      </c>
      <c r="H66" s="318">
        <v>383.75</v>
      </c>
      <c r="I66" s="317">
        <v>1</v>
      </c>
      <c r="J66" s="319">
        <v>-5.4499291338582578</v>
      </c>
      <c r="K66" s="314">
        <v>46054</v>
      </c>
      <c r="L66" s="315">
        <v>33.662500000000023</v>
      </c>
      <c r="M66" s="315">
        <v>0.25</v>
      </c>
      <c r="N66" s="314">
        <v>46054</v>
      </c>
      <c r="O66" s="315">
        <v>87.877420454545415</v>
      </c>
      <c r="P66" s="317">
        <v>471.62742045454542</v>
      </c>
      <c r="Q66" s="317">
        <v>1.75</v>
      </c>
      <c r="R66" s="317">
        <v>8.3890347172512492</v>
      </c>
      <c r="S66" s="320">
        <v>-143.74757954545458</v>
      </c>
    </row>
    <row r="67" spans="1:19" ht="12.75" customHeight="1" x14ac:dyDescent="0.25">
      <c r="A67" s="314">
        <v>46082</v>
      </c>
      <c r="B67" s="315">
        <v>26.25</v>
      </c>
      <c r="C67" s="316">
        <v>395</v>
      </c>
      <c r="D67" s="317">
        <v>1</v>
      </c>
      <c r="E67" s="314">
        <v>46082</v>
      </c>
      <c r="F67" s="318">
        <v>12.25</v>
      </c>
      <c r="G67" s="319">
        <v>14</v>
      </c>
      <c r="H67" s="318">
        <v>382.75</v>
      </c>
      <c r="I67" s="317">
        <v>1</v>
      </c>
      <c r="J67" s="319">
        <v>-5.567363994273439</v>
      </c>
      <c r="K67" s="314">
        <v>46082</v>
      </c>
      <c r="L67" s="315">
        <v>33.412500000000023</v>
      </c>
      <c r="M67" s="315">
        <v>0.5</v>
      </c>
      <c r="N67" s="314">
        <v>46082</v>
      </c>
      <c r="O67" s="315">
        <v>87.127420454545415</v>
      </c>
      <c r="P67" s="317">
        <v>469.87742045454542</v>
      </c>
      <c r="Q67" s="317">
        <v>1.75</v>
      </c>
      <c r="R67" s="317">
        <v>8.153489620615602</v>
      </c>
      <c r="S67" s="320">
        <v>-141.37257954545458</v>
      </c>
    </row>
    <row r="68" spans="1:19" ht="12.75" customHeight="1" x14ac:dyDescent="0.25">
      <c r="A68" s="314">
        <v>46113</v>
      </c>
      <c r="B68" s="315">
        <v>25.25</v>
      </c>
      <c r="C68" s="316">
        <v>394</v>
      </c>
      <c r="D68" s="317">
        <v>1.25</v>
      </c>
      <c r="E68" s="314">
        <v>46113</v>
      </c>
      <c r="F68" s="318">
        <v>12.25</v>
      </c>
      <c r="G68" s="319">
        <v>13</v>
      </c>
      <c r="H68" s="318">
        <v>381.75</v>
      </c>
      <c r="I68" s="317">
        <v>1.25</v>
      </c>
      <c r="J68" s="319">
        <v>-5.6793897637795219</v>
      </c>
      <c r="K68" s="314">
        <v>46113</v>
      </c>
      <c r="L68" s="315">
        <v>32.912500000000023</v>
      </c>
      <c r="M68" s="315">
        <v>0.25</v>
      </c>
      <c r="N68" s="314">
        <v>46113</v>
      </c>
      <c r="O68" s="315">
        <v>86.377420454545415</v>
      </c>
      <c r="P68" s="317">
        <v>468.12742045454542</v>
      </c>
      <c r="Q68" s="317">
        <v>1.75</v>
      </c>
      <c r="R68" s="317">
        <v>7.9233536148890522</v>
      </c>
      <c r="S68" s="320">
        <v>-143.24757954545458</v>
      </c>
    </row>
    <row r="69" spans="1:19" ht="12.75" customHeight="1" x14ac:dyDescent="0.25">
      <c r="A69" s="314">
        <v>46143</v>
      </c>
      <c r="B69" s="315">
        <v>24.5</v>
      </c>
      <c r="C69" s="316">
        <v>392.75</v>
      </c>
      <c r="D69" s="317">
        <v>1.5</v>
      </c>
      <c r="E69" s="314">
        <v>46143</v>
      </c>
      <c r="F69" s="318">
        <v>12.25</v>
      </c>
      <c r="G69" s="319">
        <v>12.25</v>
      </c>
      <c r="H69" s="318">
        <v>380.5</v>
      </c>
      <c r="I69" s="317">
        <v>1.75</v>
      </c>
      <c r="J69" s="319">
        <v>-5.8211211098612541</v>
      </c>
      <c r="K69" s="314">
        <v>46143</v>
      </c>
      <c r="L69" s="315">
        <v>32.662500000000023</v>
      </c>
      <c r="M69" s="315">
        <v>0.25</v>
      </c>
      <c r="N69" s="314">
        <v>46143</v>
      </c>
      <c r="O69" s="315">
        <v>85.877420454545415</v>
      </c>
      <c r="P69" s="317">
        <v>466.37742045454542</v>
      </c>
      <c r="Q69" s="317">
        <v>1.75</v>
      </c>
      <c r="R69" s="317">
        <v>7.7028821113269998</v>
      </c>
      <c r="S69" s="320">
        <v>-142.74757954545458</v>
      </c>
    </row>
    <row r="70" spans="1:19" ht="12.75" customHeight="1" x14ac:dyDescent="0.25">
      <c r="A70" s="314">
        <v>46174</v>
      </c>
      <c r="B70" s="315">
        <v>23.75</v>
      </c>
      <c r="C70" s="316">
        <v>391.25</v>
      </c>
      <c r="D70" s="317">
        <v>2.5</v>
      </c>
      <c r="E70" s="314">
        <v>46174</v>
      </c>
      <c r="F70" s="318">
        <v>12.5</v>
      </c>
      <c r="G70" s="319">
        <v>11.25</v>
      </c>
      <c r="H70" s="318">
        <v>378.75</v>
      </c>
      <c r="I70" s="317">
        <v>2.75</v>
      </c>
      <c r="J70" s="319">
        <v>-6.0422852541159475</v>
      </c>
      <c r="K70" s="314">
        <v>46174</v>
      </c>
      <c r="L70" s="315">
        <v>32.412500000000023</v>
      </c>
      <c r="M70" s="315">
        <v>0.25</v>
      </c>
      <c r="N70" s="314">
        <v>46174</v>
      </c>
      <c r="O70" s="315">
        <v>85.877420454545415</v>
      </c>
      <c r="P70" s="317">
        <v>464.62742045454542</v>
      </c>
      <c r="Q70" s="317">
        <v>1.75</v>
      </c>
      <c r="R70" s="317">
        <v>7.4817179670723135</v>
      </c>
      <c r="S70" s="320">
        <v>-142.62257954545458</v>
      </c>
    </row>
    <row r="71" spans="1:19" ht="12.75" customHeight="1" x14ac:dyDescent="0.25">
      <c r="A71" s="314">
        <v>46204</v>
      </c>
      <c r="B71" s="315">
        <v>22.25</v>
      </c>
      <c r="C71" s="316">
        <v>388.75</v>
      </c>
      <c r="D71" s="317">
        <v>3.5</v>
      </c>
      <c r="E71" s="314">
        <v>46204</v>
      </c>
      <c r="F71" s="318">
        <v>12.75</v>
      </c>
      <c r="G71" s="319">
        <v>9.5</v>
      </c>
      <c r="H71" s="318">
        <v>376</v>
      </c>
      <c r="I71" s="317">
        <v>3.75</v>
      </c>
      <c r="J71" s="319">
        <v>-6.4313146182813989</v>
      </c>
      <c r="K71" s="314">
        <v>46204</v>
      </c>
      <c r="L71" s="315">
        <v>32.162500000000023</v>
      </c>
      <c r="M71" s="315">
        <v>0.25</v>
      </c>
      <c r="N71" s="314">
        <v>46204</v>
      </c>
      <c r="O71" s="315">
        <v>86.877420454545415</v>
      </c>
      <c r="P71" s="317">
        <v>462.87742045454542</v>
      </c>
      <c r="Q71" s="317">
        <v>2</v>
      </c>
      <c r="R71" s="317">
        <v>7.2501689178674837</v>
      </c>
      <c r="S71" s="320">
        <v>-144.99757954545458</v>
      </c>
    </row>
    <row r="72" spans="1:19" ht="12.75" customHeight="1" x14ac:dyDescent="0.25">
      <c r="A72" s="314">
        <v>46235</v>
      </c>
      <c r="B72" s="315">
        <v>21.75</v>
      </c>
      <c r="C72" s="316">
        <v>385.25</v>
      </c>
      <c r="D72" s="317">
        <v>4</v>
      </c>
      <c r="E72" s="314">
        <v>46235</v>
      </c>
      <c r="F72" s="318">
        <v>13</v>
      </c>
      <c r="G72" s="319">
        <v>8.75</v>
      </c>
      <c r="H72" s="318">
        <v>372.25</v>
      </c>
      <c r="I72" s="317">
        <v>4.25</v>
      </c>
      <c r="J72" s="319">
        <v>-6.9984289463816785</v>
      </c>
      <c r="K72" s="314">
        <v>46235</v>
      </c>
      <c r="L72" s="315">
        <v>31.912500000000023</v>
      </c>
      <c r="M72" s="315">
        <v>0</v>
      </c>
      <c r="N72" s="314">
        <v>46235</v>
      </c>
      <c r="O72" s="315">
        <v>88.627420454545415</v>
      </c>
      <c r="P72" s="317">
        <v>460.87742045454542</v>
      </c>
      <c r="Q72" s="317">
        <v>1.75</v>
      </c>
      <c r="R72" s="317">
        <v>6.9586451409483061</v>
      </c>
      <c r="S72" s="320">
        <v>-146.62257954545458</v>
      </c>
    </row>
    <row r="73" spans="1:19" ht="12.75" customHeight="1" x14ac:dyDescent="0.25">
      <c r="A73" s="314">
        <v>46266</v>
      </c>
      <c r="B73" s="315">
        <v>21.75</v>
      </c>
      <c r="C73" s="316">
        <v>381.25</v>
      </c>
      <c r="D73" s="317">
        <v>4.25</v>
      </c>
      <c r="E73" s="314">
        <v>46266</v>
      </c>
      <c r="F73" s="318">
        <v>13.25</v>
      </c>
      <c r="G73" s="319">
        <v>8.5</v>
      </c>
      <c r="H73" s="318">
        <v>368</v>
      </c>
      <c r="I73" s="317">
        <v>4.5</v>
      </c>
      <c r="J73" s="319">
        <v>-7.6729259126699754</v>
      </c>
      <c r="K73" s="314">
        <v>46266</v>
      </c>
      <c r="L73" s="315">
        <v>31.912500000000023</v>
      </c>
      <c r="M73" s="315">
        <v>0.25</v>
      </c>
      <c r="N73" s="314">
        <v>46266</v>
      </c>
      <c r="O73" s="315">
        <v>91.127420454545415</v>
      </c>
      <c r="P73" s="317">
        <v>459.12742045454542</v>
      </c>
      <c r="Q73" s="317">
        <v>1.75</v>
      </c>
      <c r="R73" s="317">
        <v>6.6778489620615886</v>
      </c>
      <c r="S73" s="320">
        <v>-147.74757954545458</v>
      </c>
    </row>
    <row r="74" spans="1:19" ht="12.75" customHeight="1" x14ac:dyDescent="0.25">
      <c r="A74" s="314">
        <v>46296</v>
      </c>
      <c r="B74" s="315">
        <v>21.75</v>
      </c>
      <c r="C74" s="316">
        <v>377</v>
      </c>
      <c r="D74" s="317">
        <v>2</v>
      </c>
      <c r="E74" s="314">
        <v>46296</v>
      </c>
      <c r="F74" s="318">
        <v>13.5</v>
      </c>
      <c r="G74" s="319">
        <v>8.25</v>
      </c>
      <c r="H74" s="318">
        <v>363.5</v>
      </c>
      <c r="I74" s="317">
        <v>2.25</v>
      </c>
      <c r="J74" s="319">
        <v>-8.3943146027200832</v>
      </c>
      <c r="K74" s="314">
        <v>46296</v>
      </c>
      <c r="L74" s="315">
        <v>31.662500000000023</v>
      </c>
      <c r="M74" s="315">
        <v>0</v>
      </c>
      <c r="N74" s="314">
        <v>46296</v>
      </c>
      <c r="O74" s="315">
        <v>93.877420454545415</v>
      </c>
      <c r="P74" s="317">
        <v>457.37742045454542</v>
      </c>
      <c r="Q74" s="317">
        <v>1.5</v>
      </c>
      <c r="R74" s="317">
        <v>6.3895311381532167</v>
      </c>
      <c r="S74" s="320">
        <v>-151.12257954545458</v>
      </c>
    </row>
    <row r="75" spans="1:19" ht="12.75" customHeight="1" x14ac:dyDescent="0.25">
      <c r="A75" s="314">
        <v>46327</v>
      </c>
      <c r="B75" s="315">
        <v>22.5</v>
      </c>
      <c r="C75" s="316">
        <v>375</v>
      </c>
      <c r="D75" s="317">
        <v>1</v>
      </c>
      <c r="E75" s="314">
        <v>46327</v>
      </c>
      <c r="F75" s="318">
        <v>13.75</v>
      </c>
      <c r="G75" s="319">
        <v>8.75</v>
      </c>
      <c r="H75" s="318">
        <v>361.25</v>
      </c>
      <c r="I75" s="317">
        <v>1.25</v>
      </c>
      <c r="J75" s="319">
        <v>-8.7140457442819255</v>
      </c>
      <c r="K75" s="314">
        <v>46327</v>
      </c>
      <c r="L75" s="315">
        <v>31.662500000000023</v>
      </c>
      <c r="M75" s="315">
        <v>0</v>
      </c>
      <c r="N75" s="314">
        <v>46327</v>
      </c>
      <c r="O75" s="315">
        <v>94.627420454545415</v>
      </c>
      <c r="P75" s="317">
        <v>455.87742045454542</v>
      </c>
      <c r="Q75" s="317">
        <v>1.5</v>
      </c>
      <c r="R75" s="317">
        <v>6.1879102328118449</v>
      </c>
      <c r="S75" s="320">
        <v>-149.74757954545458</v>
      </c>
    </row>
    <row r="76" spans="1:19" ht="12.75" customHeight="1" x14ac:dyDescent="0.25">
      <c r="A76" s="314">
        <v>46357</v>
      </c>
      <c r="B76" s="315">
        <v>23.25</v>
      </c>
      <c r="C76" s="316">
        <v>374</v>
      </c>
      <c r="D76" s="317">
        <v>-1.5</v>
      </c>
      <c r="E76" s="314">
        <v>46357</v>
      </c>
      <c r="F76" s="318">
        <v>14</v>
      </c>
      <c r="G76" s="319">
        <v>9.25</v>
      </c>
      <c r="H76" s="318">
        <v>360</v>
      </c>
      <c r="I76" s="317">
        <v>-0.5</v>
      </c>
      <c r="J76" s="319">
        <v>-8.8883909619992743</v>
      </c>
      <c r="K76" s="314">
        <v>46357</v>
      </c>
      <c r="L76" s="315">
        <v>31.662500000000023</v>
      </c>
      <c r="M76" s="315">
        <v>0.25</v>
      </c>
      <c r="N76" s="314">
        <v>46357</v>
      </c>
      <c r="O76" s="315">
        <v>94.377420454545415</v>
      </c>
      <c r="P76" s="317">
        <v>454.37742045454542</v>
      </c>
      <c r="Q76" s="317">
        <v>1.25</v>
      </c>
      <c r="R76" s="317">
        <v>5.974194936354337</v>
      </c>
      <c r="S76" s="320">
        <v>-150.87257954545458</v>
      </c>
    </row>
    <row r="77" spans="1:19" ht="12.75" customHeight="1" x14ac:dyDescent="0.25">
      <c r="A77" s="314">
        <v>46388</v>
      </c>
      <c r="B77" s="315">
        <v>23.25</v>
      </c>
      <c r="C77" s="316">
        <v>375.5</v>
      </c>
      <c r="D77" s="317">
        <v>-0.75</v>
      </c>
      <c r="E77" s="314">
        <v>46388</v>
      </c>
      <c r="F77" s="318">
        <v>15</v>
      </c>
      <c r="G77" s="319">
        <v>8.25</v>
      </c>
      <c r="H77" s="318">
        <v>360.5</v>
      </c>
      <c r="I77" s="317">
        <v>-0.5</v>
      </c>
      <c r="J77" s="319">
        <v>-8.8240607424071591</v>
      </c>
      <c r="K77" s="314">
        <v>46388</v>
      </c>
      <c r="L77" s="315">
        <v>31.412500000000023</v>
      </c>
      <c r="M77" s="315">
        <v>0.25</v>
      </c>
      <c r="N77" s="314">
        <v>46388</v>
      </c>
      <c r="O77" s="315">
        <v>92.627420454545415</v>
      </c>
      <c r="P77" s="317">
        <v>453.12742045454542</v>
      </c>
      <c r="Q77" s="317">
        <v>0.75</v>
      </c>
      <c r="R77" s="317">
        <v>5.7629346047653485</v>
      </c>
      <c r="S77" s="320">
        <v>-151.99757954545458</v>
      </c>
    </row>
    <row r="78" spans="1:19" ht="12.75" customHeight="1" x14ac:dyDescent="0.25">
      <c r="A78" s="314">
        <v>46419</v>
      </c>
      <c r="B78" s="315">
        <v>22.75</v>
      </c>
      <c r="C78" s="316">
        <v>376.25</v>
      </c>
      <c r="D78" s="317">
        <v>-0.75</v>
      </c>
      <c r="E78" s="314">
        <v>46419</v>
      </c>
      <c r="F78" s="318">
        <v>15.25</v>
      </c>
      <c r="G78" s="319">
        <v>7.5</v>
      </c>
      <c r="H78" s="318">
        <v>361</v>
      </c>
      <c r="I78" s="317">
        <v>-0.5</v>
      </c>
      <c r="J78" s="319">
        <v>-8.7626062992125657</v>
      </c>
      <c r="K78" s="314">
        <v>46419</v>
      </c>
      <c r="L78" s="315">
        <v>31.162500000000023</v>
      </c>
      <c r="M78" s="315">
        <v>0.25</v>
      </c>
      <c r="N78" s="314">
        <v>46419</v>
      </c>
      <c r="O78" s="315">
        <v>91.377420454545415</v>
      </c>
      <c r="P78" s="317">
        <v>452.37742045454542</v>
      </c>
      <c r="Q78" s="317">
        <v>0.75</v>
      </c>
      <c r="R78" s="317">
        <v>5.6275386542591548</v>
      </c>
      <c r="S78" s="320">
        <v>-153.12257954545458</v>
      </c>
    </row>
    <row r="79" spans="1:19" ht="12.75" customHeight="1" x14ac:dyDescent="0.25">
      <c r="A79" s="314">
        <v>46447</v>
      </c>
      <c r="B79" s="315">
        <v>22.25</v>
      </c>
      <c r="C79" s="316">
        <v>377</v>
      </c>
      <c r="D79" s="317"/>
      <c r="E79" s="314">
        <v>46447</v>
      </c>
      <c r="F79" s="318">
        <v>15.5</v>
      </c>
      <c r="G79" s="319">
        <v>6.75</v>
      </c>
      <c r="H79" s="318">
        <v>361.5</v>
      </c>
      <c r="I79" s="317"/>
      <c r="J79" s="319">
        <v>-8.7434748373844258</v>
      </c>
      <c r="K79" s="314">
        <v>46447</v>
      </c>
      <c r="L79" s="315">
        <v>30.912500000000023</v>
      </c>
      <c r="M79" s="315"/>
      <c r="N79" s="314">
        <v>46447</v>
      </c>
      <c r="O79" s="315">
        <v>90.127420454545415</v>
      </c>
      <c r="P79" s="317">
        <v>451.62742045454542</v>
      </c>
      <c r="Q79" s="317"/>
      <c r="R79" s="317">
        <v>5.4498197223865077</v>
      </c>
      <c r="S79" s="320">
        <v>-153.99757954545458</v>
      </c>
    </row>
    <row r="80" spans="1:19" ht="12.75" customHeight="1" x14ac:dyDescent="0.25">
      <c r="A80" s="321"/>
      <c r="B80" s="315"/>
      <c r="C80" s="316"/>
      <c r="D80" s="317"/>
      <c r="E80" s="321"/>
      <c r="F80" s="318"/>
      <c r="G80" s="319"/>
      <c r="H80" s="318"/>
      <c r="I80" s="317"/>
      <c r="J80" s="319"/>
      <c r="K80" s="321"/>
      <c r="L80" s="315"/>
      <c r="M80" s="315"/>
      <c r="N80" s="321"/>
      <c r="O80" s="315"/>
      <c r="P80" s="317"/>
      <c r="Q80" s="317"/>
      <c r="R80" s="317"/>
      <c r="S80" s="320"/>
    </row>
    <row r="81" spans="1:19" ht="12.75" customHeight="1" x14ac:dyDescent="0.25">
      <c r="A81" s="321" t="s">
        <v>156</v>
      </c>
      <c r="B81" s="315">
        <v>27.166666666666668</v>
      </c>
      <c r="C81" s="316">
        <v>402.66666666666669</v>
      </c>
      <c r="D81" s="317">
        <v>6.5833333333333144</v>
      </c>
      <c r="E81" s="321" t="s">
        <v>156</v>
      </c>
      <c r="F81" s="318">
        <v>12.75</v>
      </c>
      <c r="G81" s="319">
        <v>14.416666666666668</v>
      </c>
      <c r="H81" s="318">
        <v>389.91666666666669</v>
      </c>
      <c r="I81" s="317">
        <v>6.0833333333333144</v>
      </c>
      <c r="J81" s="319">
        <v>-4.8098512495720538</v>
      </c>
      <c r="K81" s="321" t="s">
        <v>156</v>
      </c>
      <c r="L81" s="315">
        <v>33.912499999999966</v>
      </c>
      <c r="M81" s="315">
        <v>0.16666666666662877</v>
      </c>
      <c r="N81" s="321" t="s">
        <v>156</v>
      </c>
      <c r="O81" s="315">
        <v>88.544087121212044</v>
      </c>
      <c r="P81" s="317">
        <v>478.46075378787873</v>
      </c>
      <c r="Q81" s="317">
        <v>6.75</v>
      </c>
      <c r="R81" s="317">
        <v>9.1340994781778786</v>
      </c>
      <c r="S81" s="320">
        <v>-144.63861215415025</v>
      </c>
    </row>
    <row r="82" spans="1:19" ht="12.75" customHeight="1" x14ac:dyDescent="0.25">
      <c r="A82" s="321" t="s">
        <v>162</v>
      </c>
      <c r="B82" s="315">
        <v>26.916666666666668</v>
      </c>
      <c r="C82" s="316">
        <v>396.08333333333337</v>
      </c>
      <c r="D82" s="317">
        <v>3.4166666666666856</v>
      </c>
      <c r="E82" s="321" t="s">
        <v>162</v>
      </c>
      <c r="F82" s="318">
        <v>12.25</v>
      </c>
      <c r="G82" s="319">
        <v>14.666666666666668</v>
      </c>
      <c r="H82" s="318">
        <v>383.83333333333337</v>
      </c>
      <c r="I82" s="317">
        <v>3.5</v>
      </c>
      <c r="J82" s="319">
        <v>-5.4400330470054836</v>
      </c>
      <c r="K82" s="321" t="s">
        <v>162</v>
      </c>
      <c r="L82" s="315">
        <v>33.745833333333337</v>
      </c>
      <c r="M82" s="315">
        <v>1.0833333333333144</v>
      </c>
      <c r="N82" s="321" t="s">
        <v>162</v>
      </c>
      <c r="O82" s="315">
        <v>87.877420454545359</v>
      </c>
      <c r="P82" s="317">
        <v>471.71075378787873</v>
      </c>
      <c r="Q82" s="317">
        <v>5.3333333333333144</v>
      </c>
      <c r="R82" s="317">
        <v>8.398930804104026</v>
      </c>
      <c r="S82" s="320">
        <v>-143.33091287878793</v>
      </c>
    </row>
    <row r="83" spans="1:19" ht="12.75" customHeight="1" x14ac:dyDescent="0.25">
      <c r="A83" s="321" t="s">
        <v>163</v>
      </c>
      <c r="B83" s="315">
        <v>24.5</v>
      </c>
      <c r="C83" s="316">
        <v>392.66666666666669</v>
      </c>
      <c r="D83" s="317">
        <v>7.5833333333333144</v>
      </c>
      <c r="E83" s="321" t="s">
        <v>163</v>
      </c>
      <c r="F83" s="318">
        <v>12.333333333333334</v>
      </c>
      <c r="G83" s="319">
        <v>12.166666666666666</v>
      </c>
      <c r="H83" s="318">
        <v>380.33333333333337</v>
      </c>
      <c r="I83" s="317">
        <v>8.25</v>
      </c>
      <c r="J83" s="319">
        <v>-5.8475987092522406</v>
      </c>
      <c r="K83" s="321" t="s">
        <v>163</v>
      </c>
      <c r="L83" s="315">
        <v>32.662500000000023</v>
      </c>
      <c r="M83" s="315">
        <v>0.66666666666668561</v>
      </c>
      <c r="N83" s="321" t="s">
        <v>163</v>
      </c>
      <c r="O83" s="315">
        <v>86.044087121212044</v>
      </c>
      <c r="P83" s="317">
        <v>466.37742045454542</v>
      </c>
      <c r="Q83" s="317">
        <v>5.4166666666666856</v>
      </c>
      <c r="R83" s="317">
        <v>7.7026512310961222</v>
      </c>
      <c r="S83" s="320">
        <v>-142.87257954545458</v>
      </c>
    </row>
    <row r="84" spans="1:19" ht="12.75" customHeight="1" x14ac:dyDescent="0.25">
      <c r="A84" s="321" t="s">
        <v>164</v>
      </c>
      <c r="B84" s="315">
        <v>21.916666666666668</v>
      </c>
      <c r="C84" s="316">
        <v>385.08333333333337</v>
      </c>
      <c r="D84" s="317">
        <v>9.7500000000000568</v>
      </c>
      <c r="E84" s="321" t="s">
        <v>164</v>
      </c>
      <c r="F84" s="318">
        <v>13</v>
      </c>
      <c r="G84" s="319">
        <v>8.9166666666666679</v>
      </c>
      <c r="H84" s="318">
        <v>372.08333333333337</v>
      </c>
      <c r="I84" s="317">
        <v>10.500000000000057</v>
      </c>
      <c r="J84" s="319">
        <v>-7.0342231591110167</v>
      </c>
      <c r="K84" s="321" t="s">
        <v>164</v>
      </c>
      <c r="L84" s="315">
        <v>31.995833333333337</v>
      </c>
      <c r="M84" s="315">
        <v>0.33333333333331439</v>
      </c>
      <c r="N84" s="321" t="s">
        <v>164</v>
      </c>
      <c r="O84" s="315">
        <v>88.877420454545359</v>
      </c>
      <c r="P84" s="317">
        <v>460.96075378787873</v>
      </c>
      <c r="Q84" s="317">
        <v>5.0833333333333144</v>
      </c>
      <c r="R84" s="317">
        <v>6.9622210069591262</v>
      </c>
      <c r="S84" s="320">
        <v>-146.45591287878793</v>
      </c>
    </row>
    <row r="85" spans="1:19" ht="12.75" customHeight="1" x14ac:dyDescent="0.25">
      <c r="A85" s="321" t="s">
        <v>165</v>
      </c>
      <c r="B85" s="315">
        <v>22.5</v>
      </c>
      <c r="C85" s="316">
        <v>375.33333333333331</v>
      </c>
      <c r="D85" s="317">
        <v>-0.91666666666668561</v>
      </c>
      <c r="E85" s="321" t="s">
        <v>165</v>
      </c>
      <c r="F85" s="318">
        <v>13.75</v>
      </c>
      <c r="G85" s="319">
        <v>8.75</v>
      </c>
      <c r="H85" s="318">
        <v>361.58333333333331</v>
      </c>
      <c r="I85" s="317">
        <v>0.58333333333331439</v>
      </c>
      <c r="J85" s="319">
        <v>-8.6655837696670943</v>
      </c>
      <c r="K85" s="321" t="s">
        <v>165</v>
      </c>
      <c r="L85" s="315">
        <v>31.662500000000023</v>
      </c>
      <c r="M85" s="315">
        <v>0.5</v>
      </c>
      <c r="N85" s="321" t="s">
        <v>165</v>
      </c>
      <c r="O85" s="315">
        <v>94.294087121212101</v>
      </c>
      <c r="P85" s="317">
        <v>455.87742045454542</v>
      </c>
      <c r="Q85" s="317">
        <v>3.5</v>
      </c>
      <c r="R85" s="317">
        <v>6.1838787691064665</v>
      </c>
      <c r="S85" s="320">
        <v>-150.58091287878793</v>
      </c>
    </row>
    <row r="86" spans="1:19" ht="12.75" customHeight="1" x14ac:dyDescent="0.25">
      <c r="A86" s="321" t="s">
        <v>238</v>
      </c>
      <c r="B86" s="315">
        <v>22.75</v>
      </c>
      <c r="C86" s="316">
        <v>376.25</v>
      </c>
      <c r="D86" s="317"/>
      <c r="E86" s="321" t="s">
        <v>238</v>
      </c>
      <c r="F86" s="318">
        <v>15.25</v>
      </c>
      <c r="G86" s="319">
        <v>7.5</v>
      </c>
      <c r="H86" s="318">
        <v>361</v>
      </c>
      <c r="I86" s="317"/>
      <c r="J86" s="319">
        <v>-8.7767139596680508</v>
      </c>
      <c r="K86" s="321" t="s">
        <v>238</v>
      </c>
      <c r="L86" s="315">
        <v>31.162500000000023</v>
      </c>
      <c r="M86" s="315"/>
      <c r="N86" s="321" t="s">
        <v>238</v>
      </c>
      <c r="O86" s="315">
        <v>91.377420454545415</v>
      </c>
      <c r="P86" s="317">
        <v>452.37742045454542</v>
      </c>
      <c r="Q86" s="317"/>
      <c r="R86" s="317">
        <v>5.6134309938036706</v>
      </c>
      <c r="S86" s="320">
        <v>-153.03924621212124</v>
      </c>
    </row>
    <row r="87" spans="1:19" ht="12.75" customHeight="1" x14ac:dyDescent="0.25">
      <c r="A87" s="322">
        <v>2026</v>
      </c>
      <c r="B87" s="315">
        <v>23.958333333333332</v>
      </c>
      <c r="C87" s="316">
        <v>387.29166666666663</v>
      </c>
      <c r="D87" s="323"/>
      <c r="E87" s="332">
        <v>2026</v>
      </c>
      <c r="F87" s="318">
        <v>12.833333333333334</v>
      </c>
      <c r="G87" s="319">
        <v>11.124999999999998</v>
      </c>
      <c r="H87" s="318">
        <v>374.45833333333331</v>
      </c>
      <c r="I87" s="333"/>
      <c r="J87" s="365">
        <v>-6.7468596712589601</v>
      </c>
      <c r="K87" s="361">
        <v>2026</v>
      </c>
      <c r="L87" s="333">
        <v>32.516666666666708</v>
      </c>
      <c r="M87" s="334"/>
      <c r="N87" s="361">
        <v>2026</v>
      </c>
      <c r="O87" s="333">
        <v>89.273253787878787</v>
      </c>
      <c r="P87" s="334">
        <v>463.7315871212121</v>
      </c>
      <c r="Q87" s="334"/>
      <c r="R87" s="334">
        <v>7.3119204528164357</v>
      </c>
      <c r="S87" s="362">
        <v>-145.81007954545458</v>
      </c>
    </row>
    <row r="88" spans="1:19" ht="12.75" customHeight="1" x14ac:dyDescent="0.25">
      <c r="A88" s="331"/>
      <c r="B88" s="263"/>
      <c r="C88" s="263"/>
      <c r="D88" s="263"/>
      <c r="E88" s="263"/>
      <c r="F88" s="263"/>
      <c r="G88" s="263"/>
      <c r="H88" s="263"/>
      <c r="I88" s="268"/>
      <c r="J88" s="268"/>
      <c r="K88" s="324" t="s">
        <v>143</v>
      </c>
      <c r="L88" s="325"/>
      <c r="M88" s="268"/>
      <c r="N88" s="325"/>
      <c r="O88" s="268"/>
      <c r="P88" s="268"/>
      <c r="Q88" s="268"/>
      <c r="R88" s="268"/>
      <c r="S88" s="325"/>
    </row>
    <row r="89" spans="1:19" ht="12.75" customHeight="1" x14ac:dyDescent="0.25">
      <c r="A89" s="326"/>
      <c r="B89" s="268"/>
      <c r="C89" s="268"/>
      <c r="D89" s="268"/>
      <c r="E89" s="268"/>
      <c r="F89" s="268"/>
      <c r="G89" s="268"/>
      <c r="H89" s="268"/>
      <c r="I89" s="268"/>
      <c r="J89" s="268"/>
      <c r="K89" s="324" t="s">
        <v>144</v>
      </c>
      <c r="L89" s="325"/>
      <c r="M89" s="268"/>
      <c r="N89" s="268"/>
      <c r="O89" s="268"/>
      <c r="P89" s="268"/>
      <c r="Q89" s="268"/>
      <c r="R89" s="268"/>
      <c r="S89" s="325"/>
    </row>
    <row r="90" spans="1:19" ht="12.75" customHeight="1" x14ac:dyDescent="0.25">
      <c r="A90" s="326"/>
      <c r="B90" s="268"/>
      <c r="C90" s="268"/>
      <c r="D90" s="268"/>
      <c r="E90" s="268"/>
      <c r="F90" s="268"/>
      <c r="G90" s="268"/>
      <c r="H90" s="268"/>
      <c r="I90" s="268"/>
      <c r="J90" s="268"/>
      <c r="K90" s="324" t="s">
        <v>145</v>
      </c>
      <c r="L90" s="268"/>
      <c r="M90" s="268"/>
      <c r="N90" s="268"/>
      <c r="O90" s="268"/>
      <c r="P90" s="268"/>
      <c r="Q90" s="268"/>
      <c r="R90" s="268"/>
      <c r="S90" s="325"/>
    </row>
    <row r="91" spans="1:19" ht="12.75" customHeight="1" x14ac:dyDescent="0.25">
      <c r="A91" s="326"/>
      <c r="B91" s="268"/>
      <c r="C91" s="268"/>
      <c r="D91" s="268"/>
      <c r="E91" s="268"/>
      <c r="F91" s="268"/>
      <c r="G91" s="268"/>
      <c r="H91" s="268"/>
      <c r="I91" s="268"/>
      <c r="J91" s="268"/>
      <c r="K91" s="324" t="s">
        <v>146</v>
      </c>
      <c r="L91" s="268"/>
      <c r="M91" s="268"/>
      <c r="N91" s="268"/>
      <c r="O91" s="268"/>
      <c r="P91" s="268"/>
      <c r="Q91" s="268"/>
      <c r="R91" s="268"/>
      <c r="S91" s="325"/>
    </row>
    <row r="92" spans="1:19" ht="12.75" customHeight="1" x14ac:dyDescent="0.25">
      <c r="A92" s="326"/>
      <c r="B92" s="268"/>
      <c r="C92" s="268"/>
      <c r="D92" s="268"/>
      <c r="E92" s="268"/>
      <c r="F92" s="268"/>
      <c r="G92" s="268"/>
      <c r="H92" s="268"/>
      <c r="I92" s="268"/>
      <c r="J92" s="268"/>
      <c r="K92" s="324" t="s">
        <v>35</v>
      </c>
      <c r="L92" s="268"/>
      <c r="M92" s="268"/>
      <c r="N92" s="268"/>
      <c r="O92" s="268"/>
      <c r="P92" s="268"/>
      <c r="Q92" s="268"/>
      <c r="R92" s="268"/>
      <c r="S92" s="325"/>
    </row>
    <row r="93" spans="1:19" ht="12.75" customHeight="1" x14ac:dyDescent="0.25">
      <c r="A93" s="326"/>
      <c r="B93" s="268"/>
      <c r="C93" s="268"/>
      <c r="D93" s="268"/>
      <c r="E93" s="268"/>
      <c r="F93" s="268"/>
      <c r="G93" s="268"/>
      <c r="H93" s="268"/>
      <c r="I93" s="268"/>
      <c r="J93" s="268"/>
      <c r="K93" s="324" t="s">
        <v>36</v>
      </c>
      <c r="L93" s="268"/>
      <c r="M93" s="268"/>
      <c r="N93" s="268"/>
      <c r="O93" s="268"/>
      <c r="P93" s="268"/>
      <c r="Q93" s="268"/>
      <c r="R93" s="268"/>
      <c r="S93" s="325"/>
    </row>
    <row r="94" spans="1:19" ht="12.75" customHeight="1" x14ac:dyDescent="0.25">
      <c r="A94" s="326"/>
      <c r="B94" s="268"/>
      <c r="C94" s="268"/>
      <c r="D94" s="268"/>
      <c r="E94" s="268"/>
      <c r="F94" s="268"/>
      <c r="G94" s="268"/>
      <c r="H94" s="268"/>
      <c r="I94" s="268"/>
      <c r="J94" s="268"/>
      <c r="K94" s="324" t="s">
        <v>37</v>
      </c>
      <c r="L94" s="268"/>
      <c r="M94" s="268"/>
      <c r="N94" s="268"/>
      <c r="O94" s="268"/>
      <c r="P94" s="268"/>
      <c r="Q94" s="268"/>
      <c r="R94" s="268"/>
      <c r="S94" s="325"/>
    </row>
    <row r="95" spans="1:19" ht="12.75" customHeight="1" x14ac:dyDescent="0.25">
      <c r="A95" s="327"/>
      <c r="B95" s="328"/>
      <c r="C95" s="328"/>
      <c r="D95" s="328"/>
      <c r="E95" s="328"/>
      <c r="F95" s="328"/>
      <c r="G95" s="328"/>
      <c r="H95" s="328"/>
      <c r="I95" s="328"/>
      <c r="J95" s="328"/>
      <c r="K95" s="329" t="s">
        <v>38</v>
      </c>
      <c r="L95" s="328"/>
      <c r="M95" s="328"/>
      <c r="N95" s="328"/>
      <c r="O95" s="328"/>
      <c r="P95" s="328"/>
      <c r="Q95" s="328"/>
      <c r="R95" s="328"/>
      <c r="S95" s="330"/>
    </row>
    <row r="96" spans="1:19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</sheetData>
  <pageMargins left="0.7" right="0.7" top="0.75" bottom="0.75" header="0.3" footer="0.3"/>
  <customProperties>
    <customPr name="_pios_id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6940-D1CD-43BD-96AE-06C76C87D5EF}">
  <dimension ref="A2:BJ86"/>
  <sheetViews>
    <sheetView zoomScale="85" zoomScaleNormal="85" workbookViewId="0">
      <selection activeCell="V35" sqref="V35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10.28515625" bestFit="1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371"/>
      <c r="B2" s="532">
        <v>45895</v>
      </c>
      <c r="C2" s="532"/>
    </row>
    <row r="3" spans="1:36" x14ac:dyDescent="0.25">
      <c r="F3" s="372"/>
    </row>
    <row r="4" spans="1:36" ht="19.5" thickBot="1" x14ac:dyDescent="0.3">
      <c r="B4" s="533" t="s">
        <v>169</v>
      </c>
      <c r="C4" s="533"/>
      <c r="R4" s="363"/>
    </row>
    <row r="5" spans="1:36" ht="15.75" thickBot="1" x14ac:dyDescent="0.3">
      <c r="B5" s="521" t="s">
        <v>170</v>
      </c>
      <c r="C5" s="522"/>
      <c r="D5" s="373"/>
      <c r="E5" s="521" t="s">
        <v>171</v>
      </c>
      <c r="F5" s="523"/>
      <c r="G5" s="373"/>
      <c r="H5" s="521" t="s">
        <v>172</v>
      </c>
      <c r="I5" s="522"/>
      <c r="K5" s="521" t="s">
        <v>173</v>
      </c>
      <c r="L5" s="522"/>
      <c r="N5" s="521" t="s">
        <v>174</v>
      </c>
      <c r="O5" s="522"/>
      <c r="Q5" s="521" t="s">
        <v>175</v>
      </c>
      <c r="R5" s="522"/>
      <c r="T5" s="521" t="s">
        <v>176</v>
      </c>
      <c r="U5" s="522"/>
      <c r="W5" s="521" t="s">
        <v>177</v>
      </c>
      <c r="X5" s="522"/>
      <c r="Z5" s="521" t="s">
        <v>178</v>
      </c>
      <c r="AA5" s="522"/>
      <c r="AC5" s="521" t="s">
        <v>179</v>
      </c>
      <c r="AD5" s="522"/>
      <c r="AF5" s="521" t="s">
        <v>239</v>
      </c>
      <c r="AG5" s="522"/>
      <c r="AI5" s="521" t="s">
        <v>180</v>
      </c>
      <c r="AJ5" s="522"/>
    </row>
    <row r="6" spans="1:36" ht="15.75" thickBot="1" x14ac:dyDescent="0.3">
      <c r="B6" s="374">
        <v>45893</v>
      </c>
      <c r="C6" s="375">
        <v>-6.39</v>
      </c>
      <c r="D6" s="373"/>
      <c r="E6" s="376" t="s">
        <v>240</v>
      </c>
      <c r="F6" s="375">
        <v>66.680000000000007</v>
      </c>
      <c r="G6" s="373"/>
      <c r="H6" s="377">
        <f t="shared" ref="H6:H14" si="0">B6</f>
        <v>45893</v>
      </c>
      <c r="I6" s="375"/>
      <c r="K6" s="377">
        <f t="shared" ref="K6:K16" si="1">B6</f>
        <v>45893</v>
      </c>
      <c r="L6" s="375">
        <v>4.3099999999999996</v>
      </c>
      <c r="N6" s="378" t="str">
        <f>E24</f>
        <v>Aug/Sep</v>
      </c>
      <c r="O6" s="375">
        <v>1.75</v>
      </c>
      <c r="Q6" s="377">
        <f>B6</f>
        <v>45893</v>
      </c>
      <c r="R6" s="375">
        <v>8.81</v>
      </c>
      <c r="T6" s="378" t="str">
        <f>E24</f>
        <v>Aug/Sep</v>
      </c>
      <c r="U6" s="375">
        <v>0.5</v>
      </c>
      <c r="W6" s="378" t="str">
        <f>E24</f>
        <v>Aug/Sep</v>
      </c>
      <c r="X6" s="375">
        <v>-1.75</v>
      </c>
      <c r="Z6" s="377">
        <f>B6</f>
        <v>45893</v>
      </c>
      <c r="AA6" s="375">
        <v>28.59</v>
      </c>
      <c r="AC6" s="377">
        <f>B6</f>
        <v>45893</v>
      </c>
      <c r="AD6" s="375">
        <v>6.5</v>
      </c>
      <c r="AF6" s="377">
        <f>B6</f>
        <v>45893</v>
      </c>
      <c r="AG6" s="375">
        <v>-5.37</v>
      </c>
      <c r="AI6" s="379" t="str">
        <f>E24</f>
        <v>Aug/Sep</v>
      </c>
      <c r="AJ6" s="375">
        <v>3</v>
      </c>
    </row>
    <row r="7" spans="1:36" ht="15.75" thickBot="1" x14ac:dyDescent="0.3">
      <c r="B7" s="380">
        <v>45924</v>
      </c>
      <c r="C7" s="381">
        <v>-6.45</v>
      </c>
      <c r="D7" s="373"/>
      <c r="E7" s="382" t="s">
        <v>237</v>
      </c>
      <c r="F7" s="375">
        <v>66.260000000000005</v>
      </c>
      <c r="G7" s="373"/>
      <c r="H7" s="384">
        <f>B7</f>
        <v>45924</v>
      </c>
      <c r="I7" s="383">
        <v>-3.54</v>
      </c>
      <c r="K7" s="385">
        <f>B7</f>
        <v>45924</v>
      </c>
      <c r="L7" s="383">
        <v>4.45</v>
      </c>
      <c r="N7" s="386" t="str">
        <f>E25</f>
        <v>Sep/Oct</v>
      </c>
      <c r="O7" s="383">
        <v>4.75</v>
      </c>
      <c r="Q7" s="387">
        <f>B7</f>
        <v>45924</v>
      </c>
      <c r="R7" s="383">
        <v>9.15</v>
      </c>
      <c r="T7" s="386" t="str">
        <f>E25</f>
        <v>Sep/Oct</v>
      </c>
      <c r="U7" s="383">
        <v>1.5</v>
      </c>
      <c r="W7" s="388" t="str">
        <f>E25</f>
        <v>Sep/Oct</v>
      </c>
      <c r="X7" s="383">
        <v>1</v>
      </c>
      <c r="Z7" s="389">
        <f>B7</f>
        <v>45924</v>
      </c>
      <c r="AA7" s="383">
        <v>29.84</v>
      </c>
      <c r="AC7" s="389">
        <f>B7</f>
        <v>45924</v>
      </c>
      <c r="AD7" s="383">
        <v>11.25</v>
      </c>
      <c r="AF7" s="387">
        <f t="shared" ref="AF7:AF17" si="2">B7</f>
        <v>45924</v>
      </c>
      <c r="AG7" s="383">
        <v>-4.68</v>
      </c>
      <c r="AI7" s="393" t="str">
        <f t="shared" ref="AI7:AI17" si="3">E25</f>
        <v>Sep/Oct</v>
      </c>
      <c r="AJ7" s="383">
        <v>4</v>
      </c>
    </row>
    <row r="8" spans="1:36" ht="15.75" thickBot="1" x14ac:dyDescent="0.3">
      <c r="B8" s="374">
        <v>45954</v>
      </c>
      <c r="C8" s="375">
        <v>-6.67</v>
      </c>
      <c r="D8" s="373"/>
      <c r="E8" s="521" t="s">
        <v>181</v>
      </c>
      <c r="F8" s="523"/>
      <c r="G8" s="373"/>
      <c r="H8" s="377">
        <f t="shared" si="0"/>
        <v>45954</v>
      </c>
      <c r="I8" s="375">
        <v>-3.58</v>
      </c>
      <c r="K8" s="377">
        <f>B8</f>
        <v>45954</v>
      </c>
      <c r="L8" s="375">
        <v>4.12</v>
      </c>
      <c r="N8" s="378" t="str">
        <f>E26</f>
        <v>Oct/Nov</v>
      </c>
      <c r="O8" s="375">
        <v>3.75</v>
      </c>
      <c r="Q8" s="377">
        <f>B8</f>
        <v>45954</v>
      </c>
      <c r="R8" s="375">
        <v>9.33</v>
      </c>
      <c r="T8" s="378" t="str">
        <f>E26</f>
        <v>Oct/Nov</v>
      </c>
      <c r="U8" s="375">
        <v>2.75</v>
      </c>
      <c r="W8" s="378" t="str">
        <f>E26</f>
        <v>Oct/Nov</v>
      </c>
      <c r="X8" s="375">
        <v>3.75</v>
      </c>
      <c r="Z8" s="377">
        <f t="shared" ref="Z8:Z17" si="4">B8</f>
        <v>45954</v>
      </c>
      <c r="AA8" s="375">
        <v>33.090000000000003</v>
      </c>
      <c r="AC8" s="377">
        <f t="shared" ref="AC8:AC17" si="5">B8</f>
        <v>45954</v>
      </c>
      <c r="AD8" s="375">
        <v>14.25</v>
      </c>
      <c r="AF8" s="377">
        <f t="shared" si="2"/>
        <v>45954</v>
      </c>
      <c r="AG8" s="375">
        <v>-4.42</v>
      </c>
      <c r="AI8" s="379" t="str">
        <f t="shared" si="3"/>
        <v>Oct/Nov</v>
      </c>
      <c r="AJ8" s="375">
        <v>4.75</v>
      </c>
    </row>
    <row r="9" spans="1:36" ht="15.75" thickBot="1" x14ac:dyDescent="0.3">
      <c r="B9" s="380">
        <v>45985</v>
      </c>
      <c r="C9" s="381">
        <v>-7.15</v>
      </c>
      <c r="D9" s="373"/>
      <c r="E9" s="376" t="str">
        <f>E6</f>
        <v>Sep</v>
      </c>
      <c r="F9" s="391">
        <f>F6-68.2</f>
        <v>-1.519999999999996</v>
      </c>
      <c r="G9" s="373"/>
      <c r="H9" s="387">
        <f t="shared" si="0"/>
        <v>45985</v>
      </c>
      <c r="I9" s="381">
        <v>-3.61</v>
      </c>
      <c r="K9" s="387">
        <f>B9</f>
        <v>45985</v>
      </c>
      <c r="L9" s="381">
        <v>3.79</v>
      </c>
      <c r="N9" s="392" t="str">
        <f t="shared" ref="N9:N13" si="6">E27</f>
        <v>Nov/Dec</v>
      </c>
      <c r="O9" s="381">
        <v>2.5</v>
      </c>
      <c r="Q9" s="387">
        <f t="shared" ref="Q9:Q17" si="7">B9</f>
        <v>45985</v>
      </c>
      <c r="R9" s="381">
        <v>9.15</v>
      </c>
      <c r="T9" s="392" t="str">
        <f t="shared" ref="T9:T15" si="8">E27</f>
        <v>Nov/Dec</v>
      </c>
      <c r="U9" s="381">
        <v>2.5</v>
      </c>
      <c r="W9" s="392" t="str">
        <f>E27</f>
        <v>Nov/Dec</v>
      </c>
      <c r="X9" s="381">
        <v>3</v>
      </c>
      <c r="Z9" s="387">
        <f t="shared" si="4"/>
        <v>45985</v>
      </c>
      <c r="AA9" s="381">
        <v>34.090000000000003</v>
      </c>
      <c r="AC9" s="387">
        <f t="shared" si="5"/>
        <v>45985</v>
      </c>
      <c r="AD9" s="381">
        <v>15.25</v>
      </c>
      <c r="AF9" s="387">
        <f t="shared" si="2"/>
        <v>45985</v>
      </c>
      <c r="AG9" s="381">
        <v>-4.75</v>
      </c>
      <c r="AI9" s="393" t="str">
        <f t="shared" si="3"/>
        <v>Nov/Dec</v>
      </c>
      <c r="AJ9" s="381">
        <v>3.5</v>
      </c>
    </row>
    <row r="10" spans="1:36" ht="15.75" thickBot="1" x14ac:dyDescent="0.3">
      <c r="B10" s="374">
        <v>46015</v>
      </c>
      <c r="C10" s="375">
        <v>-7.56</v>
      </c>
      <c r="D10" s="373"/>
      <c r="E10" s="376" t="str">
        <f>E7</f>
        <v>Oct</v>
      </c>
      <c r="F10" s="394">
        <f>F7-67.73</f>
        <v>-1.4699999999999989</v>
      </c>
      <c r="G10" s="373"/>
      <c r="H10" s="377">
        <f t="shared" si="0"/>
        <v>46015</v>
      </c>
      <c r="I10" s="375">
        <v>-3.66</v>
      </c>
      <c r="K10" s="377">
        <f t="shared" si="1"/>
        <v>46015</v>
      </c>
      <c r="L10" s="375">
        <v>3.53</v>
      </c>
      <c r="N10" s="378" t="str">
        <f t="shared" si="6"/>
        <v>Dec/Jan</v>
      </c>
      <c r="O10" s="375">
        <v>2</v>
      </c>
      <c r="Q10" s="377">
        <f t="shared" si="7"/>
        <v>46015</v>
      </c>
      <c r="R10" s="375">
        <v>8.9</v>
      </c>
      <c r="T10" s="378" t="str">
        <f t="shared" si="8"/>
        <v>Dec/Jan</v>
      </c>
      <c r="U10" s="375">
        <v>2.25</v>
      </c>
      <c r="W10" s="378" t="str">
        <f t="shared" ref="W10:W17" si="9">E28</f>
        <v>Dec/Jan</v>
      </c>
      <c r="X10" s="375">
        <v>1.75</v>
      </c>
      <c r="Z10" s="377">
        <f t="shared" si="4"/>
        <v>46015</v>
      </c>
      <c r="AA10" s="375">
        <v>34.090000000000003</v>
      </c>
      <c r="AC10" s="377">
        <f t="shared" si="5"/>
        <v>46015</v>
      </c>
      <c r="AD10" s="375">
        <v>15.75</v>
      </c>
      <c r="AF10" s="377">
        <f t="shared" si="2"/>
        <v>46015</v>
      </c>
      <c r="AG10" s="375">
        <v>-5.08</v>
      </c>
      <c r="AI10" s="379" t="str">
        <f t="shared" si="3"/>
        <v>Dec/Jan</v>
      </c>
      <c r="AJ10" s="375">
        <v>1.75</v>
      </c>
    </row>
    <row r="11" spans="1:36" ht="15.75" thickBot="1" x14ac:dyDescent="0.3">
      <c r="B11" s="380">
        <v>46047</v>
      </c>
      <c r="C11" s="381">
        <v>-7.78</v>
      </c>
      <c r="D11" s="373"/>
      <c r="E11" s="373"/>
      <c r="F11" s="373"/>
      <c r="G11" s="373"/>
      <c r="H11" s="387">
        <f>B11</f>
        <v>46047</v>
      </c>
      <c r="I11" s="381">
        <v>-3.71</v>
      </c>
      <c r="K11" s="387">
        <f t="shared" si="1"/>
        <v>46047</v>
      </c>
      <c r="L11" s="381">
        <v>3.28</v>
      </c>
      <c r="N11" s="392" t="str">
        <f t="shared" si="6"/>
        <v>Jan/Feb</v>
      </c>
      <c r="O11" s="381">
        <v>1.75</v>
      </c>
      <c r="Q11" s="387">
        <f>B11</f>
        <v>46047</v>
      </c>
      <c r="R11" s="381">
        <v>8.61</v>
      </c>
      <c r="T11" s="392" t="str">
        <f t="shared" si="8"/>
        <v>Jan/Feb</v>
      </c>
      <c r="U11" s="381">
        <v>2</v>
      </c>
      <c r="W11" s="392" t="str">
        <f t="shared" si="9"/>
        <v>Jan/Feb</v>
      </c>
      <c r="X11" s="381">
        <v>1.25</v>
      </c>
      <c r="Z11" s="387">
        <f t="shared" si="4"/>
        <v>46047</v>
      </c>
      <c r="AA11" s="381">
        <v>33.840000000000003</v>
      </c>
      <c r="AC11" s="387">
        <f>B11</f>
        <v>46047</v>
      </c>
      <c r="AD11" s="381">
        <v>15.75</v>
      </c>
      <c r="AF11" s="387">
        <f t="shared" si="2"/>
        <v>46047</v>
      </c>
      <c r="AG11" s="381">
        <v>-5.3</v>
      </c>
      <c r="AI11" s="393" t="str">
        <f t="shared" si="3"/>
        <v>Jan/Feb</v>
      </c>
      <c r="AJ11" s="381">
        <v>1.25</v>
      </c>
    </row>
    <row r="12" spans="1:36" ht="15.75" thickBot="1" x14ac:dyDescent="0.3">
      <c r="B12" s="374">
        <v>46078</v>
      </c>
      <c r="C12" s="375">
        <v>-7.95</v>
      </c>
      <c r="D12" s="373"/>
      <c r="F12" s="373"/>
      <c r="G12" s="373"/>
      <c r="H12" s="377">
        <f t="shared" si="0"/>
        <v>46078</v>
      </c>
      <c r="I12" s="375">
        <v>-3.73</v>
      </c>
      <c r="K12" s="377">
        <f t="shared" si="1"/>
        <v>46078</v>
      </c>
      <c r="L12" s="375">
        <v>3.04</v>
      </c>
      <c r="N12" s="378" t="str">
        <f t="shared" si="6"/>
        <v>Feb/Mar</v>
      </c>
      <c r="O12" s="375">
        <v>1.75</v>
      </c>
      <c r="Q12" s="377">
        <f t="shared" si="7"/>
        <v>46078</v>
      </c>
      <c r="R12" s="375">
        <v>8.33</v>
      </c>
      <c r="T12" s="378" t="str">
        <f t="shared" si="8"/>
        <v>Feb/Mar</v>
      </c>
      <c r="U12" s="375">
        <v>2</v>
      </c>
      <c r="W12" s="378" t="str">
        <f t="shared" si="9"/>
        <v>Feb/Mar</v>
      </c>
      <c r="X12" s="375">
        <v>0.75</v>
      </c>
      <c r="Z12" s="377">
        <f t="shared" si="4"/>
        <v>46078</v>
      </c>
      <c r="AA12" s="375">
        <v>33.590000000000003</v>
      </c>
      <c r="AC12" s="377">
        <f t="shared" si="5"/>
        <v>46078</v>
      </c>
      <c r="AD12" s="375">
        <v>15.75</v>
      </c>
      <c r="AF12" s="377">
        <f t="shared" si="2"/>
        <v>46078</v>
      </c>
      <c r="AG12" s="375">
        <v>-5.47</v>
      </c>
      <c r="AI12" s="379" t="str">
        <f>E30</f>
        <v>Feb/Mar</v>
      </c>
      <c r="AJ12" s="375">
        <v>0.25</v>
      </c>
    </row>
    <row r="13" spans="1:36" ht="15.75" thickBot="1" x14ac:dyDescent="0.3">
      <c r="B13" s="380">
        <v>46086</v>
      </c>
      <c r="C13" s="381">
        <v>-7.96</v>
      </c>
      <c r="D13" s="373"/>
      <c r="F13" s="363"/>
      <c r="G13" s="373"/>
      <c r="H13" s="387">
        <f t="shared" si="0"/>
        <v>46086</v>
      </c>
      <c r="I13" s="381">
        <v>-3.74</v>
      </c>
      <c r="K13" s="387">
        <f>B13</f>
        <v>46086</v>
      </c>
      <c r="L13" s="381">
        <v>2.78</v>
      </c>
      <c r="N13" s="392" t="str">
        <f t="shared" si="6"/>
        <v>Mar/Apr</v>
      </c>
      <c r="O13" s="381">
        <v>1.25</v>
      </c>
      <c r="Q13" s="387">
        <f t="shared" si="7"/>
        <v>46086</v>
      </c>
      <c r="R13" s="381">
        <v>8.0299999999999994</v>
      </c>
      <c r="T13" s="392" t="str">
        <f t="shared" si="8"/>
        <v>Mar/Apr</v>
      </c>
      <c r="U13" s="381">
        <v>1.75</v>
      </c>
      <c r="W13" s="392" t="str">
        <f>E31</f>
        <v>Mar/Apr</v>
      </c>
      <c r="X13" s="381">
        <v>0.75</v>
      </c>
      <c r="Z13" s="387">
        <f>B13</f>
        <v>46086</v>
      </c>
      <c r="AA13" s="381">
        <v>33.340000000000003</v>
      </c>
      <c r="AC13" s="387">
        <f t="shared" si="5"/>
        <v>46086</v>
      </c>
      <c r="AD13" s="381">
        <v>15.25</v>
      </c>
      <c r="AF13" s="387">
        <f t="shared" si="2"/>
        <v>46086</v>
      </c>
      <c r="AG13" s="381">
        <v>-5.56</v>
      </c>
      <c r="AI13" s="393" t="str">
        <f t="shared" si="3"/>
        <v>Mar/Apr</v>
      </c>
      <c r="AJ13" s="381">
        <v>0</v>
      </c>
    </row>
    <row r="14" spans="1:36" ht="15.75" thickBot="1" x14ac:dyDescent="0.3">
      <c r="B14" s="374">
        <v>46137</v>
      </c>
      <c r="C14" s="375">
        <v>-7.93</v>
      </c>
      <c r="D14" s="373"/>
      <c r="G14" s="373"/>
      <c r="H14" s="377">
        <f t="shared" si="0"/>
        <v>46137</v>
      </c>
      <c r="I14" s="375">
        <v>-3.73</v>
      </c>
      <c r="K14" s="377">
        <f t="shared" si="1"/>
        <v>46137</v>
      </c>
      <c r="L14" s="375">
        <v>2.62</v>
      </c>
      <c r="N14" s="378" t="str">
        <f>E32</f>
        <v>Apr/May</v>
      </c>
      <c r="O14" s="375">
        <v>1.25</v>
      </c>
      <c r="Q14" s="377">
        <f t="shared" si="7"/>
        <v>46137</v>
      </c>
      <c r="R14" s="375">
        <v>7.79</v>
      </c>
      <c r="T14" s="378" t="str">
        <f t="shared" si="8"/>
        <v>Apr/May</v>
      </c>
      <c r="U14" s="375">
        <v>1.75</v>
      </c>
      <c r="W14" s="378" t="str">
        <f t="shared" si="9"/>
        <v>Apr/May</v>
      </c>
      <c r="X14" s="375">
        <v>1</v>
      </c>
      <c r="Z14" s="377">
        <f>B14</f>
        <v>46137</v>
      </c>
      <c r="AA14" s="375">
        <v>32.840000000000003</v>
      </c>
      <c r="AC14" s="377">
        <f t="shared" si="5"/>
        <v>46137</v>
      </c>
      <c r="AD14" s="375">
        <v>14.5</v>
      </c>
      <c r="AF14" s="377">
        <f t="shared" si="2"/>
        <v>46137</v>
      </c>
      <c r="AG14" s="375">
        <v>-5.65</v>
      </c>
      <c r="AI14" s="379" t="str">
        <f t="shared" si="3"/>
        <v>Apr/May</v>
      </c>
      <c r="AJ14" s="375">
        <v>0</v>
      </c>
    </row>
    <row r="15" spans="1:36" ht="15.75" thickBot="1" x14ac:dyDescent="0.3">
      <c r="B15" s="395" t="s">
        <v>182</v>
      </c>
      <c r="C15" s="383">
        <v>-7.13</v>
      </c>
      <c r="D15" s="396"/>
      <c r="F15" s="363"/>
      <c r="G15" s="373"/>
      <c r="H15" s="382" t="str">
        <f>B15</f>
        <v>Q4-25</v>
      </c>
      <c r="I15" s="383">
        <v>-3.61</v>
      </c>
      <c r="K15" s="386" t="str">
        <f t="shared" si="1"/>
        <v>Q4-25</v>
      </c>
      <c r="L15" s="383">
        <v>3.81</v>
      </c>
      <c r="N15" s="386" t="str">
        <f t="shared" ref="N15:N16" si="10">E33</f>
        <v>Q4/Q126</v>
      </c>
      <c r="O15" s="383">
        <v>6.67</v>
      </c>
      <c r="Q15" s="386" t="str">
        <f t="shared" si="7"/>
        <v>Q4-25</v>
      </c>
      <c r="R15" s="383">
        <v>9.1300000000000008</v>
      </c>
      <c r="T15" s="386" t="str">
        <f t="shared" si="8"/>
        <v>Q4/Q126</v>
      </c>
      <c r="U15" s="383">
        <v>6.83</v>
      </c>
      <c r="W15" s="388" t="str">
        <f t="shared" si="9"/>
        <v>Q4/Q126</v>
      </c>
      <c r="X15" s="383">
        <v>6.08</v>
      </c>
      <c r="Z15" s="390" t="str">
        <f>B15</f>
        <v>Q4-25</v>
      </c>
      <c r="AA15" s="383">
        <v>33.770000000000003</v>
      </c>
      <c r="AC15" s="390" t="str">
        <f t="shared" si="5"/>
        <v>Q4-25</v>
      </c>
      <c r="AD15" s="383">
        <v>15.08</v>
      </c>
      <c r="AF15" s="387" t="str">
        <f t="shared" si="2"/>
        <v>Q4-25</v>
      </c>
      <c r="AG15" s="383">
        <v>-4.75</v>
      </c>
      <c r="AI15" s="393" t="str">
        <f t="shared" si="3"/>
        <v>Q4/Q126</v>
      </c>
      <c r="AJ15" s="383">
        <v>6.59</v>
      </c>
    </row>
    <row r="16" spans="1:36" ht="15.75" thickBot="1" x14ac:dyDescent="0.3">
      <c r="B16" s="397" t="s">
        <v>241</v>
      </c>
      <c r="C16" s="375">
        <v>-7.89</v>
      </c>
      <c r="D16" s="396"/>
      <c r="E16" s="400"/>
      <c r="G16" s="373"/>
      <c r="H16" s="378" t="str">
        <f>B16</f>
        <v>Q1-26</v>
      </c>
      <c r="I16" s="375">
        <v>-3.73</v>
      </c>
      <c r="K16" s="379" t="str">
        <f t="shared" si="1"/>
        <v>Q1-26</v>
      </c>
      <c r="L16" s="375">
        <v>3.03</v>
      </c>
      <c r="N16" s="378" t="str">
        <f t="shared" si="10"/>
        <v>Q1/Q2</v>
      </c>
      <c r="O16" s="375">
        <v>4.33</v>
      </c>
      <c r="Q16" s="398" t="str">
        <f t="shared" si="7"/>
        <v>Q1-26</v>
      </c>
      <c r="R16" s="375">
        <v>8.32</v>
      </c>
      <c r="T16" s="378" t="str">
        <f>E34</f>
        <v>Q1/Q2</v>
      </c>
      <c r="U16" s="375">
        <v>5.5</v>
      </c>
      <c r="W16" s="399" t="str">
        <f t="shared" si="9"/>
        <v>Q1/Q2</v>
      </c>
      <c r="X16" s="375">
        <v>2.92</v>
      </c>
      <c r="Z16" s="379" t="str">
        <f t="shared" si="4"/>
        <v>Q1-26</v>
      </c>
      <c r="AA16" s="375">
        <v>33.6</v>
      </c>
      <c r="AC16" s="379" t="str">
        <f t="shared" si="5"/>
        <v>Q1-26</v>
      </c>
      <c r="AD16" s="375">
        <v>15.58</v>
      </c>
      <c r="AF16" s="377" t="str">
        <f t="shared" si="2"/>
        <v>Q1-26</v>
      </c>
      <c r="AG16" s="375">
        <v>-5.44</v>
      </c>
      <c r="AI16" s="379" t="str">
        <f t="shared" si="3"/>
        <v>Q1/Q2</v>
      </c>
      <c r="AJ16" s="375">
        <v>0.57999999999999996</v>
      </c>
    </row>
    <row r="17" spans="1:62" ht="15.75" thickBot="1" x14ac:dyDescent="0.3">
      <c r="B17" s="395" t="s">
        <v>242</v>
      </c>
      <c r="C17" s="381">
        <v>-7.88</v>
      </c>
      <c r="D17" s="373"/>
      <c r="F17" s="400"/>
      <c r="G17" s="373"/>
      <c r="H17" s="382" t="str">
        <f t="shared" ref="H17" si="11">B17</f>
        <v>Q2-26</v>
      </c>
      <c r="I17" s="383">
        <v>-3.72</v>
      </c>
      <c r="K17" s="386" t="str">
        <f>B17</f>
        <v>Q2-26</v>
      </c>
      <c r="L17" s="383">
        <v>2.46</v>
      </c>
      <c r="N17" s="390" t="str">
        <f>E35</f>
        <v>Q2/Q3</v>
      </c>
      <c r="O17" s="383">
        <v>4.42</v>
      </c>
      <c r="Q17" s="382" t="str">
        <f t="shared" si="7"/>
        <v>Q2-26</v>
      </c>
      <c r="R17" s="383">
        <v>7.56</v>
      </c>
      <c r="S17" s="363"/>
      <c r="T17" s="390" t="str">
        <f>E35</f>
        <v>Q2/Q3</v>
      </c>
      <c r="U17" s="383">
        <v>5.5</v>
      </c>
      <c r="W17" s="399" t="str">
        <f t="shared" si="9"/>
        <v>Q2/Q3</v>
      </c>
      <c r="X17" s="383">
        <v>8.08</v>
      </c>
      <c r="Z17" s="390" t="str">
        <f t="shared" si="4"/>
        <v>Q2-26</v>
      </c>
      <c r="AA17" s="383">
        <v>32.43</v>
      </c>
      <c r="AC17" s="390" t="str">
        <f t="shared" si="5"/>
        <v>Q2-26</v>
      </c>
      <c r="AD17" s="383">
        <v>13.25</v>
      </c>
      <c r="AF17" s="387" t="str">
        <f t="shared" si="2"/>
        <v>Q2-26</v>
      </c>
      <c r="AG17" s="383">
        <v>-5.8</v>
      </c>
      <c r="AH17" s="154"/>
      <c r="AI17" s="393" t="str">
        <f t="shared" si="3"/>
        <v>Q2/Q3</v>
      </c>
      <c r="AJ17" s="383">
        <v>4.42</v>
      </c>
    </row>
    <row r="18" spans="1:62" ht="15.75" thickBot="1" x14ac:dyDescent="0.3">
      <c r="B18" s="521" t="s">
        <v>183</v>
      </c>
      <c r="C18" s="523"/>
      <c r="D18" s="373"/>
      <c r="E18" s="400"/>
      <c r="F18" s="400"/>
      <c r="G18" s="373"/>
      <c r="H18" s="521" t="s">
        <v>184</v>
      </c>
      <c r="I18" s="523"/>
      <c r="K18" s="521" t="s">
        <v>185</v>
      </c>
      <c r="L18" s="523"/>
      <c r="N18" s="521" t="s">
        <v>184</v>
      </c>
      <c r="O18" s="523"/>
      <c r="Q18" s="521" t="s">
        <v>185</v>
      </c>
      <c r="R18" s="523"/>
      <c r="T18" s="521" t="s">
        <v>184</v>
      </c>
      <c r="U18" s="523"/>
      <c r="W18" s="521" t="s">
        <v>184</v>
      </c>
      <c r="X18" s="523"/>
      <c r="Z18" s="521" t="s">
        <v>184</v>
      </c>
      <c r="AA18" s="523"/>
      <c r="AC18" s="521" t="s">
        <v>184</v>
      </c>
      <c r="AD18" s="523"/>
      <c r="AF18" s="521" t="s">
        <v>184</v>
      </c>
      <c r="AG18" s="523"/>
      <c r="AI18" s="521" t="s">
        <v>184</v>
      </c>
      <c r="AJ18" s="523"/>
    </row>
    <row r="19" spans="1:62" ht="15.75" thickBot="1" x14ac:dyDescent="0.3">
      <c r="B19" s="524">
        <v>336</v>
      </c>
      <c r="C19" s="525"/>
      <c r="D19" s="373"/>
      <c r="E19" s="373"/>
      <c r="F19" s="400"/>
      <c r="G19" s="373"/>
      <c r="H19" s="524"/>
      <c r="I19" s="531"/>
      <c r="K19" s="528">
        <v>941</v>
      </c>
      <c r="L19" s="529"/>
      <c r="M19" s="373"/>
      <c r="N19" s="528">
        <v>417</v>
      </c>
      <c r="O19" s="529"/>
      <c r="P19" s="373"/>
      <c r="Q19" s="528">
        <v>1610</v>
      </c>
      <c r="R19" s="529"/>
      <c r="S19" s="373"/>
      <c r="T19" s="524">
        <v>480</v>
      </c>
      <c r="U19" s="525"/>
      <c r="V19" s="373"/>
      <c r="W19" s="524">
        <v>342</v>
      </c>
      <c r="X19" s="525"/>
      <c r="Y19" s="373"/>
      <c r="Z19" s="524">
        <v>59</v>
      </c>
      <c r="AA19" s="525"/>
      <c r="AB19" s="373"/>
      <c r="AC19" s="524">
        <v>143</v>
      </c>
      <c r="AD19" s="525"/>
      <c r="AE19" s="373"/>
      <c r="AF19" s="524">
        <v>111</v>
      </c>
      <c r="AG19" s="525"/>
      <c r="AI19" s="524">
        <v>371</v>
      </c>
      <c r="AJ19" s="525"/>
    </row>
    <row r="20" spans="1:62" ht="15.75" thickBot="1" x14ac:dyDescent="0.3">
      <c r="B20" s="521" t="s">
        <v>186</v>
      </c>
      <c r="C20" s="523"/>
      <c r="D20" s="373"/>
      <c r="E20" s="373"/>
      <c r="F20" s="400"/>
      <c r="G20" s="373"/>
      <c r="H20" s="521" t="s">
        <v>186</v>
      </c>
      <c r="I20" s="523"/>
      <c r="J20" s="373"/>
      <c r="K20" s="521" t="s">
        <v>186</v>
      </c>
      <c r="L20" s="523"/>
      <c r="M20" s="373"/>
      <c r="N20" s="521" t="s">
        <v>186</v>
      </c>
      <c r="O20" s="523"/>
      <c r="P20" s="373"/>
      <c r="Q20" s="521" t="s">
        <v>186</v>
      </c>
      <c r="R20" s="523"/>
      <c r="S20" s="373"/>
      <c r="T20" s="521" t="s">
        <v>186</v>
      </c>
      <c r="U20" s="523"/>
      <c r="V20" s="373"/>
      <c r="W20" s="521" t="s">
        <v>186</v>
      </c>
      <c r="X20" s="523"/>
      <c r="Y20" s="373"/>
      <c r="Z20" s="521" t="s">
        <v>186</v>
      </c>
      <c r="AA20" s="523"/>
      <c r="AB20" s="373"/>
      <c r="AC20" s="521" t="s">
        <v>186</v>
      </c>
      <c r="AD20" s="523"/>
      <c r="AE20" s="373"/>
      <c r="AF20" s="521" t="s">
        <v>186</v>
      </c>
      <c r="AG20" s="523"/>
      <c r="AI20" s="521" t="s">
        <v>186</v>
      </c>
      <c r="AJ20" s="523"/>
    </row>
    <row r="21" spans="1:62" ht="15.75" thickBot="1" x14ac:dyDescent="0.3">
      <c r="B21" s="528">
        <f>B19-B70</f>
        <v>175</v>
      </c>
      <c r="C21" s="529"/>
      <c r="D21" s="373"/>
      <c r="F21" s="400"/>
      <c r="G21" s="373"/>
      <c r="H21" s="528"/>
      <c r="I21" s="529"/>
      <c r="J21" s="373"/>
      <c r="K21" s="528">
        <f>K19-E70</f>
        <v>833</v>
      </c>
      <c r="L21" s="529"/>
      <c r="M21" s="373"/>
      <c r="N21" s="528">
        <f>N19-H70</f>
        <v>327</v>
      </c>
      <c r="O21" s="529"/>
      <c r="P21" s="373"/>
      <c r="Q21" s="528">
        <f>Q19-K70</f>
        <v>440</v>
      </c>
      <c r="R21" s="525"/>
      <c r="S21" s="373"/>
      <c r="T21" s="524">
        <f>T19-N70</f>
        <v>-20</v>
      </c>
      <c r="U21" s="525"/>
      <c r="V21" s="373"/>
      <c r="W21" s="524">
        <f>W19-Q70</f>
        <v>47</v>
      </c>
      <c r="X21" s="525"/>
      <c r="Y21" s="373"/>
      <c r="Z21" s="524">
        <f>Z19-T70</f>
        <v>58</v>
      </c>
      <c r="AA21" s="525"/>
      <c r="AB21" s="373"/>
      <c r="AC21" s="524">
        <f>AC19-W70</f>
        <v>111</v>
      </c>
      <c r="AD21" s="525"/>
      <c r="AF21" s="524">
        <f>AF19-Z70</f>
        <v>6</v>
      </c>
      <c r="AG21" s="525"/>
      <c r="AI21" s="524">
        <f>AI19-AC70</f>
        <v>281</v>
      </c>
      <c r="AJ21" s="525"/>
    </row>
    <row r="22" spans="1:62" ht="15.75" thickBot="1" x14ac:dyDescent="0.3">
      <c r="AZ22" s="373"/>
      <c r="BA22" s="373"/>
      <c r="BB22" s="373"/>
      <c r="BC22" s="373"/>
      <c r="BD22" s="373"/>
      <c r="BE22" s="373"/>
      <c r="BF22" s="373"/>
      <c r="BG22" s="373"/>
      <c r="BH22" s="373"/>
      <c r="BI22" s="373"/>
      <c r="BJ22" s="373"/>
    </row>
    <row r="23" spans="1:62" ht="15.75" thickBot="1" x14ac:dyDescent="0.3">
      <c r="B23" s="521" t="s">
        <v>187</v>
      </c>
      <c r="C23" s="522"/>
      <c r="D23" s="373"/>
      <c r="E23" s="521" t="s">
        <v>188</v>
      </c>
      <c r="F23" s="523"/>
      <c r="G23" s="373"/>
      <c r="H23" s="521" t="s">
        <v>189</v>
      </c>
      <c r="I23" s="522"/>
      <c r="J23" s="373"/>
      <c r="K23" s="521" t="s">
        <v>190</v>
      </c>
      <c r="L23" s="522"/>
      <c r="M23" s="373"/>
      <c r="N23" s="521" t="s">
        <v>191</v>
      </c>
      <c r="O23" s="522"/>
      <c r="P23" s="373"/>
      <c r="Q23" s="521" t="s">
        <v>192</v>
      </c>
      <c r="R23" s="522"/>
      <c r="S23" s="373"/>
      <c r="T23" s="521" t="s">
        <v>193</v>
      </c>
      <c r="U23" s="522"/>
      <c r="V23" s="373"/>
      <c r="W23" s="521" t="s">
        <v>194</v>
      </c>
      <c r="X23" s="522"/>
      <c r="Y23" s="373"/>
      <c r="Z23" s="521" t="s">
        <v>195</v>
      </c>
      <c r="AA23" s="522"/>
      <c r="AB23" s="373"/>
      <c r="AC23" s="521" t="s">
        <v>196</v>
      </c>
      <c r="AD23" s="522"/>
      <c r="AE23" s="373"/>
      <c r="AF23" s="521" t="s">
        <v>197</v>
      </c>
      <c r="AG23" s="522"/>
      <c r="AZ23" s="373"/>
      <c r="BA23" s="373"/>
      <c r="BB23" s="373"/>
      <c r="BC23" s="373"/>
      <c r="BD23" s="373"/>
      <c r="BE23" s="373"/>
      <c r="BF23" s="373"/>
      <c r="BG23" s="373"/>
      <c r="BH23" s="373"/>
      <c r="BI23" s="373"/>
      <c r="BJ23" s="373"/>
    </row>
    <row r="24" spans="1:62" ht="15.75" thickBot="1" x14ac:dyDescent="0.3">
      <c r="A24" s="2">
        <f>DATE(YEAR(B24), MONTH(B24), 1)</f>
        <v>45870</v>
      </c>
      <c r="B24" s="377">
        <f>B6</f>
        <v>45893</v>
      </c>
      <c r="C24" s="401">
        <f>C25+F24</f>
        <v>58.350000000000009</v>
      </c>
      <c r="D24" s="373"/>
      <c r="E24" s="397" t="s">
        <v>199</v>
      </c>
      <c r="F24" s="375">
        <v>0.6</v>
      </c>
      <c r="G24" s="373"/>
      <c r="H24" s="377">
        <f>B6</f>
        <v>45893</v>
      </c>
      <c r="I24" s="375">
        <v>-2.3199999999999998</v>
      </c>
      <c r="J24" s="373"/>
      <c r="K24" s="377">
        <f t="shared" ref="K24:K35" si="12">B6</f>
        <v>45893</v>
      </c>
      <c r="L24" s="401">
        <f>I24+C6</f>
        <v>-8.7099999999999991</v>
      </c>
      <c r="M24" s="396"/>
      <c r="N24" s="377">
        <f>B6</f>
        <v>45893</v>
      </c>
      <c r="O24" s="402"/>
      <c r="P24" s="373"/>
      <c r="Q24" s="377">
        <f t="shared" ref="Q24:Q34" si="13">B6</f>
        <v>45893</v>
      </c>
      <c r="R24" s="401">
        <f>R25+U24</f>
        <v>75.25</v>
      </c>
      <c r="S24" s="373"/>
      <c r="T24" s="378" t="str">
        <f>E24</f>
        <v>Aug/Sep</v>
      </c>
      <c r="U24" s="375">
        <v>1.6</v>
      </c>
      <c r="V24" s="2">
        <f>DATE(YEAR(W24), MONTH(W24), 1)</f>
        <v>45870</v>
      </c>
      <c r="W24" s="377">
        <f t="shared" ref="W24:W35" si="14">B6</f>
        <v>45893</v>
      </c>
      <c r="X24" s="375">
        <v>3.82</v>
      </c>
      <c r="Y24" s="373"/>
      <c r="Z24" s="377">
        <f t="shared" ref="Z24:Z35" si="15">B6</f>
        <v>45893</v>
      </c>
      <c r="AA24" s="375">
        <v>8.14</v>
      </c>
      <c r="AB24" s="373"/>
      <c r="AC24" s="377">
        <f t="shared" ref="AC24:AC35" si="16">B6</f>
        <v>45893</v>
      </c>
      <c r="AD24" s="375">
        <v>3.35</v>
      </c>
      <c r="AE24" s="373"/>
      <c r="AF24" s="377">
        <f>B6</f>
        <v>45893</v>
      </c>
      <c r="AG24" s="375">
        <f>AG25+AJ6</f>
        <v>385.46050000000002</v>
      </c>
      <c r="AZ24" s="373"/>
      <c r="BA24" s="373"/>
      <c r="BB24" s="373"/>
      <c r="BC24" s="373"/>
      <c r="BD24" s="373"/>
      <c r="BE24" s="373"/>
      <c r="BF24" s="373"/>
      <c r="BG24" s="373"/>
      <c r="BH24" s="373"/>
      <c r="BI24" s="373"/>
      <c r="BJ24" s="373"/>
    </row>
    <row r="25" spans="1:62" ht="18" customHeight="1" thickBot="1" x14ac:dyDescent="0.3">
      <c r="A25" s="2">
        <f t="shared" ref="A25:A32" si="17">DATE(YEAR(B25), MONTH(B25), 1)</f>
        <v>45901</v>
      </c>
      <c r="B25" s="387">
        <f t="shared" ref="B25:B34" si="18">B7</f>
        <v>45924</v>
      </c>
      <c r="C25" s="402">
        <f>F6+L25</f>
        <v>57.750000000000007</v>
      </c>
      <c r="D25" s="373"/>
      <c r="E25" s="403" t="s">
        <v>200</v>
      </c>
      <c r="F25" s="381">
        <v>1.1000000000000001</v>
      </c>
      <c r="G25" s="373"/>
      <c r="H25" s="384">
        <f>B7</f>
        <v>45924</v>
      </c>
      <c r="I25" s="383">
        <v>-2.4500000000000002</v>
      </c>
      <c r="J25" s="373"/>
      <c r="K25" s="384">
        <f t="shared" si="12"/>
        <v>45924</v>
      </c>
      <c r="L25" s="402">
        <f>SUM(I25,C7)-0.03</f>
        <v>-8.93</v>
      </c>
      <c r="M25" s="396"/>
      <c r="N25" s="384">
        <f t="shared" ref="N25:N34" si="19">B7</f>
        <v>45924</v>
      </c>
      <c r="O25" s="402">
        <f>C25-AF60-I7</f>
        <v>-5.39</v>
      </c>
      <c r="P25" s="396"/>
      <c r="Q25" s="384">
        <f t="shared" si="13"/>
        <v>45924</v>
      </c>
      <c r="R25" s="404">
        <f>SUM(F6,AA25)+0.02</f>
        <v>73.650000000000006</v>
      </c>
      <c r="S25" s="373"/>
      <c r="T25" s="388" t="str">
        <f t="shared" ref="T25:T34" si="20">E25</f>
        <v>Sep/Oct</v>
      </c>
      <c r="U25" s="383">
        <v>1.05</v>
      </c>
      <c r="V25" s="2">
        <f t="shared" ref="V25:V32" si="21">DATE(YEAR(W25), MONTH(W25), 1)</f>
        <v>45901</v>
      </c>
      <c r="W25" s="384">
        <f t="shared" si="14"/>
        <v>45924</v>
      </c>
      <c r="X25" s="383">
        <v>2.5</v>
      </c>
      <c r="Y25" s="373"/>
      <c r="Z25" s="384">
        <f t="shared" si="15"/>
        <v>45924</v>
      </c>
      <c r="AA25" s="383">
        <v>6.95</v>
      </c>
      <c r="AB25" s="373"/>
      <c r="AC25" s="384">
        <f t="shared" si="16"/>
        <v>45924</v>
      </c>
      <c r="AD25" s="383">
        <v>4.22</v>
      </c>
      <c r="AE25" s="373"/>
      <c r="AF25" s="387">
        <f t="shared" ref="AF25:AF34" si="22">B7</f>
        <v>45924</v>
      </c>
      <c r="AG25" s="383">
        <f>(F6+C7)*6.35</f>
        <v>382.46050000000002</v>
      </c>
      <c r="AZ25" s="373"/>
      <c r="BA25" s="373"/>
      <c r="BB25" s="373"/>
      <c r="BC25" s="373"/>
      <c r="BD25" s="373"/>
      <c r="BE25" s="373"/>
      <c r="BF25" s="373"/>
      <c r="BG25" s="373"/>
      <c r="BH25" s="373"/>
      <c r="BI25" s="373"/>
      <c r="BJ25" s="373"/>
    </row>
    <row r="26" spans="1:62" ht="15.75" thickBot="1" x14ac:dyDescent="0.3">
      <c r="A26" s="2">
        <f t="shared" si="17"/>
        <v>45931</v>
      </c>
      <c r="B26" s="377">
        <f t="shared" si="18"/>
        <v>45954</v>
      </c>
      <c r="C26" s="401">
        <f t="shared" ref="C26:C32" si="23">C25-F25</f>
        <v>56.650000000000006</v>
      </c>
      <c r="D26" s="373"/>
      <c r="E26" s="397" t="s">
        <v>201</v>
      </c>
      <c r="F26" s="375">
        <v>0.65</v>
      </c>
      <c r="G26" s="373"/>
      <c r="H26" s="377">
        <f t="shared" ref="H26:H35" si="24">B8</f>
        <v>45954</v>
      </c>
      <c r="I26" s="375">
        <v>-2.92</v>
      </c>
      <c r="J26" s="373"/>
      <c r="K26" s="377">
        <f t="shared" si="12"/>
        <v>45954</v>
      </c>
      <c r="L26" s="401">
        <f>SUM(I26,C8)</f>
        <v>-9.59</v>
      </c>
      <c r="M26" s="396"/>
      <c r="N26" s="377">
        <f t="shared" si="19"/>
        <v>45954</v>
      </c>
      <c r="O26" s="401">
        <f>C26-AF61-I8</f>
        <v>-6.0299999999999994</v>
      </c>
      <c r="P26" s="396"/>
      <c r="Q26" s="377">
        <f t="shared" si="13"/>
        <v>45954</v>
      </c>
      <c r="R26" s="401">
        <f>R25-U25</f>
        <v>72.600000000000009</v>
      </c>
      <c r="S26" s="373"/>
      <c r="T26" s="399" t="str">
        <f t="shared" si="20"/>
        <v>Oct/Nov</v>
      </c>
      <c r="U26" s="375">
        <v>0.55000000000000004</v>
      </c>
      <c r="V26" s="2">
        <f t="shared" si="21"/>
        <v>45931</v>
      </c>
      <c r="W26" s="377">
        <f t="shared" si="14"/>
        <v>45954</v>
      </c>
      <c r="X26" s="375">
        <v>2.2000000000000002</v>
      </c>
      <c r="Y26" s="373"/>
      <c r="Z26" s="377">
        <f t="shared" si="15"/>
        <v>45954</v>
      </c>
      <c r="AA26" s="375">
        <v>6.31</v>
      </c>
      <c r="AB26" s="373"/>
      <c r="AC26" s="377">
        <f>B8</f>
        <v>45954</v>
      </c>
      <c r="AD26" s="375">
        <v>5.16</v>
      </c>
      <c r="AE26" s="373"/>
      <c r="AF26" s="377">
        <f t="shared" si="22"/>
        <v>45954</v>
      </c>
      <c r="AG26" s="375">
        <f t="shared" ref="AG26:AG32" si="25">AG25-AJ7</f>
        <v>378.46050000000002</v>
      </c>
      <c r="AZ26" s="373"/>
      <c r="BA26" s="373"/>
      <c r="BB26" s="373"/>
      <c r="BC26" s="373"/>
      <c r="BD26" s="373"/>
      <c r="BE26" s="373"/>
      <c r="BF26" s="373"/>
      <c r="BG26" s="373"/>
      <c r="BH26" s="373"/>
      <c r="BI26" s="373"/>
      <c r="BJ26" s="373"/>
    </row>
    <row r="27" spans="1:62" ht="15.75" thickBot="1" x14ac:dyDescent="0.3">
      <c r="A27" s="2">
        <f t="shared" si="17"/>
        <v>45962</v>
      </c>
      <c r="B27" s="387">
        <f t="shared" si="18"/>
        <v>45985</v>
      </c>
      <c r="C27" s="402">
        <f t="shared" si="23"/>
        <v>56.000000000000007</v>
      </c>
      <c r="D27" s="373"/>
      <c r="E27" s="395" t="s">
        <v>202</v>
      </c>
      <c r="F27" s="381">
        <v>0.4</v>
      </c>
      <c r="G27" s="373"/>
      <c r="H27" s="387">
        <f t="shared" si="24"/>
        <v>45985</v>
      </c>
      <c r="I27" s="381">
        <v>-2.82</v>
      </c>
      <c r="J27" s="373"/>
      <c r="K27" s="387">
        <f t="shared" si="12"/>
        <v>45985</v>
      </c>
      <c r="L27" s="402">
        <f t="shared" ref="L27:L32" si="26">SUM(I27,C9)</f>
        <v>-9.9700000000000006</v>
      </c>
      <c r="M27" s="396"/>
      <c r="N27" s="387">
        <f t="shared" si="19"/>
        <v>45985</v>
      </c>
      <c r="O27" s="405">
        <f t="shared" ref="O27:O31" si="27">C27-AF62-I9</f>
        <v>-6.3899999999999935</v>
      </c>
      <c r="P27" s="373"/>
      <c r="Q27" s="387">
        <f t="shared" si="13"/>
        <v>45985</v>
      </c>
      <c r="R27" s="402">
        <f t="shared" ref="R27:R32" si="28">R26-U26</f>
        <v>72.050000000000011</v>
      </c>
      <c r="S27" s="373"/>
      <c r="T27" s="388" t="str">
        <f t="shared" si="20"/>
        <v>Nov/Dec</v>
      </c>
      <c r="U27" s="381">
        <v>0.45</v>
      </c>
      <c r="V27" s="2">
        <f t="shared" si="21"/>
        <v>45962</v>
      </c>
      <c r="W27" s="387">
        <f t="shared" si="14"/>
        <v>45985</v>
      </c>
      <c r="X27" s="381">
        <v>2.2400000000000002</v>
      </c>
      <c r="Y27" s="373"/>
      <c r="Z27" s="387">
        <f t="shared" si="15"/>
        <v>45985</v>
      </c>
      <c r="AA27" s="381">
        <v>6.02</v>
      </c>
      <c r="AB27" s="373"/>
      <c r="AC27" s="387">
        <f t="shared" si="16"/>
        <v>45985</v>
      </c>
      <c r="AD27" s="381">
        <v>5.22</v>
      </c>
      <c r="AE27" s="373"/>
      <c r="AF27" s="387">
        <f t="shared" si="22"/>
        <v>45985</v>
      </c>
      <c r="AG27" s="381">
        <f t="shared" si="25"/>
        <v>373.71050000000002</v>
      </c>
      <c r="AZ27" s="373"/>
      <c r="BA27" s="373"/>
      <c r="BB27" s="373"/>
      <c r="BC27" s="373"/>
      <c r="BD27" s="373"/>
      <c r="BE27" s="373"/>
      <c r="BF27" s="373"/>
      <c r="BG27" s="373"/>
      <c r="BH27" s="373"/>
      <c r="BI27" s="373"/>
      <c r="BJ27" s="373"/>
    </row>
    <row r="28" spans="1:62" ht="15.75" thickBot="1" x14ac:dyDescent="0.3">
      <c r="A28" s="2">
        <f t="shared" si="17"/>
        <v>45992</v>
      </c>
      <c r="B28" s="377">
        <f t="shared" si="18"/>
        <v>46015</v>
      </c>
      <c r="C28" s="401">
        <f t="shared" si="23"/>
        <v>55.600000000000009</v>
      </c>
      <c r="D28" s="373"/>
      <c r="E28" s="397" t="s">
        <v>203</v>
      </c>
      <c r="F28" s="375">
        <v>0.2</v>
      </c>
      <c r="G28" s="373"/>
      <c r="H28" s="377">
        <f t="shared" si="24"/>
        <v>46015</v>
      </c>
      <c r="I28" s="375">
        <v>-2.67</v>
      </c>
      <c r="J28" s="373"/>
      <c r="K28" s="377">
        <f t="shared" si="12"/>
        <v>46015</v>
      </c>
      <c r="L28" s="401">
        <f t="shared" si="26"/>
        <v>-10.23</v>
      </c>
      <c r="M28" s="396"/>
      <c r="N28" s="377">
        <f t="shared" si="19"/>
        <v>46015</v>
      </c>
      <c r="O28" s="401">
        <f>C28-AF63-I10</f>
        <v>-6.5999999999999908</v>
      </c>
      <c r="P28" s="373"/>
      <c r="Q28" s="377">
        <f t="shared" si="13"/>
        <v>46015</v>
      </c>
      <c r="R28" s="401">
        <f t="shared" si="28"/>
        <v>71.600000000000009</v>
      </c>
      <c r="S28" s="373"/>
      <c r="T28" s="399" t="str">
        <f t="shared" si="20"/>
        <v>Dec/Jan</v>
      </c>
      <c r="U28" s="375">
        <v>0.36</v>
      </c>
      <c r="V28" s="2">
        <f t="shared" si="21"/>
        <v>45992</v>
      </c>
      <c r="W28" s="377">
        <f t="shared" si="14"/>
        <v>46015</v>
      </c>
      <c r="X28" s="375">
        <v>2.1800000000000002</v>
      </c>
      <c r="Y28" s="373"/>
      <c r="Z28" s="377">
        <f t="shared" si="15"/>
        <v>46015</v>
      </c>
      <c r="AA28" s="375">
        <v>5.72</v>
      </c>
      <c r="AB28" s="373"/>
      <c r="AC28" s="377">
        <f t="shared" si="16"/>
        <v>46015</v>
      </c>
      <c r="AD28" s="375">
        <v>5.15</v>
      </c>
      <c r="AE28" s="373"/>
      <c r="AF28" s="377">
        <f t="shared" si="22"/>
        <v>46015</v>
      </c>
      <c r="AG28" s="375">
        <f t="shared" si="25"/>
        <v>370.21050000000002</v>
      </c>
      <c r="AZ28" s="373"/>
      <c r="BA28" s="373"/>
      <c r="BB28" s="373"/>
      <c r="BC28" s="373"/>
      <c r="BD28" s="373"/>
      <c r="BE28" s="373"/>
      <c r="BF28" s="373"/>
      <c r="BG28" s="373"/>
      <c r="BH28" s="373"/>
      <c r="BI28" s="373"/>
      <c r="BJ28" s="373"/>
    </row>
    <row r="29" spans="1:62" ht="15.75" thickBot="1" x14ac:dyDescent="0.3">
      <c r="A29" s="2">
        <f t="shared" si="17"/>
        <v>46023</v>
      </c>
      <c r="B29" s="387">
        <f t="shared" si="18"/>
        <v>46047</v>
      </c>
      <c r="C29" s="402">
        <f t="shared" si="23"/>
        <v>55.400000000000006</v>
      </c>
      <c r="D29" s="373"/>
      <c r="E29" s="395" t="s">
        <v>243</v>
      </c>
      <c r="F29" s="381">
        <v>0.15</v>
      </c>
      <c r="G29" s="373"/>
      <c r="H29" s="387">
        <f t="shared" si="24"/>
        <v>46047</v>
      </c>
      <c r="I29" s="381">
        <v>-2.59</v>
      </c>
      <c r="J29" s="373"/>
      <c r="K29" s="387">
        <f t="shared" si="12"/>
        <v>46047</v>
      </c>
      <c r="L29" s="402">
        <f t="shared" si="26"/>
        <v>-10.370000000000001</v>
      </c>
      <c r="M29" s="396"/>
      <c r="N29" s="387">
        <f t="shared" si="19"/>
        <v>46047</v>
      </c>
      <c r="O29" s="405">
        <f t="shared" si="27"/>
        <v>-6.6899999999999915</v>
      </c>
      <c r="P29" s="373"/>
      <c r="Q29" s="387">
        <f t="shared" si="13"/>
        <v>46047</v>
      </c>
      <c r="R29" s="402">
        <f t="shared" si="28"/>
        <v>71.240000000000009</v>
      </c>
      <c r="S29" s="373"/>
      <c r="T29" s="388" t="str">
        <f t="shared" si="20"/>
        <v>Jan/Feb</v>
      </c>
      <c r="U29" s="381">
        <v>0.28000000000000003</v>
      </c>
      <c r="V29" s="2">
        <f t="shared" si="21"/>
        <v>46023</v>
      </c>
      <c r="W29" s="387">
        <f t="shared" si="14"/>
        <v>46047</v>
      </c>
      <c r="X29" s="381">
        <v>2.13</v>
      </c>
      <c r="Y29" s="373"/>
      <c r="Z29" s="387">
        <f t="shared" si="15"/>
        <v>46047</v>
      </c>
      <c r="AA29" s="381">
        <v>5.41</v>
      </c>
      <c r="AB29" s="373"/>
      <c r="AC29" s="387">
        <f t="shared" si="16"/>
        <v>46047</v>
      </c>
      <c r="AD29" s="381">
        <v>5.07</v>
      </c>
      <c r="AE29" s="373"/>
      <c r="AF29" s="387">
        <f t="shared" si="22"/>
        <v>46047</v>
      </c>
      <c r="AG29" s="381">
        <f t="shared" si="25"/>
        <v>368.46050000000002</v>
      </c>
      <c r="AI29" s="363"/>
      <c r="AZ29" s="373"/>
      <c r="BA29" s="373"/>
      <c r="BB29" s="373"/>
      <c r="BC29" s="373"/>
      <c r="BD29" s="373"/>
      <c r="BE29" s="373"/>
      <c r="BF29" s="373"/>
      <c r="BG29" s="373"/>
      <c r="BH29" s="373"/>
      <c r="BI29" s="373"/>
      <c r="BJ29" s="373"/>
    </row>
    <row r="30" spans="1:62" ht="15.75" thickBot="1" x14ac:dyDescent="0.3">
      <c r="A30" s="2">
        <f t="shared" si="17"/>
        <v>46054</v>
      </c>
      <c r="B30" s="377">
        <f t="shared" si="18"/>
        <v>46078</v>
      </c>
      <c r="C30" s="401">
        <f t="shared" si="23"/>
        <v>55.250000000000007</v>
      </c>
      <c r="D30" s="373"/>
      <c r="E30" s="397" t="s">
        <v>244</v>
      </c>
      <c r="F30" s="375">
        <v>-0.01</v>
      </c>
      <c r="G30" s="373"/>
      <c r="H30" s="377">
        <f t="shared" si="24"/>
        <v>46078</v>
      </c>
      <c r="I30" s="442">
        <v>-2.54</v>
      </c>
      <c r="J30" s="373"/>
      <c r="K30" s="377">
        <f t="shared" si="12"/>
        <v>46078</v>
      </c>
      <c r="L30" s="401">
        <f t="shared" si="26"/>
        <v>-10.49</v>
      </c>
      <c r="M30" s="396"/>
      <c r="N30" s="377">
        <f t="shared" si="19"/>
        <v>46078</v>
      </c>
      <c r="O30" s="401">
        <f t="shared" si="27"/>
        <v>-6.7799999999999976</v>
      </c>
      <c r="P30" s="373"/>
      <c r="Q30" s="377">
        <f t="shared" si="13"/>
        <v>46078</v>
      </c>
      <c r="R30" s="401">
        <f t="shared" si="28"/>
        <v>70.960000000000008</v>
      </c>
      <c r="S30" s="373"/>
      <c r="T30" s="399" t="str">
        <f t="shared" si="20"/>
        <v>Feb/Mar</v>
      </c>
      <c r="U30" s="375">
        <v>0.28000000000000003</v>
      </c>
      <c r="V30" s="2">
        <f t="shared" si="21"/>
        <v>46054</v>
      </c>
      <c r="W30" s="377">
        <f t="shared" si="14"/>
        <v>46078</v>
      </c>
      <c r="X30" s="375">
        <v>2.13</v>
      </c>
      <c r="Y30" s="373"/>
      <c r="Z30" s="377">
        <f t="shared" si="15"/>
        <v>46078</v>
      </c>
      <c r="AA30" s="375">
        <v>5.17</v>
      </c>
      <c r="AB30" s="373"/>
      <c r="AC30" s="377">
        <f t="shared" si="16"/>
        <v>46078</v>
      </c>
      <c r="AD30" s="375">
        <v>5.0199999999999996</v>
      </c>
      <c r="AE30" s="373"/>
      <c r="AF30" s="377">
        <f t="shared" si="22"/>
        <v>46078</v>
      </c>
      <c r="AG30" s="375">
        <f t="shared" si="25"/>
        <v>367.21050000000002</v>
      </c>
      <c r="AI30" s="363"/>
      <c r="AZ30" s="373"/>
      <c r="BA30" s="373"/>
      <c r="BB30" s="373"/>
      <c r="BC30" s="373"/>
      <c r="BD30" s="373"/>
      <c r="BE30" s="373"/>
      <c r="BF30" s="373"/>
      <c r="BG30" s="373"/>
      <c r="BH30" s="373"/>
      <c r="BI30" s="373"/>
      <c r="BJ30" s="373"/>
    </row>
    <row r="31" spans="1:62" ht="15.75" thickBot="1" x14ac:dyDescent="0.3">
      <c r="A31" s="2">
        <f t="shared" si="17"/>
        <v>46082</v>
      </c>
      <c r="B31" s="387">
        <f t="shared" si="18"/>
        <v>46086</v>
      </c>
      <c r="C31" s="402">
        <f t="shared" si="23"/>
        <v>55.260000000000005</v>
      </c>
      <c r="D31" s="373"/>
      <c r="E31" s="395" t="s">
        <v>245</v>
      </c>
      <c r="F31" s="381">
        <v>-0.05</v>
      </c>
      <c r="G31" s="373"/>
      <c r="H31" s="387">
        <f t="shared" si="24"/>
        <v>46086</v>
      </c>
      <c r="I31" s="381">
        <v>-2.4900000000000002</v>
      </c>
      <c r="J31" s="373"/>
      <c r="K31" s="387">
        <f t="shared" si="12"/>
        <v>46086</v>
      </c>
      <c r="L31" s="402">
        <f t="shared" si="26"/>
        <v>-10.45</v>
      </c>
      <c r="M31" s="396"/>
      <c r="N31" s="387">
        <f t="shared" si="19"/>
        <v>46086</v>
      </c>
      <c r="O31" s="405">
        <f t="shared" si="27"/>
        <v>-6.7299999999999986</v>
      </c>
      <c r="P31" s="396"/>
      <c r="Q31" s="387">
        <f t="shared" si="13"/>
        <v>46086</v>
      </c>
      <c r="R31" s="402">
        <f t="shared" si="28"/>
        <v>70.680000000000007</v>
      </c>
      <c r="S31" s="373"/>
      <c r="T31" s="388" t="str">
        <f t="shared" si="20"/>
        <v>Mar/Apr</v>
      </c>
      <c r="U31" s="381">
        <v>0.2</v>
      </c>
      <c r="V31" s="2">
        <f t="shared" si="21"/>
        <v>46082</v>
      </c>
      <c r="W31" s="387">
        <f t="shared" si="14"/>
        <v>46086</v>
      </c>
      <c r="X31" s="381">
        <v>2.13</v>
      </c>
      <c r="Y31" s="373"/>
      <c r="Z31" s="387">
        <f t="shared" si="15"/>
        <v>46086</v>
      </c>
      <c r="AA31" s="381">
        <v>4.92</v>
      </c>
      <c r="AB31" s="373"/>
      <c r="AC31" s="387">
        <f t="shared" si="16"/>
        <v>46086</v>
      </c>
      <c r="AD31" s="381">
        <v>4.8899999999999997</v>
      </c>
      <c r="AE31" s="373"/>
      <c r="AF31" s="387">
        <f t="shared" si="22"/>
        <v>46086</v>
      </c>
      <c r="AG31" s="381">
        <f t="shared" si="25"/>
        <v>366.96050000000002</v>
      </c>
      <c r="AZ31" s="373"/>
      <c r="BA31" s="373"/>
      <c r="BB31" s="373"/>
      <c r="BC31" s="373"/>
      <c r="BD31" s="373"/>
      <c r="BE31" s="373"/>
      <c r="BF31" s="373"/>
      <c r="BG31" s="373"/>
      <c r="BH31" s="373"/>
      <c r="BI31" s="373"/>
      <c r="BJ31" s="373"/>
    </row>
    <row r="32" spans="1:62" ht="15.75" thickBot="1" x14ac:dyDescent="0.3">
      <c r="A32" s="2">
        <f t="shared" si="17"/>
        <v>46113</v>
      </c>
      <c r="B32" s="406">
        <f t="shared" si="18"/>
        <v>46137</v>
      </c>
      <c r="C32" s="401">
        <f t="shared" si="23"/>
        <v>55.31</v>
      </c>
      <c r="D32" s="373"/>
      <c r="E32" s="397" t="s">
        <v>198</v>
      </c>
      <c r="F32" s="375">
        <v>-0.05</v>
      </c>
      <c r="G32" s="373"/>
      <c r="H32" s="377">
        <f t="shared" si="24"/>
        <v>46137</v>
      </c>
      <c r="I32" s="442">
        <v>-2.44</v>
      </c>
      <c r="J32" s="373"/>
      <c r="K32" s="377">
        <f t="shared" si="12"/>
        <v>46137</v>
      </c>
      <c r="L32" s="401">
        <f t="shared" si="26"/>
        <v>-10.37</v>
      </c>
      <c r="M32" s="396"/>
      <c r="N32" s="377">
        <f t="shared" si="19"/>
        <v>46137</v>
      </c>
      <c r="O32" s="401">
        <f>C32-AF67-I14</f>
        <v>-6.66</v>
      </c>
      <c r="P32" s="396"/>
      <c r="Q32" s="377">
        <f t="shared" si="13"/>
        <v>46137</v>
      </c>
      <c r="R32" s="401">
        <f t="shared" si="28"/>
        <v>70.48</v>
      </c>
      <c r="S32" s="373"/>
      <c r="T32" s="399" t="str">
        <f t="shared" si="20"/>
        <v>Apr/May</v>
      </c>
      <c r="U32" s="375">
        <v>0.2</v>
      </c>
      <c r="V32" s="2">
        <f t="shared" si="21"/>
        <v>46113</v>
      </c>
      <c r="W32" s="377">
        <f t="shared" si="14"/>
        <v>46137</v>
      </c>
      <c r="X32" s="375">
        <v>2.13</v>
      </c>
      <c r="Y32" s="373"/>
      <c r="Z32" s="377">
        <f t="shared" si="15"/>
        <v>46137</v>
      </c>
      <c r="AA32" s="375">
        <v>4.75</v>
      </c>
      <c r="AB32" s="373"/>
      <c r="AC32" s="377">
        <f t="shared" si="16"/>
        <v>46137</v>
      </c>
      <c r="AD32" s="375">
        <v>4.72</v>
      </c>
      <c r="AE32" s="373"/>
      <c r="AF32" s="377">
        <f t="shared" si="22"/>
        <v>46137</v>
      </c>
      <c r="AG32" s="375">
        <f t="shared" si="25"/>
        <v>366.96050000000002</v>
      </c>
      <c r="AZ32" s="373"/>
      <c r="BA32" s="373"/>
      <c r="BB32" s="373"/>
      <c r="BC32" s="373"/>
      <c r="BD32" s="373"/>
      <c r="BE32" s="373"/>
      <c r="BF32" s="373"/>
      <c r="BG32" s="373"/>
      <c r="BH32" s="373"/>
      <c r="BI32" s="373"/>
      <c r="BJ32" s="373"/>
    </row>
    <row r="33" spans="2:62" ht="15.75" thickBot="1" x14ac:dyDescent="0.3">
      <c r="B33" s="392" t="str">
        <f t="shared" si="18"/>
        <v>Q4-25</v>
      </c>
      <c r="C33" s="402">
        <f>AVERAGE(C26:C28)</f>
        <v>56.083333333333336</v>
      </c>
      <c r="D33" s="373"/>
      <c r="E33" s="403" t="s">
        <v>205</v>
      </c>
      <c r="F33" s="383">
        <v>0.77</v>
      </c>
      <c r="G33" s="373"/>
      <c r="H33" s="382" t="str">
        <f t="shared" si="24"/>
        <v>Q4-25</v>
      </c>
      <c r="I33" s="383">
        <v>-2.8</v>
      </c>
      <c r="J33" s="373"/>
      <c r="K33" s="382" t="str">
        <f t="shared" si="12"/>
        <v>Q4-25</v>
      </c>
      <c r="L33" s="401">
        <f>I33+C15</f>
        <v>-9.93</v>
      </c>
      <c r="M33" s="396"/>
      <c r="N33" s="382" t="str">
        <f t="shared" si="19"/>
        <v>Q4-25</v>
      </c>
      <c r="O33" s="405">
        <f>AVERAGE(O26:O28)</f>
        <v>-6.3399999999999936</v>
      </c>
      <c r="P33" s="396"/>
      <c r="Q33" s="382" t="str">
        <f>B15</f>
        <v>Q4-25</v>
      </c>
      <c r="R33" s="407">
        <f>AVERAGE(R26:R28)</f>
        <v>72.083333333333357</v>
      </c>
      <c r="S33" s="373"/>
      <c r="T33" s="382" t="str">
        <f t="shared" si="20"/>
        <v>Q4/Q126</v>
      </c>
      <c r="U33" s="383">
        <v>1.1200000000000001</v>
      </c>
      <c r="V33" s="373"/>
      <c r="W33" s="382" t="str">
        <f t="shared" si="14"/>
        <v>Q4-25</v>
      </c>
      <c r="X33" s="383">
        <v>2.21</v>
      </c>
      <c r="Y33" s="373"/>
      <c r="Z33" s="382" t="str">
        <f t="shared" si="15"/>
        <v>Q4-25</v>
      </c>
      <c r="AA33" s="383">
        <v>6.02</v>
      </c>
      <c r="AB33" s="373"/>
      <c r="AC33" s="382" t="str">
        <f t="shared" si="16"/>
        <v>Q4-25</v>
      </c>
      <c r="AD33" s="383">
        <v>5.18</v>
      </c>
      <c r="AE33" s="373"/>
      <c r="AF33" s="387" t="str">
        <f t="shared" si="22"/>
        <v>Q4-25</v>
      </c>
      <c r="AG33" s="381">
        <f>AVERAGE(AG26:AG28)</f>
        <v>374.12716666666665</v>
      </c>
      <c r="AZ33" s="373"/>
      <c r="BA33" s="373"/>
      <c r="BB33" s="373"/>
      <c r="BC33" s="373"/>
      <c r="BD33" s="373"/>
      <c r="BE33" s="373"/>
      <c r="BF33" s="373"/>
      <c r="BG33" s="373"/>
      <c r="BH33" s="373"/>
      <c r="BI33" s="373"/>
      <c r="BJ33" s="373"/>
    </row>
    <row r="34" spans="2:62" ht="15.75" thickBot="1" x14ac:dyDescent="0.3">
      <c r="B34" s="399" t="str">
        <f t="shared" si="18"/>
        <v>Q1-26</v>
      </c>
      <c r="C34" s="408">
        <f>AVERAGE(C29:C31)</f>
        <v>55.303333333333342</v>
      </c>
      <c r="D34" s="373"/>
      <c r="E34" s="397" t="s">
        <v>246</v>
      </c>
      <c r="F34" s="375">
        <v>-0.05</v>
      </c>
      <c r="G34" s="373"/>
      <c r="H34" s="378" t="str">
        <f t="shared" si="24"/>
        <v>Q1-26</v>
      </c>
      <c r="I34" s="375">
        <v>-2.54</v>
      </c>
      <c r="J34" s="373"/>
      <c r="K34" s="378" t="str">
        <f t="shared" si="12"/>
        <v>Q1-26</v>
      </c>
      <c r="L34" s="401">
        <f>I34+C16</f>
        <v>-10.43</v>
      </c>
      <c r="M34" s="396"/>
      <c r="N34" s="378" t="str">
        <f t="shared" si="19"/>
        <v>Q1-26</v>
      </c>
      <c r="O34" s="401">
        <f>AVERAGE(O29:O31)</f>
        <v>-6.7333333333333298</v>
      </c>
      <c r="P34" s="373"/>
      <c r="Q34" s="378" t="str">
        <f t="shared" si="13"/>
        <v>Q1-26</v>
      </c>
      <c r="R34" s="401">
        <f>AVERAGE(R29:R31)</f>
        <v>70.960000000000008</v>
      </c>
      <c r="S34" s="373"/>
      <c r="T34" s="378" t="str">
        <f t="shared" si="20"/>
        <v>Q1/Q2</v>
      </c>
      <c r="U34" s="375">
        <v>0.69</v>
      </c>
      <c r="V34" s="373"/>
      <c r="W34" s="378" t="str">
        <f t="shared" si="14"/>
        <v>Q1-26</v>
      </c>
      <c r="X34" s="375">
        <v>2.13</v>
      </c>
      <c r="Y34" s="373"/>
      <c r="Z34" s="378" t="str">
        <f t="shared" si="15"/>
        <v>Q1-26</v>
      </c>
      <c r="AA34" s="375">
        <v>5.17</v>
      </c>
      <c r="AC34" s="378" t="str">
        <f t="shared" si="16"/>
        <v>Q1-26</v>
      </c>
      <c r="AD34" s="375">
        <v>4.99</v>
      </c>
      <c r="AE34" s="373"/>
      <c r="AF34" s="377" t="str">
        <f t="shared" si="22"/>
        <v>Q1-26</v>
      </c>
      <c r="AG34" s="375">
        <f>AVERAGE(AG29:AG31)</f>
        <v>367.54383333333334</v>
      </c>
      <c r="AZ34" s="373"/>
      <c r="BA34" s="373"/>
      <c r="BB34" s="373"/>
      <c r="BC34" s="373"/>
      <c r="BD34" s="373"/>
      <c r="BE34" s="373"/>
      <c r="BF34" s="373"/>
      <c r="BG34" s="373"/>
      <c r="BH34" s="373"/>
      <c r="BI34" s="373"/>
      <c r="BJ34" s="373"/>
    </row>
    <row r="35" spans="2:62" ht="15.75" thickBot="1" x14ac:dyDescent="0.3">
      <c r="B35" s="387"/>
      <c r="C35" s="402"/>
      <c r="D35" s="373"/>
      <c r="E35" s="403" t="s">
        <v>204</v>
      </c>
      <c r="F35" s="381">
        <v>0.08</v>
      </c>
      <c r="G35" s="373"/>
      <c r="H35" s="378" t="str">
        <f t="shared" si="24"/>
        <v>Q2-26</v>
      </c>
      <c r="I35" s="381">
        <v>-2.39</v>
      </c>
      <c r="J35" s="373"/>
      <c r="K35" s="378" t="str">
        <f t="shared" si="12"/>
        <v>Q2-26</v>
      </c>
      <c r="L35" s="402">
        <f>C17+I35</f>
        <v>-10.27</v>
      </c>
      <c r="M35" s="373"/>
      <c r="N35" s="378"/>
      <c r="O35" s="405"/>
      <c r="P35" s="363"/>
      <c r="Q35" s="378"/>
      <c r="R35" s="407"/>
      <c r="S35" s="373"/>
      <c r="T35" s="409" t="str">
        <f>E35</f>
        <v>Q2/Q3</v>
      </c>
      <c r="U35" s="383">
        <v>0.79</v>
      </c>
      <c r="V35" s="373"/>
      <c r="W35" s="382" t="str">
        <f t="shared" si="14"/>
        <v>Q2-26</v>
      </c>
      <c r="X35" s="383">
        <v>2.13</v>
      </c>
      <c r="Y35" s="373"/>
      <c r="Z35" s="378" t="str">
        <f t="shared" si="15"/>
        <v>Q2-26</v>
      </c>
      <c r="AA35" s="383">
        <v>4.59</v>
      </c>
      <c r="AB35" s="373"/>
      <c r="AC35" s="378" t="str">
        <f t="shared" si="16"/>
        <v>Q2-26</v>
      </c>
      <c r="AD35" s="383">
        <v>4.4800000000000004</v>
      </c>
      <c r="AE35" s="373"/>
      <c r="AF35" s="377"/>
      <c r="AG35" s="381"/>
      <c r="AZ35" s="373"/>
      <c r="BA35" s="373"/>
      <c r="BB35" s="373"/>
      <c r="BC35" s="373"/>
      <c r="BD35" s="373"/>
      <c r="BE35" s="373"/>
      <c r="BF35" s="373"/>
      <c r="BG35" s="373"/>
      <c r="BH35" s="373"/>
      <c r="BI35" s="373"/>
      <c r="BJ35" s="373"/>
    </row>
    <row r="36" spans="2:62" ht="15.75" thickBot="1" x14ac:dyDescent="0.3">
      <c r="B36" s="521" t="s">
        <v>206</v>
      </c>
      <c r="C36" s="523"/>
      <c r="D36" s="373"/>
      <c r="E36" s="521" t="s">
        <v>184</v>
      </c>
      <c r="F36" s="523"/>
      <c r="G36" s="373"/>
      <c r="H36" s="521" t="s">
        <v>184</v>
      </c>
      <c r="I36" s="523"/>
      <c r="J36" s="373"/>
      <c r="K36" s="521" t="s">
        <v>184</v>
      </c>
      <c r="L36" s="523"/>
      <c r="M36" s="373"/>
      <c r="N36" s="521" t="s">
        <v>184</v>
      </c>
      <c r="O36" s="523"/>
      <c r="P36" s="373"/>
      <c r="Q36" s="521" t="s">
        <v>184</v>
      </c>
      <c r="R36" s="523"/>
      <c r="S36" s="373"/>
      <c r="T36" s="521" t="s">
        <v>184</v>
      </c>
      <c r="U36" s="523"/>
      <c r="V36" s="373"/>
      <c r="W36" s="521" t="s">
        <v>184</v>
      </c>
      <c r="X36" s="523"/>
      <c r="Y36" s="373"/>
      <c r="Z36" s="521" t="s">
        <v>184</v>
      </c>
      <c r="AA36" s="523"/>
      <c r="AB36" s="373"/>
      <c r="AC36" s="521" t="s">
        <v>184</v>
      </c>
      <c r="AD36" s="523"/>
      <c r="AE36" s="373"/>
      <c r="AF36" s="521" t="s">
        <v>184</v>
      </c>
      <c r="AG36" s="523"/>
    </row>
    <row r="37" spans="2:62" ht="15.75" thickBot="1" x14ac:dyDescent="0.3">
      <c r="B37" s="528">
        <v>1150</v>
      </c>
      <c r="C37" s="529"/>
      <c r="D37" s="373"/>
      <c r="E37" s="528">
        <v>764</v>
      </c>
      <c r="F37" s="529"/>
      <c r="G37" s="373"/>
      <c r="H37" s="528">
        <v>115</v>
      </c>
      <c r="I37" s="529"/>
      <c r="J37" s="373"/>
      <c r="K37" s="524">
        <v>96</v>
      </c>
      <c r="L37" s="525"/>
      <c r="M37" s="373"/>
      <c r="N37" s="524"/>
      <c r="O37" s="525"/>
      <c r="P37" s="373"/>
      <c r="Q37" s="524">
        <v>35</v>
      </c>
      <c r="R37" s="525"/>
      <c r="S37" s="373"/>
      <c r="T37" s="524">
        <v>0</v>
      </c>
      <c r="U37" s="525"/>
      <c r="V37" s="373"/>
      <c r="W37" s="524"/>
      <c r="X37" s="525"/>
      <c r="Y37" s="373"/>
      <c r="Z37" s="524">
        <v>50</v>
      </c>
      <c r="AA37" s="525"/>
      <c r="AB37" s="373"/>
      <c r="AC37" s="524"/>
      <c r="AD37" s="525"/>
      <c r="AE37" s="373"/>
      <c r="AF37" s="524"/>
      <c r="AG37" s="525"/>
    </row>
    <row r="38" spans="2:62" ht="15.75" thickBot="1" x14ac:dyDescent="0.3">
      <c r="B38" s="521" t="s">
        <v>186</v>
      </c>
      <c r="C38" s="523"/>
      <c r="D38" s="373"/>
      <c r="E38" s="521" t="s">
        <v>186</v>
      </c>
      <c r="F38" s="523"/>
      <c r="G38" s="373"/>
      <c r="H38" s="521" t="s">
        <v>186</v>
      </c>
      <c r="I38" s="523"/>
      <c r="J38" s="373"/>
      <c r="K38" s="521" t="s">
        <v>186</v>
      </c>
      <c r="L38" s="523"/>
      <c r="M38" s="373"/>
      <c r="N38" s="521" t="s">
        <v>186</v>
      </c>
      <c r="O38" s="523"/>
      <c r="P38" s="373"/>
      <c r="Q38" s="521" t="s">
        <v>186</v>
      </c>
      <c r="R38" s="523"/>
      <c r="S38" s="373"/>
      <c r="T38" s="521" t="s">
        <v>186</v>
      </c>
      <c r="U38" s="523"/>
      <c r="V38" s="373"/>
      <c r="W38" s="521" t="s">
        <v>186</v>
      </c>
      <c r="X38" s="523"/>
      <c r="Y38" s="373"/>
      <c r="Z38" s="521" t="s">
        <v>186</v>
      </c>
      <c r="AA38" s="523"/>
      <c r="AB38" s="373"/>
      <c r="AC38" s="521" t="s">
        <v>186</v>
      </c>
      <c r="AD38" s="523"/>
      <c r="AE38" s="373"/>
      <c r="AF38" s="521" t="s">
        <v>186</v>
      </c>
      <c r="AG38" s="523"/>
    </row>
    <row r="39" spans="2:62" ht="15.75" thickBot="1" x14ac:dyDescent="0.3">
      <c r="B39" s="528">
        <f>B37-B62</f>
        <v>436</v>
      </c>
      <c r="C39" s="529"/>
      <c r="D39" s="373"/>
      <c r="E39" s="528">
        <f>E37-E62</f>
        <v>379</v>
      </c>
      <c r="F39" s="529"/>
      <c r="G39" s="373"/>
      <c r="H39" s="528">
        <f>H37-H62</f>
        <v>115</v>
      </c>
      <c r="I39" s="529"/>
      <c r="J39" s="373"/>
      <c r="K39" s="524">
        <f>K37-K62</f>
        <v>57</v>
      </c>
      <c r="L39" s="525"/>
      <c r="M39" s="373"/>
      <c r="N39" s="524"/>
      <c r="O39" s="525"/>
      <c r="P39" s="373"/>
      <c r="Q39" s="524">
        <f>Q37-Q62</f>
        <v>-167</v>
      </c>
      <c r="R39" s="525"/>
      <c r="S39" s="373"/>
      <c r="T39" s="524">
        <f>T37-T62</f>
        <v>-187</v>
      </c>
      <c r="U39" s="525"/>
      <c r="V39" s="373"/>
      <c r="W39" s="524"/>
      <c r="X39" s="525"/>
      <c r="Y39" s="373"/>
      <c r="Z39" s="524">
        <f>Z37-Z62</f>
        <v>0</v>
      </c>
      <c r="AA39" s="525"/>
      <c r="AB39" s="373"/>
      <c r="AC39" s="524"/>
      <c r="AD39" s="525"/>
      <c r="AE39" s="373"/>
      <c r="AF39" s="524"/>
      <c r="AG39" s="525"/>
    </row>
    <row r="40" spans="2:62" x14ac:dyDescent="0.25">
      <c r="B40" s="410"/>
      <c r="C40" s="410"/>
      <c r="D40" s="373"/>
      <c r="E40" s="410"/>
      <c r="F40" s="410"/>
      <c r="G40" s="373"/>
      <c r="H40" s="410"/>
      <c r="I40" s="410"/>
      <c r="J40" s="373"/>
      <c r="K40" s="411"/>
      <c r="L40" s="411"/>
      <c r="M40" s="373"/>
      <c r="N40" s="411"/>
      <c r="O40" s="411"/>
      <c r="P40" s="373"/>
      <c r="Q40" s="411"/>
      <c r="R40" s="411"/>
      <c r="S40" s="373"/>
      <c r="T40" s="411"/>
      <c r="U40" s="411"/>
      <c r="V40" s="373"/>
      <c r="W40" s="411"/>
      <c r="X40" s="411"/>
      <c r="Y40" s="373"/>
      <c r="Z40" s="411"/>
      <c r="AA40" s="411"/>
      <c r="AB40" s="373"/>
      <c r="AC40" s="411"/>
      <c r="AD40" s="411"/>
      <c r="AE40" s="373"/>
      <c r="AF40" s="373"/>
      <c r="AG40" s="373"/>
    </row>
    <row r="41" spans="2:62" ht="19.5" thickBot="1" x14ac:dyDescent="0.3">
      <c r="B41" s="530" t="s">
        <v>207</v>
      </c>
      <c r="C41" s="530"/>
      <c r="D41" s="373"/>
      <c r="E41" s="373"/>
      <c r="F41" s="373"/>
      <c r="G41" s="373"/>
      <c r="H41" s="373"/>
      <c r="I41" s="373"/>
      <c r="J41" s="373"/>
      <c r="K41" s="373"/>
      <c r="L41" s="373"/>
      <c r="M41" s="373"/>
      <c r="O41" s="373"/>
      <c r="P41" s="373"/>
      <c r="Q41" s="373"/>
      <c r="R41" s="373"/>
      <c r="S41" s="373"/>
      <c r="T41" s="373"/>
      <c r="U41" s="373"/>
      <c r="V41" s="373"/>
      <c r="W41" s="373"/>
      <c r="X41" s="396"/>
      <c r="Y41" s="373"/>
      <c r="Z41" s="396"/>
      <c r="AA41" s="373"/>
      <c r="AB41" s="373"/>
      <c r="AC41" s="373"/>
      <c r="AD41" s="373"/>
      <c r="AE41" s="373"/>
      <c r="AF41" s="373"/>
      <c r="AG41" s="373"/>
    </row>
    <row r="42" spans="2:62" ht="15.75" thickBot="1" x14ac:dyDescent="0.3">
      <c r="B42" s="521" t="s">
        <v>170</v>
      </c>
      <c r="C42" s="522"/>
      <c r="D42" s="373"/>
      <c r="E42" s="521" t="s">
        <v>173</v>
      </c>
      <c r="F42" s="522"/>
      <c r="G42" s="373"/>
      <c r="H42" s="521" t="s">
        <v>174</v>
      </c>
      <c r="I42" s="522"/>
      <c r="J42" s="373"/>
      <c r="K42" s="521" t="s">
        <v>175</v>
      </c>
      <c r="L42" s="522"/>
      <c r="M42" s="373"/>
      <c r="N42" s="521" t="s">
        <v>176</v>
      </c>
      <c r="O42" s="522"/>
      <c r="P42" s="373"/>
      <c r="Q42" s="521" t="s">
        <v>177</v>
      </c>
      <c r="R42" s="522"/>
      <c r="T42" s="521" t="s">
        <v>178</v>
      </c>
      <c r="U42" s="522"/>
      <c r="V42" s="373"/>
      <c r="W42" s="521" t="s">
        <v>179</v>
      </c>
      <c r="X42" s="522"/>
      <c r="Y42" s="373"/>
      <c r="Z42" s="526" t="s">
        <v>239</v>
      </c>
      <c r="AA42" s="527"/>
      <c r="AB42" s="373"/>
      <c r="AC42" s="521" t="s">
        <v>180</v>
      </c>
      <c r="AD42" s="522"/>
      <c r="AE42" s="373"/>
      <c r="AF42" s="521" t="s">
        <v>197</v>
      </c>
      <c r="AG42" s="522"/>
    </row>
    <row r="43" spans="2:62" ht="15.75" thickBot="1" x14ac:dyDescent="0.3">
      <c r="B43" s="377">
        <f>B6</f>
        <v>45893</v>
      </c>
      <c r="C43" s="375">
        <v>-6.51</v>
      </c>
      <c r="D43" s="443"/>
      <c r="E43" s="377">
        <f>B6</f>
        <v>45893</v>
      </c>
      <c r="F43" s="375">
        <v>4.1900000000000004</v>
      </c>
      <c r="G43" s="443"/>
      <c r="H43" s="412" t="str">
        <f>E24</f>
        <v>Aug/Sep</v>
      </c>
      <c r="I43" s="375">
        <v>1.75</v>
      </c>
      <c r="J43" s="443"/>
      <c r="K43" s="377">
        <f>B6</f>
        <v>45893</v>
      </c>
      <c r="L43" s="375">
        <v>8.75</v>
      </c>
      <c r="M43" s="443"/>
      <c r="N43" s="412" t="str">
        <f>E24</f>
        <v>Aug/Sep</v>
      </c>
      <c r="O43" s="375">
        <v>0.5</v>
      </c>
      <c r="P43" s="443"/>
      <c r="Q43" s="412" t="str">
        <f>E24</f>
        <v>Aug/Sep</v>
      </c>
      <c r="R43" s="375">
        <v>-1.75</v>
      </c>
      <c r="S43" s="154"/>
      <c r="T43" s="377">
        <f>B6</f>
        <v>45893</v>
      </c>
      <c r="U43" s="375">
        <v>28.91</v>
      </c>
      <c r="V43" s="443"/>
      <c r="W43" s="377">
        <f>B6</f>
        <v>45893</v>
      </c>
      <c r="X43" s="375">
        <v>5.75</v>
      </c>
      <c r="Y43" s="443"/>
      <c r="Z43" s="377">
        <f>B24</f>
        <v>45893</v>
      </c>
      <c r="AA43" s="375">
        <v>-5.61</v>
      </c>
      <c r="AB43" s="443"/>
      <c r="AC43" s="378" t="str">
        <f>E24</f>
        <v>Aug/Sep</v>
      </c>
      <c r="AD43" s="375">
        <v>3</v>
      </c>
      <c r="AE43" s="443"/>
      <c r="AF43" s="377">
        <f>B24</f>
        <v>45893</v>
      </c>
      <c r="AG43" s="375">
        <f>AG44+AD43</f>
        <v>386.25</v>
      </c>
    </row>
    <row r="44" spans="2:62" ht="15.75" thickBot="1" x14ac:dyDescent="0.3">
      <c r="B44" s="387">
        <f>B7</f>
        <v>45924</v>
      </c>
      <c r="C44" s="381">
        <v>-6.55</v>
      </c>
      <c r="D44" s="443"/>
      <c r="E44" s="387">
        <f>B7</f>
        <v>45924</v>
      </c>
      <c r="F44" s="381">
        <v>4.3499999999999996</v>
      </c>
      <c r="G44" s="443"/>
      <c r="H44" s="444" t="str">
        <f>E25</f>
        <v>Sep/Oct</v>
      </c>
      <c r="I44" s="381">
        <v>4.75</v>
      </c>
      <c r="J44" s="443"/>
      <c r="K44" s="387">
        <f>B7</f>
        <v>45924</v>
      </c>
      <c r="L44" s="381">
        <v>9.1</v>
      </c>
      <c r="M44" s="443"/>
      <c r="N44" s="444" t="str">
        <f>E25</f>
        <v>Sep/Oct</v>
      </c>
      <c r="O44" s="381">
        <v>1.5</v>
      </c>
      <c r="P44" s="443"/>
      <c r="Q44" s="444" t="str">
        <f>E25</f>
        <v>Sep/Oct</v>
      </c>
      <c r="R44" s="381">
        <v>0.75</v>
      </c>
      <c r="S44" s="154"/>
      <c r="T44" s="387">
        <f>B7</f>
        <v>45924</v>
      </c>
      <c r="U44" s="381">
        <v>30.16</v>
      </c>
      <c r="V44" s="443"/>
      <c r="W44" s="387">
        <f>B7</f>
        <v>45924</v>
      </c>
      <c r="X44" s="381">
        <v>10.5</v>
      </c>
      <c r="Y44" s="443"/>
      <c r="Z44" s="387">
        <f t="shared" ref="Z44:Z45" si="29">B25</f>
        <v>45924</v>
      </c>
      <c r="AA44" s="381">
        <v>-4.9000000000000004</v>
      </c>
      <c r="AB44" s="443"/>
      <c r="AC44" s="392" t="str">
        <f t="shared" ref="AC44:AC48" si="30">E25</f>
        <v>Sep/Oct</v>
      </c>
      <c r="AD44" s="381">
        <v>4</v>
      </c>
      <c r="AE44" s="443"/>
      <c r="AF44" s="387">
        <f t="shared" ref="AF44:AF49" si="31">B25</f>
        <v>45924</v>
      </c>
      <c r="AG44" s="381">
        <v>383.25</v>
      </c>
    </row>
    <row r="45" spans="2:62" ht="15.75" thickBot="1" x14ac:dyDescent="0.3">
      <c r="B45" s="377">
        <f>B8</f>
        <v>45954</v>
      </c>
      <c r="C45" s="375">
        <v>-6.74</v>
      </c>
      <c r="D45" s="443"/>
      <c r="E45" s="377">
        <f>B8</f>
        <v>45954</v>
      </c>
      <c r="F45" s="375">
        <v>4.05</v>
      </c>
      <c r="G45" s="443"/>
      <c r="H45" s="412" t="str">
        <f>E26</f>
        <v>Oct/Nov</v>
      </c>
      <c r="I45" s="375">
        <v>3.75</v>
      </c>
      <c r="J45" s="443"/>
      <c r="K45" s="377">
        <f>B8</f>
        <v>45954</v>
      </c>
      <c r="L45" s="375">
        <v>9.31</v>
      </c>
      <c r="M45" s="443"/>
      <c r="N45" s="412" t="str">
        <f>E26</f>
        <v>Oct/Nov</v>
      </c>
      <c r="O45" s="375">
        <v>2.75</v>
      </c>
      <c r="P45" s="443"/>
      <c r="Q45" s="412" t="str">
        <f>E26</f>
        <v>Oct/Nov</v>
      </c>
      <c r="R45" s="375">
        <v>3.5</v>
      </c>
      <c r="S45" s="154"/>
      <c r="T45" s="377">
        <f>B8</f>
        <v>45954</v>
      </c>
      <c r="U45" s="375">
        <v>33.409999999999997</v>
      </c>
      <c r="V45" s="443"/>
      <c r="W45" s="377">
        <f>B8</f>
        <v>45954</v>
      </c>
      <c r="X45" s="375">
        <v>13.75</v>
      </c>
      <c r="Y45" s="443"/>
      <c r="Z45" s="377">
        <f t="shared" si="29"/>
        <v>45954</v>
      </c>
      <c r="AA45" s="375">
        <v>-4.57</v>
      </c>
      <c r="AB45" s="443"/>
      <c r="AC45" s="378" t="str">
        <f t="shared" si="30"/>
        <v>Oct/Nov</v>
      </c>
      <c r="AD45" s="375">
        <v>4.5</v>
      </c>
      <c r="AE45" s="443"/>
      <c r="AF45" s="377">
        <f t="shared" si="31"/>
        <v>45954</v>
      </c>
      <c r="AG45" s="375">
        <f>AG44-AD44</f>
        <v>379.25</v>
      </c>
    </row>
    <row r="46" spans="2:62" ht="15.75" thickBot="1" x14ac:dyDescent="0.3">
      <c r="B46" s="392" t="str">
        <f>B15</f>
        <v>Q4-25</v>
      </c>
      <c r="C46" s="381">
        <v>-7.15</v>
      </c>
      <c r="D46" s="443"/>
      <c r="E46" s="392" t="str">
        <f>B15</f>
        <v>Q4-25</v>
      </c>
      <c r="F46" s="381">
        <v>3.76</v>
      </c>
      <c r="G46" s="443"/>
      <c r="H46" s="392" t="str">
        <f>E33</f>
        <v>Q4/Q126</v>
      </c>
      <c r="I46" s="381">
        <v>6.83</v>
      </c>
      <c r="J46" s="443"/>
      <c r="K46" s="392" t="str">
        <f>B15</f>
        <v>Q4-25</v>
      </c>
      <c r="L46" s="381">
        <v>9.1300000000000008</v>
      </c>
      <c r="M46" s="443"/>
      <c r="N46" s="392" t="str">
        <f t="shared" ref="N46:N48" si="32">E33</f>
        <v>Q4/Q126</v>
      </c>
      <c r="O46" s="381">
        <v>6.83</v>
      </c>
      <c r="P46" s="443"/>
      <c r="Q46" s="392" t="str">
        <f t="shared" ref="Q46:Q48" si="33">E33</f>
        <v>Q4/Q126</v>
      </c>
      <c r="R46" s="381">
        <v>5.83</v>
      </c>
      <c r="S46" s="154"/>
      <c r="T46" s="393" t="str">
        <f>B15</f>
        <v>Q4-25</v>
      </c>
      <c r="U46" s="381">
        <v>34.159999999999997</v>
      </c>
      <c r="V46" s="443"/>
      <c r="W46" s="393" t="str">
        <f>B15</f>
        <v>Q4-25</v>
      </c>
      <c r="X46" s="381">
        <v>14.67</v>
      </c>
      <c r="Y46" s="443"/>
      <c r="Z46" s="387" t="str">
        <f>B33</f>
        <v>Q4-25</v>
      </c>
      <c r="AA46" s="381">
        <v>-4.74</v>
      </c>
      <c r="AB46" s="443"/>
      <c r="AC46" s="392" t="str">
        <f t="shared" si="30"/>
        <v>Nov/Dec</v>
      </c>
      <c r="AD46" s="381">
        <v>3.5</v>
      </c>
      <c r="AE46" s="443"/>
      <c r="AF46" s="387">
        <f t="shared" si="31"/>
        <v>45985</v>
      </c>
      <c r="AG46" s="381">
        <f>AG45-AD45</f>
        <v>374.75</v>
      </c>
    </row>
    <row r="47" spans="2:62" ht="15.75" thickBot="1" x14ac:dyDescent="0.3">
      <c r="B47" s="378" t="str">
        <f>B16</f>
        <v>Q1-26</v>
      </c>
      <c r="C47" s="442">
        <v>-7.85</v>
      </c>
      <c r="D47" s="443"/>
      <c r="E47" s="379" t="str">
        <f>B16</f>
        <v>Q1-26</v>
      </c>
      <c r="F47" s="375">
        <v>3</v>
      </c>
      <c r="G47" s="443"/>
      <c r="H47" s="378" t="str">
        <f>E34</f>
        <v>Q1/Q2</v>
      </c>
      <c r="I47" s="375">
        <v>4.33</v>
      </c>
      <c r="J47" s="443"/>
      <c r="K47" s="379" t="str">
        <f>B16</f>
        <v>Q1-26</v>
      </c>
      <c r="L47" s="375">
        <v>8.3699999999999992</v>
      </c>
      <c r="M47" s="443"/>
      <c r="N47" s="378" t="str">
        <f t="shared" si="32"/>
        <v>Q1/Q2</v>
      </c>
      <c r="O47" s="442">
        <v>5.5</v>
      </c>
      <c r="P47" s="443"/>
      <c r="Q47" s="399" t="str">
        <f t="shared" si="33"/>
        <v>Q1/Q2</v>
      </c>
      <c r="R47" s="442">
        <v>2.92</v>
      </c>
      <c r="S47" s="154"/>
      <c r="T47" s="445" t="str">
        <f>B16</f>
        <v>Q1-26</v>
      </c>
      <c r="U47" s="442">
        <v>34.159999999999997</v>
      </c>
      <c r="V47" s="443"/>
      <c r="W47" s="445" t="str">
        <f>B16</f>
        <v>Q1-26</v>
      </c>
      <c r="X47" s="442">
        <v>15.33</v>
      </c>
      <c r="Y47" s="443"/>
      <c r="Z47" s="406" t="str">
        <f>B34</f>
        <v>Q1-26</v>
      </c>
      <c r="AA47" s="442">
        <v>-5.34</v>
      </c>
      <c r="AB47" s="443"/>
      <c r="AC47" s="378" t="str">
        <f t="shared" si="30"/>
        <v>Dec/Jan</v>
      </c>
      <c r="AD47" s="442">
        <v>1.75</v>
      </c>
      <c r="AE47" s="443"/>
      <c r="AF47" s="377">
        <f t="shared" si="31"/>
        <v>46015</v>
      </c>
      <c r="AG47" s="442">
        <f>AG46-AD46</f>
        <v>371.25</v>
      </c>
    </row>
    <row r="48" spans="2:62" ht="15.75" thickBot="1" x14ac:dyDescent="0.3">
      <c r="B48" s="392" t="str">
        <f>B17</f>
        <v>Q2-26</v>
      </c>
      <c r="C48" s="381">
        <v>-7.8</v>
      </c>
      <c r="D48" s="443"/>
      <c r="E48" s="392" t="str">
        <f>B17</f>
        <v>Q2-26</v>
      </c>
      <c r="F48" s="381">
        <v>2.46</v>
      </c>
      <c r="G48" s="443"/>
      <c r="H48" s="392" t="str">
        <f>E35</f>
        <v>Q2/Q3</v>
      </c>
      <c r="I48" s="381">
        <v>4.42</v>
      </c>
      <c r="J48" s="443"/>
      <c r="K48" s="392" t="str">
        <f>B17</f>
        <v>Q2-26</v>
      </c>
      <c r="L48" s="381">
        <v>7.65</v>
      </c>
      <c r="M48" s="443"/>
      <c r="N48" s="392" t="str">
        <f t="shared" si="32"/>
        <v>Q2/Q3</v>
      </c>
      <c r="O48" s="381">
        <v>5.5</v>
      </c>
      <c r="P48" s="443"/>
      <c r="Q48" s="392" t="str">
        <f t="shared" si="33"/>
        <v>Q2/Q3</v>
      </c>
      <c r="R48" s="381">
        <v>8.08</v>
      </c>
      <c r="S48" s="154"/>
      <c r="T48" s="393" t="str">
        <f>B17</f>
        <v>Q2-26</v>
      </c>
      <c r="U48" s="381">
        <v>32.99</v>
      </c>
      <c r="V48" s="443"/>
      <c r="W48" s="393" t="str">
        <f>B17</f>
        <v>Q2-26</v>
      </c>
      <c r="X48" s="381">
        <v>13</v>
      </c>
      <c r="Y48" s="443"/>
      <c r="Z48" s="387" t="str">
        <f>K35</f>
        <v>Q2-26</v>
      </c>
      <c r="AA48" s="381">
        <v>-5.65</v>
      </c>
      <c r="AB48" s="443"/>
      <c r="AC48" s="392" t="str">
        <f t="shared" si="30"/>
        <v>Jan/Feb</v>
      </c>
      <c r="AD48" s="381">
        <v>1.25</v>
      </c>
      <c r="AE48" s="443"/>
      <c r="AF48" s="387">
        <f t="shared" si="31"/>
        <v>46047</v>
      </c>
      <c r="AG48" s="381">
        <f>AG47-AD47</f>
        <v>369.5</v>
      </c>
    </row>
    <row r="49" spans="2:35" ht="15.75" thickBot="1" x14ac:dyDescent="0.3">
      <c r="B49" s="521" t="s">
        <v>183</v>
      </c>
      <c r="C49" s="523"/>
      <c r="D49" s="443"/>
      <c r="E49" s="521" t="s">
        <v>185</v>
      </c>
      <c r="F49" s="523"/>
      <c r="G49" s="373"/>
      <c r="H49" s="521" t="s">
        <v>184</v>
      </c>
      <c r="I49" s="523"/>
      <c r="J49" s="373"/>
      <c r="K49" s="521" t="s">
        <v>185</v>
      </c>
      <c r="L49" s="523"/>
      <c r="M49" s="443"/>
      <c r="N49" s="521" t="s">
        <v>184</v>
      </c>
      <c r="O49" s="523"/>
      <c r="P49" s="443"/>
      <c r="Q49" s="521" t="s">
        <v>184</v>
      </c>
      <c r="R49" s="523"/>
      <c r="S49" s="154"/>
      <c r="T49" s="521" t="s">
        <v>184</v>
      </c>
      <c r="U49" s="523"/>
      <c r="V49" s="443"/>
      <c r="W49" s="521" t="s">
        <v>184</v>
      </c>
      <c r="X49" s="523"/>
      <c r="Y49" s="443"/>
      <c r="Z49" s="521" t="s">
        <v>184</v>
      </c>
      <c r="AA49" s="523"/>
      <c r="AB49" s="443"/>
      <c r="AC49" s="445" t="str">
        <f>E33</f>
        <v>Q4/Q126</v>
      </c>
      <c r="AD49" s="375">
        <v>6.5</v>
      </c>
      <c r="AE49" s="443"/>
      <c r="AF49" s="377">
        <f t="shared" si="31"/>
        <v>46078</v>
      </c>
      <c r="AG49" s="375">
        <f>AVERAGE(AG44:AG46)</f>
        <v>379.08333333333331</v>
      </c>
    </row>
    <row r="50" spans="2:35" ht="15.75" thickBot="1" x14ac:dyDescent="0.3">
      <c r="B50" s="524"/>
      <c r="C50" s="525"/>
      <c r="D50" s="363"/>
      <c r="E50" s="524"/>
      <c r="F50" s="525"/>
      <c r="G50" s="373"/>
      <c r="H50" s="528"/>
      <c r="I50" s="529"/>
      <c r="J50" s="373"/>
      <c r="K50" s="524"/>
      <c r="L50" s="525"/>
      <c r="M50" s="373"/>
      <c r="N50" s="524"/>
      <c r="O50" s="525"/>
      <c r="P50" s="373"/>
      <c r="Q50" s="524"/>
      <c r="R50" s="525"/>
      <c r="S50" s="373"/>
      <c r="T50" s="524"/>
      <c r="U50" s="525"/>
      <c r="V50" s="373"/>
      <c r="W50" s="524"/>
      <c r="X50" s="525"/>
      <c r="Y50" s="373"/>
      <c r="Z50" s="524"/>
      <c r="AA50" s="525"/>
      <c r="AB50" s="373"/>
      <c r="AC50" s="445" t="str">
        <f t="shared" ref="AC50:AC51" si="34">E34</f>
        <v>Q1/Q2</v>
      </c>
      <c r="AD50" s="381">
        <v>0.57999999999999996</v>
      </c>
      <c r="AE50" s="373"/>
      <c r="AF50" s="387" t="str">
        <f>B33</f>
        <v>Q4-25</v>
      </c>
      <c r="AG50" s="383">
        <f>AVERAGE(AG45:AG47)</f>
        <v>375.08333333333331</v>
      </c>
    </row>
    <row r="51" spans="2:35" ht="15.75" thickBot="1" x14ac:dyDescent="0.3">
      <c r="B51" s="411"/>
      <c r="C51" s="411"/>
      <c r="D51" s="411"/>
      <c r="E51" s="411"/>
      <c r="F51" s="411"/>
      <c r="G51" s="411"/>
      <c r="H51" s="411"/>
      <c r="I51" s="411"/>
      <c r="J51" s="411"/>
      <c r="K51" s="411"/>
      <c r="L51" s="411"/>
      <c r="M51" s="411"/>
      <c r="N51" s="411"/>
      <c r="O51" s="411"/>
      <c r="P51" s="411"/>
      <c r="R51" s="411"/>
      <c r="S51" s="411"/>
      <c r="T51" s="411"/>
      <c r="U51" s="411"/>
      <c r="V51" s="411"/>
      <c r="W51" s="411"/>
      <c r="X51" s="411"/>
      <c r="Y51" s="411"/>
      <c r="Z51" s="411"/>
      <c r="AA51" s="411"/>
      <c r="AB51" s="411"/>
      <c r="AC51" s="445" t="str">
        <f t="shared" si="34"/>
        <v>Q2/Q3</v>
      </c>
      <c r="AD51" s="375">
        <v>4.42</v>
      </c>
      <c r="AE51" s="411"/>
      <c r="AF51" s="445"/>
      <c r="AG51" s="442"/>
    </row>
    <row r="52" spans="2:35" ht="17.25" customHeight="1" thickBot="1" x14ac:dyDescent="0.3">
      <c r="B52" s="411"/>
      <c r="C52" s="411"/>
      <c r="D52" s="411"/>
      <c r="E52" s="411"/>
      <c r="F52" s="413"/>
      <c r="G52" s="411"/>
      <c r="H52" s="411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1"/>
      <c r="X52" s="411"/>
      <c r="Y52" s="411"/>
      <c r="Z52" s="411"/>
      <c r="AA52" s="411"/>
      <c r="AB52" s="411"/>
      <c r="AC52" s="521" t="s">
        <v>184</v>
      </c>
      <c r="AD52" s="523"/>
      <c r="AE52" s="411"/>
      <c r="AF52" s="521" t="s">
        <v>184</v>
      </c>
      <c r="AG52" s="523"/>
    </row>
    <row r="53" spans="2:35" ht="17.25" customHeight="1" thickBot="1" x14ac:dyDescent="0.3">
      <c r="B53" s="411"/>
      <c r="C53" s="411"/>
      <c r="D53" s="373"/>
      <c r="E53" s="411"/>
      <c r="F53" s="413"/>
      <c r="G53" s="373"/>
      <c r="H53" s="411"/>
      <c r="I53" s="411"/>
      <c r="J53" s="373"/>
      <c r="K53" s="373"/>
      <c r="L53" s="411"/>
      <c r="M53" s="373"/>
      <c r="N53" s="411"/>
      <c r="O53" s="411"/>
      <c r="P53" s="373"/>
      <c r="Q53" s="411"/>
      <c r="R53" s="411"/>
      <c r="T53" s="411"/>
      <c r="U53" s="411"/>
      <c r="V53" s="373"/>
      <c r="W53" s="411"/>
      <c r="X53" s="411"/>
      <c r="Y53" s="373"/>
      <c r="Z53" s="411"/>
      <c r="AA53" s="411"/>
      <c r="AB53" s="373"/>
      <c r="AC53" s="524"/>
      <c r="AD53" s="525"/>
      <c r="AE53" s="373"/>
      <c r="AF53" s="437"/>
      <c r="AG53" s="438"/>
    </row>
    <row r="54" spans="2:35" ht="17.25" customHeight="1" x14ac:dyDescent="0.25">
      <c r="B54" s="411"/>
      <c r="C54" s="411"/>
      <c r="D54" s="373"/>
      <c r="E54" s="411"/>
      <c r="F54" s="413"/>
      <c r="G54" s="373"/>
      <c r="H54" s="411"/>
      <c r="I54" s="411"/>
      <c r="J54" s="373"/>
      <c r="K54" s="373"/>
      <c r="L54" s="411"/>
      <c r="M54" s="373"/>
      <c r="N54" s="411"/>
      <c r="O54" s="411"/>
      <c r="P54" s="373"/>
      <c r="Q54" s="411"/>
      <c r="R54" s="411"/>
      <c r="T54" s="411"/>
      <c r="U54" s="411"/>
      <c r="V54" s="373"/>
      <c r="W54" s="411"/>
      <c r="X54" s="411"/>
      <c r="Y54" s="373"/>
      <c r="AB54" s="411"/>
      <c r="AC54" s="411"/>
      <c r="AD54" s="411"/>
      <c r="AE54" s="373"/>
      <c r="AF54" s="373"/>
      <c r="AG54" s="373"/>
    </row>
    <row r="55" spans="2:35" ht="17.25" customHeight="1" x14ac:dyDescent="0.25">
      <c r="B55" s="411"/>
      <c r="C55" s="411"/>
      <c r="D55" s="373"/>
      <c r="E55" s="411"/>
      <c r="F55" s="413"/>
      <c r="G55" s="373"/>
      <c r="H55" s="411"/>
      <c r="I55" s="411"/>
      <c r="J55" s="373"/>
      <c r="K55" s="373"/>
      <c r="L55" s="411"/>
      <c r="M55" s="373"/>
      <c r="N55" s="411"/>
      <c r="O55" s="411"/>
      <c r="P55" s="373"/>
      <c r="Q55" s="411"/>
      <c r="R55" s="411"/>
      <c r="T55" s="411"/>
      <c r="U55" s="411"/>
      <c r="V55" s="373"/>
      <c r="W55" s="411"/>
      <c r="X55" s="411"/>
      <c r="Y55" s="373"/>
      <c r="AB55" s="411"/>
      <c r="AC55" s="411"/>
      <c r="AD55" s="373"/>
      <c r="AE55" s="373"/>
      <c r="AG55" s="373"/>
    </row>
    <row r="56" spans="2:35" ht="18.75" customHeight="1" x14ac:dyDescent="0.25">
      <c r="B56" s="414"/>
      <c r="F56" s="413"/>
      <c r="K56" s="373"/>
      <c r="AA56" s="411"/>
      <c r="AB56" s="411"/>
      <c r="AC56" s="411"/>
      <c r="AD56" s="373"/>
      <c r="AI56" s="446"/>
    </row>
    <row r="57" spans="2:35" ht="18.75" customHeight="1" x14ac:dyDescent="0.25">
      <c r="B57" s="414"/>
      <c r="F57" s="413"/>
      <c r="K57" s="373"/>
      <c r="AA57" s="411"/>
      <c r="AB57" s="411"/>
      <c r="AC57" s="411"/>
      <c r="AD57" s="373"/>
    </row>
    <row r="58" spans="2:35" x14ac:dyDescent="0.25">
      <c r="F58" s="413"/>
      <c r="K58" s="373"/>
      <c r="AA58" s="411"/>
      <c r="AB58" s="411"/>
      <c r="AC58" s="411"/>
      <c r="AD58" s="373"/>
    </row>
    <row r="59" spans="2:35" ht="15.75" thickBot="1" x14ac:dyDescent="0.3">
      <c r="B59" s="415" t="s">
        <v>208</v>
      </c>
      <c r="AA59" s="411"/>
      <c r="AB59" s="411"/>
      <c r="AC59" s="411"/>
      <c r="AF59" s="396">
        <v>67.09</v>
      </c>
    </row>
    <row r="60" spans="2:35" ht="15.75" thickBot="1" x14ac:dyDescent="0.3">
      <c r="B60" s="521" t="s">
        <v>209</v>
      </c>
      <c r="C60" s="522"/>
      <c r="D60" s="373"/>
      <c r="E60" s="521" t="s">
        <v>210</v>
      </c>
      <c r="F60" s="523"/>
      <c r="G60" s="373"/>
      <c r="H60" s="521" t="s">
        <v>211</v>
      </c>
      <c r="I60" s="522"/>
      <c r="J60" s="373"/>
      <c r="K60" s="521" t="s">
        <v>190</v>
      </c>
      <c r="L60" s="522"/>
      <c r="M60" s="373"/>
      <c r="N60" s="521" t="s">
        <v>191</v>
      </c>
      <c r="O60" s="522"/>
      <c r="P60" s="373"/>
      <c r="Q60" s="521" t="s">
        <v>192</v>
      </c>
      <c r="R60" s="522"/>
      <c r="S60" s="373"/>
      <c r="T60" s="521" t="s">
        <v>193</v>
      </c>
      <c r="U60" s="522"/>
      <c r="V60" s="373"/>
      <c r="W60" s="521" t="s">
        <v>194</v>
      </c>
      <c r="X60" s="522"/>
      <c r="Y60" s="373"/>
      <c r="Z60" s="521" t="s">
        <v>195</v>
      </c>
      <c r="AA60" s="522"/>
      <c r="AB60" s="373"/>
      <c r="AC60" s="521" t="s">
        <v>196</v>
      </c>
      <c r="AD60" s="522"/>
      <c r="AF60" s="373">
        <v>66.680000000000007</v>
      </c>
    </row>
    <row r="61" spans="2:35" ht="15.75" thickBot="1" x14ac:dyDescent="0.3">
      <c r="B61" s="521" t="s">
        <v>212</v>
      </c>
      <c r="C61" s="523"/>
      <c r="D61" s="373"/>
      <c r="E61" s="521" t="s">
        <v>212</v>
      </c>
      <c r="F61" s="523"/>
      <c r="G61" s="373"/>
      <c r="H61" s="521" t="s">
        <v>212</v>
      </c>
      <c r="I61" s="523"/>
      <c r="J61" s="373"/>
      <c r="K61" s="521" t="s">
        <v>212</v>
      </c>
      <c r="L61" s="523"/>
      <c r="M61" s="373"/>
      <c r="N61" s="521" t="s">
        <v>212</v>
      </c>
      <c r="O61" s="523"/>
      <c r="P61" s="373"/>
      <c r="Q61" s="521" t="s">
        <v>212</v>
      </c>
      <c r="R61" s="523"/>
      <c r="S61" s="373"/>
      <c r="T61" s="521" t="s">
        <v>212</v>
      </c>
      <c r="U61" s="523"/>
      <c r="V61" s="373"/>
      <c r="W61" s="521" t="s">
        <v>212</v>
      </c>
      <c r="X61" s="523"/>
      <c r="Y61" s="373"/>
      <c r="Z61" s="521" t="s">
        <v>212</v>
      </c>
      <c r="AA61" s="523"/>
      <c r="AB61" s="373"/>
      <c r="AC61" s="521" t="s">
        <v>212</v>
      </c>
      <c r="AD61" s="523"/>
      <c r="AF61" s="363">
        <v>66.260000000000005</v>
      </c>
    </row>
    <row r="62" spans="2:35" ht="15.75" thickBot="1" x14ac:dyDescent="0.3">
      <c r="B62" s="528">
        <v>714</v>
      </c>
      <c r="C62" s="529"/>
      <c r="D62" s="373"/>
      <c r="E62" s="528">
        <v>385</v>
      </c>
      <c r="F62" s="529"/>
      <c r="G62" s="373"/>
      <c r="H62" s="528">
        <v>0</v>
      </c>
      <c r="I62" s="529"/>
      <c r="J62" s="373"/>
      <c r="K62" s="524">
        <v>39</v>
      </c>
      <c r="L62" s="525"/>
      <c r="M62" s="373"/>
      <c r="N62" s="524"/>
      <c r="O62" s="525"/>
      <c r="P62" s="373"/>
      <c r="Q62" s="524">
        <v>202</v>
      </c>
      <c r="R62" s="525"/>
      <c r="S62" s="373"/>
      <c r="T62" s="524">
        <v>187</v>
      </c>
      <c r="U62" s="525"/>
      <c r="V62" s="373"/>
      <c r="W62" s="524"/>
      <c r="X62" s="525"/>
      <c r="Y62" s="373"/>
      <c r="Z62" s="524">
        <v>50</v>
      </c>
      <c r="AA62" s="525"/>
      <c r="AB62" s="373"/>
      <c r="AC62" s="524"/>
      <c r="AD62" s="525"/>
      <c r="AE62" s="373"/>
      <c r="AF62" s="373">
        <v>66</v>
      </c>
      <c r="AG62" s="373"/>
    </row>
    <row r="63" spans="2:35" x14ac:dyDescent="0.25">
      <c r="B63" s="411"/>
      <c r="C63" s="411"/>
      <c r="D63" s="411"/>
      <c r="E63" s="411"/>
      <c r="F63" s="411"/>
      <c r="G63" s="411"/>
      <c r="H63" s="411"/>
      <c r="I63" s="411"/>
      <c r="J63" s="411"/>
      <c r="K63" s="411"/>
      <c r="L63" s="411"/>
      <c r="M63" s="411"/>
      <c r="N63" s="411"/>
      <c r="O63" s="411"/>
      <c r="P63" s="411"/>
      <c r="Q63" s="411"/>
      <c r="R63" s="411"/>
      <c r="S63" s="411"/>
      <c r="T63" s="411"/>
      <c r="U63" s="411"/>
      <c r="V63" s="411"/>
      <c r="W63" s="411"/>
      <c r="X63" s="411"/>
      <c r="Y63" s="411"/>
      <c r="Z63" s="411"/>
      <c r="AA63" s="411"/>
      <c r="AB63" s="411"/>
      <c r="AC63" s="411"/>
      <c r="AD63" s="411"/>
      <c r="AF63" s="396">
        <v>65.86</v>
      </c>
    </row>
    <row r="64" spans="2:35" x14ac:dyDescent="0.25">
      <c r="B64" s="411"/>
      <c r="C64" s="411"/>
      <c r="D64" s="411"/>
      <c r="E64" s="411"/>
      <c r="F64" s="411"/>
      <c r="G64" s="411"/>
      <c r="H64" s="411"/>
      <c r="I64" s="411"/>
      <c r="J64" s="411"/>
      <c r="K64" s="411"/>
      <c r="L64" s="411"/>
      <c r="M64" s="411"/>
      <c r="N64" s="411"/>
      <c r="O64" s="411"/>
      <c r="P64" s="411"/>
      <c r="Q64" s="411"/>
      <c r="R64" s="411"/>
      <c r="S64" s="411"/>
      <c r="T64" s="411"/>
      <c r="U64" s="411"/>
      <c r="V64" s="411"/>
      <c r="W64" s="411"/>
      <c r="X64" s="411"/>
      <c r="Y64" s="411"/>
      <c r="Z64" s="411"/>
      <c r="AA64" s="411"/>
      <c r="AB64" s="411"/>
      <c r="AC64" s="411"/>
      <c r="AD64" s="411"/>
      <c r="AF64" s="396">
        <v>65.8</v>
      </c>
    </row>
    <row r="65" spans="2:32" x14ac:dyDescent="0.25">
      <c r="AF65" s="373">
        <v>65.760000000000005</v>
      </c>
    </row>
    <row r="66" spans="2:32" x14ac:dyDescent="0.25">
      <c r="AF66" s="373">
        <v>65.73</v>
      </c>
    </row>
    <row r="67" spans="2:32" ht="15.75" thickBot="1" x14ac:dyDescent="0.3">
      <c r="B67" s="415" t="s">
        <v>213</v>
      </c>
      <c r="K67" s="373"/>
      <c r="L67" s="373"/>
      <c r="M67" s="373"/>
      <c r="N67" s="373"/>
      <c r="AF67" s="373">
        <v>65.7</v>
      </c>
    </row>
    <row r="68" spans="2:32" ht="15.75" thickBot="1" x14ac:dyDescent="0.3">
      <c r="B68" s="521" t="s">
        <v>170</v>
      </c>
      <c r="C68" s="522"/>
      <c r="E68" s="521" t="s">
        <v>173</v>
      </c>
      <c r="F68" s="522"/>
      <c r="H68" s="521" t="s">
        <v>174</v>
      </c>
      <c r="I68" s="522"/>
      <c r="K68" s="521" t="s">
        <v>175</v>
      </c>
      <c r="L68" s="522"/>
      <c r="N68" s="521" t="s">
        <v>176</v>
      </c>
      <c r="O68" s="522"/>
      <c r="Q68" s="521" t="s">
        <v>177</v>
      </c>
      <c r="R68" s="522"/>
      <c r="T68" s="521" t="s">
        <v>178</v>
      </c>
      <c r="U68" s="522"/>
      <c r="W68" s="521" t="s">
        <v>179</v>
      </c>
      <c r="X68" s="522"/>
      <c r="Z68" s="521" t="s">
        <v>239</v>
      </c>
      <c r="AA68" s="522"/>
      <c r="AC68" s="521" t="s">
        <v>180</v>
      </c>
      <c r="AD68" s="522"/>
    </row>
    <row r="69" spans="2:32" ht="15.75" thickBot="1" x14ac:dyDescent="0.3">
      <c r="B69" s="521" t="s">
        <v>212</v>
      </c>
      <c r="C69" s="522"/>
      <c r="E69" s="521" t="s">
        <v>212</v>
      </c>
      <c r="F69" s="523"/>
      <c r="H69" s="521" t="s">
        <v>212</v>
      </c>
      <c r="I69" s="523"/>
      <c r="K69" s="521" t="s">
        <v>212</v>
      </c>
      <c r="L69" s="523"/>
      <c r="N69" s="521" t="s">
        <v>212</v>
      </c>
      <c r="O69" s="523"/>
      <c r="Q69" s="521" t="s">
        <v>212</v>
      </c>
      <c r="R69" s="523"/>
      <c r="T69" s="521" t="s">
        <v>212</v>
      </c>
      <c r="U69" s="523"/>
      <c r="W69" s="521" t="s">
        <v>212</v>
      </c>
      <c r="X69" s="523"/>
      <c r="Z69" s="521" t="s">
        <v>212</v>
      </c>
      <c r="AA69" s="523"/>
      <c r="AC69" s="521" t="s">
        <v>212</v>
      </c>
      <c r="AD69" s="523"/>
    </row>
    <row r="70" spans="2:32" ht="15.75" thickBot="1" x14ac:dyDescent="0.3">
      <c r="B70" s="524">
        <v>161</v>
      </c>
      <c r="C70" s="525"/>
      <c r="D70" s="373"/>
      <c r="E70" s="528">
        <v>108</v>
      </c>
      <c r="F70" s="529"/>
      <c r="G70" s="373"/>
      <c r="H70" s="528">
        <v>90</v>
      </c>
      <c r="I70" s="529"/>
      <c r="J70" s="373"/>
      <c r="K70" s="528">
        <v>1170</v>
      </c>
      <c r="L70" s="529"/>
      <c r="M70" s="373"/>
      <c r="N70" s="524">
        <v>500</v>
      </c>
      <c r="O70" s="525"/>
      <c r="P70" s="373"/>
      <c r="Q70" s="524">
        <v>295</v>
      </c>
      <c r="R70" s="525"/>
      <c r="S70" s="373"/>
      <c r="T70" s="524">
        <v>1</v>
      </c>
      <c r="U70" s="525"/>
      <c r="V70" s="373"/>
      <c r="W70" s="524">
        <v>32</v>
      </c>
      <c r="X70" s="525"/>
      <c r="Y70" s="373"/>
      <c r="Z70" s="524">
        <v>105</v>
      </c>
      <c r="AA70" s="525"/>
      <c r="AC70" s="524">
        <v>90</v>
      </c>
      <c r="AD70" s="525"/>
    </row>
    <row r="86" spans="13:13" x14ac:dyDescent="0.25">
      <c r="M86" s="363"/>
    </row>
  </sheetData>
  <mergeCells count="207">
    <mergeCell ref="B2:C2"/>
    <mergeCell ref="B4:C4"/>
    <mergeCell ref="B5:C5"/>
    <mergeCell ref="E5:F5"/>
    <mergeCell ref="H5:I5"/>
    <mergeCell ref="K5:L5"/>
    <mergeCell ref="AF5:AG5"/>
    <mergeCell ref="E8:F8"/>
    <mergeCell ref="B18:C18"/>
    <mergeCell ref="H18:I18"/>
    <mergeCell ref="K18:L18"/>
    <mergeCell ref="N18:O18"/>
    <mergeCell ref="Q18:R18"/>
    <mergeCell ref="T18:U18"/>
    <mergeCell ref="W18:X18"/>
    <mergeCell ref="Z18:AA18"/>
    <mergeCell ref="N5:O5"/>
    <mergeCell ref="Q5:R5"/>
    <mergeCell ref="T5:U5"/>
    <mergeCell ref="W5:X5"/>
    <mergeCell ref="Z5:AA5"/>
    <mergeCell ref="AC5:AD5"/>
    <mergeCell ref="AC18:AD18"/>
    <mergeCell ref="AF18:AG18"/>
    <mergeCell ref="T21:U21"/>
    <mergeCell ref="W21:X21"/>
    <mergeCell ref="Z21:AA21"/>
    <mergeCell ref="AC21:AD21"/>
    <mergeCell ref="AF19:AG19"/>
    <mergeCell ref="B20:C20"/>
    <mergeCell ref="H20:I20"/>
    <mergeCell ref="K20:L20"/>
    <mergeCell ref="N20:O20"/>
    <mergeCell ref="Q20:R20"/>
    <mergeCell ref="T20:U20"/>
    <mergeCell ref="W20:X20"/>
    <mergeCell ref="Z20:AA20"/>
    <mergeCell ref="AC20:AD20"/>
    <mergeCell ref="AF20:AG20"/>
    <mergeCell ref="B19:C19"/>
    <mergeCell ref="H19:I19"/>
    <mergeCell ref="K19:L19"/>
    <mergeCell ref="N19:O19"/>
    <mergeCell ref="Q19:R19"/>
    <mergeCell ref="T19:U19"/>
    <mergeCell ref="W19:X19"/>
    <mergeCell ref="Z19:AA19"/>
    <mergeCell ref="AC19:AD19"/>
    <mergeCell ref="B38:C38"/>
    <mergeCell ref="E38:F38"/>
    <mergeCell ref="H38:I38"/>
    <mergeCell ref="K38:L38"/>
    <mergeCell ref="N38:O38"/>
    <mergeCell ref="Q38:R38"/>
    <mergeCell ref="T38:U38"/>
    <mergeCell ref="AF21:AG21"/>
    <mergeCell ref="B23:C23"/>
    <mergeCell ref="E23:F23"/>
    <mergeCell ref="H23:I23"/>
    <mergeCell ref="K23:L23"/>
    <mergeCell ref="N23:O23"/>
    <mergeCell ref="Q23:R23"/>
    <mergeCell ref="T23:U23"/>
    <mergeCell ref="W23:X23"/>
    <mergeCell ref="Z23:AA23"/>
    <mergeCell ref="AC23:AD23"/>
    <mergeCell ref="AF23:AG23"/>
    <mergeCell ref="B21:C21"/>
    <mergeCell ref="H21:I21"/>
    <mergeCell ref="K21:L21"/>
    <mergeCell ref="N21:O21"/>
    <mergeCell ref="Q21:R21"/>
    <mergeCell ref="W36:X36"/>
    <mergeCell ref="Z36:AA36"/>
    <mergeCell ref="AC36:AD36"/>
    <mergeCell ref="AF36:AG36"/>
    <mergeCell ref="B37:C37"/>
    <mergeCell ref="E37:F37"/>
    <mergeCell ref="H37:I37"/>
    <mergeCell ref="K37:L37"/>
    <mergeCell ref="N37:O37"/>
    <mergeCell ref="Q37:R37"/>
    <mergeCell ref="B36:C36"/>
    <mergeCell ref="E36:F36"/>
    <mergeCell ref="H36:I36"/>
    <mergeCell ref="K36:L36"/>
    <mergeCell ref="N36:O36"/>
    <mergeCell ref="Q36:R36"/>
    <mergeCell ref="T36:U36"/>
    <mergeCell ref="W38:X38"/>
    <mergeCell ref="Z38:AA38"/>
    <mergeCell ref="AC38:AD38"/>
    <mergeCell ref="AF38:AG38"/>
    <mergeCell ref="T37:U37"/>
    <mergeCell ref="W37:X37"/>
    <mergeCell ref="Z37:AA37"/>
    <mergeCell ref="AC37:AD37"/>
    <mergeCell ref="AF37:AG37"/>
    <mergeCell ref="T39:U39"/>
    <mergeCell ref="W39:X39"/>
    <mergeCell ref="Z39:AA39"/>
    <mergeCell ref="AC39:AD39"/>
    <mergeCell ref="AF39:AG39"/>
    <mergeCell ref="B41:C41"/>
    <mergeCell ref="B39:C39"/>
    <mergeCell ref="E39:F39"/>
    <mergeCell ref="H39:I39"/>
    <mergeCell ref="K39:L39"/>
    <mergeCell ref="N39:O39"/>
    <mergeCell ref="Q39:R39"/>
    <mergeCell ref="B50:C50"/>
    <mergeCell ref="E50:F50"/>
    <mergeCell ref="H50:I50"/>
    <mergeCell ref="K50:L50"/>
    <mergeCell ref="N50:O50"/>
    <mergeCell ref="Q50:R50"/>
    <mergeCell ref="T50:U50"/>
    <mergeCell ref="W50:X50"/>
    <mergeCell ref="T42:U42"/>
    <mergeCell ref="W42:X42"/>
    <mergeCell ref="B49:C49"/>
    <mergeCell ref="E49:F49"/>
    <mergeCell ref="H49:I49"/>
    <mergeCell ref="K49:L49"/>
    <mergeCell ref="N49:O49"/>
    <mergeCell ref="Q49:R49"/>
    <mergeCell ref="B42:C42"/>
    <mergeCell ref="E42:F42"/>
    <mergeCell ref="H42:I42"/>
    <mergeCell ref="K42:L42"/>
    <mergeCell ref="N42:O42"/>
    <mergeCell ref="Q42:R42"/>
    <mergeCell ref="T49:U49"/>
    <mergeCell ref="W49:X49"/>
    <mergeCell ref="B60:C60"/>
    <mergeCell ref="E60:F60"/>
    <mergeCell ref="H60:I60"/>
    <mergeCell ref="K60:L60"/>
    <mergeCell ref="N60:O60"/>
    <mergeCell ref="Q60:R60"/>
    <mergeCell ref="T60:U60"/>
    <mergeCell ref="W60:X60"/>
    <mergeCell ref="Z60:AA60"/>
    <mergeCell ref="B61:C61"/>
    <mergeCell ref="E61:F61"/>
    <mergeCell ref="H61:I61"/>
    <mergeCell ref="K61:L61"/>
    <mergeCell ref="N61:O61"/>
    <mergeCell ref="Q61:R61"/>
    <mergeCell ref="T61:U61"/>
    <mergeCell ref="W61:X61"/>
    <mergeCell ref="Z61:AA61"/>
    <mergeCell ref="B62:C62"/>
    <mergeCell ref="E62:F62"/>
    <mergeCell ref="H62:I62"/>
    <mergeCell ref="K62:L62"/>
    <mergeCell ref="N62:O62"/>
    <mergeCell ref="Q62:R62"/>
    <mergeCell ref="T62:U62"/>
    <mergeCell ref="W62:X62"/>
    <mergeCell ref="Z62:AA62"/>
    <mergeCell ref="B68:C68"/>
    <mergeCell ref="E68:F68"/>
    <mergeCell ref="H68:I68"/>
    <mergeCell ref="K68:L68"/>
    <mergeCell ref="N68:O68"/>
    <mergeCell ref="Q68:R68"/>
    <mergeCell ref="T68:U68"/>
    <mergeCell ref="W68:X68"/>
    <mergeCell ref="Z68:AA68"/>
    <mergeCell ref="B69:C69"/>
    <mergeCell ref="E69:F69"/>
    <mergeCell ref="H69:I69"/>
    <mergeCell ref="K69:L69"/>
    <mergeCell ref="N69:O69"/>
    <mergeCell ref="Q69:R69"/>
    <mergeCell ref="T69:U69"/>
    <mergeCell ref="Z70:AA70"/>
    <mergeCell ref="AC70:AD70"/>
    <mergeCell ref="W69:X69"/>
    <mergeCell ref="Z69:AA69"/>
    <mergeCell ref="B70:C70"/>
    <mergeCell ref="E70:F70"/>
    <mergeCell ref="H70:I70"/>
    <mergeCell ref="K70:L70"/>
    <mergeCell ref="N70:O70"/>
    <mergeCell ref="Q70:R70"/>
    <mergeCell ref="T70:U70"/>
    <mergeCell ref="W70:X70"/>
    <mergeCell ref="AC68:AD68"/>
    <mergeCell ref="AC69:AD69"/>
    <mergeCell ref="AI5:AJ5"/>
    <mergeCell ref="AI18:AJ18"/>
    <mergeCell ref="AI19:AJ19"/>
    <mergeCell ref="AI20:AJ20"/>
    <mergeCell ref="AI21:AJ21"/>
    <mergeCell ref="AF42:AG42"/>
    <mergeCell ref="Z49:AA49"/>
    <mergeCell ref="Z50:AA50"/>
    <mergeCell ref="AF52:AG52"/>
    <mergeCell ref="AC61:AD61"/>
    <mergeCell ref="AC62:AD62"/>
    <mergeCell ref="AC52:AD52"/>
    <mergeCell ref="AC53:AD53"/>
    <mergeCell ref="AC60:AD60"/>
    <mergeCell ref="Z42:AA42"/>
    <mergeCell ref="AC42:AD42"/>
  </mergeCells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MAIN</vt:lpstr>
      <vt:lpstr>Premium</vt:lpstr>
      <vt:lpstr>Freight</vt:lpstr>
      <vt:lpstr>Loading Arrival</vt:lpstr>
      <vt:lpstr>ROTT TO USGC</vt:lpstr>
      <vt:lpstr>ROTT TO SING</vt:lpstr>
      <vt:lpstr>ROTT TO AG</vt:lpstr>
      <vt:lpstr>MED TO SING</vt:lpstr>
      <vt:lpstr>MED TO AG</vt:lpstr>
      <vt:lpstr>ROLLS HS</vt:lpstr>
      <vt:lpstr>ROLLS LS</vt:lpstr>
      <vt:lpstr>Mapping</vt:lpstr>
      <vt:lpstr>Tullet</vt:lpstr>
      <vt:lpstr>Tullet US</vt:lpstr>
      <vt:lpstr>MAIN!Print_Area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KRYEZIU Nebih</dc:creator>
  <cp:lastModifiedBy>GREGOIRE Charles</cp:lastModifiedBy>
  <cp:lastPrinted>2023-09-11T13:04:32Z</cp:lastPrinted>
  <dcterms:created xsi:type="dcterms:W3CDTF">2023-08-23T09:56:26Z</dcterms:created>
  <dcterms:modified xsi:type="dcterms:W3CDTF">2025-08-27T14:33:15Z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