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Arbsheet\"/>
    </mc:Choice>
  </mc:AlternateContent>
  <xr:revisionPtr revIDLastSave="0" documentId="13_ncr:1_{482B153A-D83F-4D07-B55C-C8F79D9988E9}" xr6:coauthVersionLast="47" xr6:coauthVersionMax="47" xr10:uidLastSave="{00000000-0000-0000-0000-000000000000}"/>
  <bookViews>
    <workbookView xWindow="2868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SKIKDA TO USGC" sheetId="17" r:id="rId5"/>
    <sheet name="SKIKDA TO ROTT" sheetId="18" r:id="rId6"/>
    <sheet name="ARZEW TO USGC" sheetId="19" r:id="rId7"/>
    <sheet name="ARZEW TO ROTT" sheetId="20" r:id="rId8"/>
    <sheet name="IRAQ TO MED" sheetId="21" r:id="rId9"/>
    <sheet name="IRAQ TO ROTT" sheetId="22" r:id="rId10"/>
    <sheet name="IRAQ TO USGC" sheetId="23" r:id="rId11"/>
    <sheet name="ROTT TO USGC" sheetId="16" r:id="rId12"/>
    <sheet name="ROTT TO SING" sheetId="4" r:id="rId13"/>
    <sheet name="ROTT TO AG" sheetId="11" r:id="rId14"/>
    <sheet name="MED TO SING" sheetId="10" r:id="rId15"/>
    <sheet name="MED TO AG" sheetId="13" r:id="rId16"/>
    <sheet name="ROLLS HS" sheetId="8" r:id="rId17"/>
    <sheet name="ROLLS LS" sheetId="9" r:id="rId18"/>
    <sheet name="Mapping" sheetId="6" r:id="rId19"/>
    <sheet name="Tullet" sheetId="1" r:id="rId20"/>
    <sheet name="Tullet US" sheetId="15" r:id="rId21"/>
  </sheets>
  <definedNames>
    <definedName name="_xlnm.Print_Area" localSheetId="0">MAIN!$A$1:$L$199</definedName>
  </definedNames>
  <calcPr calcId="191029"/>
  <pivotCaches>
    <pivotCache cacheId="0" r:id="rId22"/>
    <pivotCache cacheId="1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61" i="12" l="1"/>
  <c r="I237" i="12"/>
  <c r="I209" i="12"/>
  <c r="I208" i="12"/>
  <c r="I78" i="12"/>
  <c r="I9" i="12"/>
  <c r="I289" i="12"/>
  <c r="H289" i="12"/>
  <c r="G289" i="12"/>
  <c r="F289" i="12"/>
  <c r="F621" i="12" l="1"/>
  <c r="G621" i="12"/>
  <c r="H621" i="12"/>
  <c r="F622" i="12"/>
  <c r="G622" i="12"/>
  <c r="H622" i="12"/>
  <c r="F623" i="12"/>
  <c r="G623" i="12"/>
  <c r="H623" i="12"/>
  <c r="F624" i="12"/>
  <c r="G624" i="12"/>
  <c r="H624" i="12"/>
  <c r="F625" i="12"/>
  <c r="G625" i="12"/>
  <c r="H625" i="12"/>
  <c r="F627" i="12"/>
  <c r="G627" i="12"/>
  <c r="H627" i="12"/>
  <c r="F630" i="12"/>
  <c r="G630" i="12"/>
  <c r="H630" i="12"/>
  <c r="F631" i="12"/>
  <c r="G631" i="12"/>
  <c r="H631" i="12"/>
  <c r="F632" i="12"/>
  <c r="G632" i="12"/>
  <c r="H632" i="12"/>
  <c r="F633" i="12"/>
  <c r="G633" i="12"/>
  <c r="H633" i="12"/>
  <c r="F634" i="12"/>
  <c r="G634" i="12"/>
  <c r="H634" i="12"/>
  <c r="H620" i="12"/>
  <c r="G620" i="12"/>
  <c r="F620" i="12"/>
  <c r="F597" i="12"/>
  <c r="G597" i="12"/>
  <c r="H597" i="12"/>
  <c r="F598" i="12"/>
  <c r="G598" i="12"/>
  <c r="H598" i="12"/>
  <c r="F599" i="12"/>
  <c r="G599" i="12"/>
  <c r="H599" i="12"/>
  <c r="F600" i="12"/>
  <c r="G600" i="12"/>
  <c r="H600" i="12"/>
  <c r="F601" i="12"/>
  <c r="G601" i="12"/>
  <c r="H601" i="12"/>
  <c r="F603" i="12"/>
  <c r="G603" i="12"/>
  <c r="H603" i="12"/>
  <c r="F606" i="12"/>
  <c r="G606" i="12"/>
  <c r="H606" i="12"/>
  <c r="F607" i="12"/>
  <c r="G607" i="12"/>
  <c r="H607" i="12"/>
  <c r="F608" i="12"/>
  <c r="G608" i="12"/>
  <c r="H608" i="12"/>
  <c r="F609" i="12"/>
  <c r="G609" i="12"/>
  <c r="H609" i="12"/>
  <c r="F610" i="12"/>
  <c r="G610" i="12"/>
  <c r="H610" i="12"/>
  <c r="H596" i="12"/>
  <c r="G596" i="12"/>
  <c r="F596" i="12"/>
  <c r="F570" i="12"/>
  <c r="G570" i="12"/>
  <c r="H570" i="12"/>
  <c r="F571" i="12"/>
  <c r="G571" i="12"/>
  <c r="H571" i="12"/>
  <c r="F572" i="12"/>
  <c r="G572" i="12"/>
  <c r="H572" i="12"/>
  <c r="F573" i="12"/>
  <c r="G573" i="12"/>
  <c r="H573" i="12"/>
  <c r="F574" i="12"/>
  <c r="G574" i="12"/>
  <c r="H574" i="12"/>
  <c r="F576" i="12"/>
  <c r="G576" i="12"/>
  <c r="H576" i="12"/>
  <c r="F579" i="12"/>
  <c r="G579" i="12"/>
  <c r="H579" i="12"/>
  <c r="F580" i="12"/>
  <c r="G580" i="12"/>
  <c r="H580" i="12"/>
  <c r="F581" i="12"/>
  <c r="G581" i="12"/>
  <c r="H581" i="12"/>
  <c r="F582" i="12"/>
  <c r="G582" i="12"/>
  <c r="H582" i="12"/>
  <c r="F583" i="12"/>
  <c r="G583" i="12"/>
  <c r="H583" i="12"/>
  <c r="H569" i="12"/>
  <c r="G569" i="12"/>
  <c r="F569" i="12"/>
  <c r="F546" i="12"/>
  <c r="G546" i="12"/>
  <c r="H546" i="12"/>
  <c r="F547" i="12"/>
  <c r="G547" i="12"/>
  <c r="H547" i="12"/>
  <c r="F548" i="12"/>
  <c r="G548" i="12"/>
  <c r="H548" i="12"/>
  <c r="F549" i="12"/>
  <c r="G549" i="12"/>
  <c r="H549" i="12"/>
  <c r="F550" i="12"/>
  <c r="G550" i="12"/>
  <c r="H550" i="12"/>
  <c r="F552" i="12"/>
  <c r="G552" i="12"/>
  <c r="H552" i="12"/>
  <c r="F555" i="12"/>
  <c r="G555" i="12"/>
  <c r="H555" i="12"/>
  <c r="F556" i="12"/>
  <c r="G556" i="12"/>
  <c r="H556" i="12"/>
  <c r="F557" i="12"/>
  <c r="G557" i="12"/>
  <c r="H557" i="12"/>
  <c r="F558" i="12"/>
  <c r="G558" i="12"/>
  <c r="H558" i="12"/>
  <c r="F559" i="12"/>
  <c r="G559" i="12"/>
  <c r="H559" i="12"/>
  <c r="H545" i="12"/>
  <c r="G545" i="12"/>
  <c r="F545" i="12"/>
  <c r="F519" i="12"/>
  <c r="G519" i="12"/>
  <c r="H519" i="12"/>
  <c r="F520" i="12"/>
  <c r="G520" i="12"/>
  <c r="H520" i="12"/>
  <c r="F521" i="12"/>
  <c r="G521" i="12"/>
  <c r="H521" i="12"/>
  <c r="F522" i="12"/>
  <c r="G522" i="12"/>
  <c r="H522" i="12"/>
  <c r="F523" i="12"/>
  <c r="G523" i="12"/>
  <c r="H523" i="12"/>
  <c r="F525" i="12"/>
  <c r="G525" i="12"/>
  <c r="H525" i="12"/>
  <c r="F528" i="12"/>
  <c r="G528" i="12"/>
  <c r="H528" i="12"/>
  <c r="F529" i="12"/>
  <c r="G529" i="12"/>
  <c r="H529" i="12"/>
  <c r="F530" i="12"/>
  <c r="G530" i="12"/>
  <c r="H530" i="12"/>
  <c r="F531" i="12"/>
  <c r="G531" i="12"/>
  <c r="H531" i="12"/>
  <c r="F532" i="12"/>
  <c r="G532" i="12"/>
  <c r="H532" i="12"/>
  <c r="H518" i="12"/>
  <c r="G518" i="12"/>
  <c r="F518" i="12"/>
  <c r="F495" i="12"/>
  <c r="G495" i="12"/>
  <c r="H495" i="12"/>
  <c r="F496" i="12"/>
  <c r="G496" i="12"/>
  <c r="H496" i="12"/>
  <c r="F497" i="12"/>
  <c r="G497" i="12"/>
  <c r="H497" i="12"/>
  <c r="F498" i="12"/>
  <c r="G498" i="12"/>
  <c r="H498" i="12"/>
  <c r="F499" i="12"/>
  <c r="G499" i="12"/>
  <c r="H499" i="12"/>
  <c r="F501" i="12"/>
  <c r="G501" i="12"/>
  <c r="H501" i="12"/>
  <c r="F504" i="12"/>
  <c r="G504" i="12"/>
  <c r="H504" i="12"/>
  <c r="F505" i="12"/>
  <c r="G505" i="12"/>
  <c r="H505" i="12"/>
  <c r="F506" i="12"/>
  <c r="G506" i="12"/>
  <c r="H506" i="12"/>
  <c r="F507" i="12"/>
  <c r="G507" i="12"/>
  <c r="H507" i="12"/>
  <c r="F508" i="12"/>
  <c r="G508" i="12"/>
  <c r="H508" i="12"/>
  <c r="H494" i="12"/>
  <c r="I494" i="12" s="1"/>
  <c r="G494" i="12"/>
  <c r="F494" i="12"/>
  <c r="J468" i="12"/>
  <c r="K468" i="12"/>
  <c r="L468" i="12"/>
  <c r="J469" i="12"/>
  <c r="K469" i="12"/>
  <c r="L469" i="12"/>
  <c r="J470" i="12"/>
  <c r="K470" i="12"/>
  <c r="L470" i="12"/>
  <c r="J471" i="12"/>
  <c r="K471" i="12"/>
  <c r="L471" i="12"/>
  <c r="J472" i="12"/>
  <c r="K472" i="12"/>
  <c r="L472" i="12"/>
  <c r="J474" i="12"/>
  <c r="K474" i="12"/>
  <c r="L474" i="12"/>
  <c r="J477" i="12"/>
  <c r="K477" i="12"/>
  <c r="L477" i="12"/>
  <c r="J478" i="12"/>
  <c r="K478" i="12"/>
  <c r="L478" i="12"/>
  <c r="J479" i="12"/>
  <c r="K479" i="12"/>
  <c r="L479" i="12"/>
  <c r="J480" i="12"/>
  <c r="K480" i="12"/>
  <c r="L480" i="12"/>
  <c r="J481" i="12"/>
  <c r="K481" i="12"/>
  <c r="L481" i="12"/>
  <c r="F468" i="12"/>
  <c r="G468" i="12"/>
  <c r="H468" i="12"/>
  <c r="F469" i="12"/>
  <c r="G469" i="12"/>
  <c r="H469" i="12"/>
  <c r="F470" i="12"/>
  <c r="G470" i="12"/>
  <c r="H470" i="12"/>
  <c r="F471" i="12"/>
  <c r="G471" i="12"/>
  <c r="H471" i="12"/>
  <c r="F472" i="12"/>
  <c r="G472" i="12"/>
  <c r="H472" i="12"/>
  <c r="F474" i="12"/>
  <c r="G474" i="12"/>
  <c r="H474" i="12"/>
  <c r="F477" i="12"/>
  <c r="G477" i="12"/>
  <c r="H477" i="12"/>
  <c r="F478" i="12"/>
  <c r="G478" i="12"/>
  <c r="H478" i="12"/>
  <c r="F479" i="12"/>
  <c r="G479" i="12"/>
  <c r="H479" i="12"/>
  <c r="F480" i="12"/>
  <c r="G480" i="12"/>
  <c r="H480" i="12"/>
  <c r="F481" i="12"/>
  <c r="G481" i="12"/>
  <c r="H481" i="12"/>
  <c r="L467" i="12"/>
  <c r="K467" i="12"/>
  <c r="J467" i="12"/>
  <c r="H467" i="12"/>
  <c r="G467" i="12"/>
  <c r="F467" i="12"/>
  <c r="I485" i="12"/>
  <c r="J444" i="12"/>
  <c r="K444" i="12"/>
  <c r="L444" i="12"/>
  <c r="J445" i="12"/>
  <c r="K445" i="12"/>
  <c r="L445" i="12"/>
  <c r="J446" i="12"/>
  <c r="K446" i="12"/>
  <c r="L446" i="12"/>
  <c r="J447" i="12"/>
  <c r="K447" i="12"/>
  <c r="L447" i="12"/>
  <c r="J448" i="12"/>
  <c r="K448" i="12"/>
  <c r="L448" i="12"/>
  <c r="J450" i="12"/>
  <c r="K450" i="12"/>
  <c r="L450" i="12"/>
  <c r="J453" i="12"/>
  <c r="K453" i="12"/>
  <c r="L453" i="12"/>
  <c r="J454" i="12"/>
  <c r="K454" i="12"/>
  <c r="L454" i="12"/>
  <c r="J455" i="12"/>
  <c r="K455" i="12"/>
  <c r="L455" i="12"/>
  <c r="J456" i="12"/>
  <c r="K456" i="12"/>
  <c r="L456" i="12"/>
  <c r="J457" i="12"/>
  <c r="K457" i="12"/>
  <c r="L457" i="12"/>
  <c r="L443" i="12"/>
  <c r="K443" i="12"/>
  <c r="J443" i="12"/>
  <c r="F444" i="12"/>
  <c r="G444" i="12"/>
  <c r="H444" i="12"/>
  <c r="F445" i="12"/>
  <c r="G445" i="12"/>
  <c r="H445" i="12"/>
  <c r="F446" i="12"/>
  <c r="G446" i="12"/>
  <c r="H446" i="12"/>
  <c r="F447" i="12"/>
  <c r="G447" i="12"/>
  <c r="H447" i="12"/>
  <c r="F448" i="12"/>
  <c r="G448" i="12"/>
  <c r="H448" i="12"/>
  <c r="F450" i="12"/>
  <c r="G450" i="12"/>
  <c r="H450" i="12"/>
  <c r="F453" i="12"/>
  <c r="G453" i="12"/>
  <c r="H453" i="12"/>
  <c r="F454" i="12"/>
  <c r="G454" i="12"/>
  <c r="H454" i="12"/>
  <c r="F455" i="12"/>
  <c r="G455" i="12"/>
  <c r="H455" i="12"/>
  <c r="F456" i="12"/>
  <c r="G456" i="12"/>
  <c r="H456" i="12"/>
  <c r="F457" i="12"/>
  <c r="G457" i="12"/>
  <c r="H457" i="12"/>
  <c r="H443" i="12"/>
  <c r="G443" i="12"/>
  <c r="F443" i="12"/>
  <c r="I461" i="12"/>
  <c r="J417" i="12"/>
  <c r="K417" i="12"/>
  <c r="L417" i="12"/>
  <c r="J418" i="12"/>
  <c r="K418" i="12"/>
  <c r="L418" i="12"/>
  <c r="J419" i="12"/>
  <c r="K419" i="12"/>
  <c r="L419" i="12"/>
  <c r="J420" i="12"/>
  <c r="K420" i="12"/>
  <c r="L420" i="12"/>
  <c r="J421" i="12"/>
  <c r="K421" i="12"/>
  <c r="L421" i="12"/>
  <c r="J423" i="12"/>
  <c r="K423" i="12"/>
  <c r="L423" i="12"/>
  <c r="J426" i="12"/>
  <c r="K426" i="12"/>
  <c r="L426" i="12"/>
  <c r="J427" i="12"/>
  <c r="K427" i="12"/>
  <c r="L427" i="12"/>
  <c r="J428" i="12"/>
  <c r="K428" i="12"/>
  <c r="L428" i="12"/>
  <c r="J429" i="12"/>
  <c r="K429" i="12"/>
  <c r="L429" i="12"/>
  <c r="J430" i="12"/>
  <c r="K430" i="12"/>
  <c r="L430" i="12"/>
  <c r="L416" i="12"/>
  <c r="K416" i="12"/>
  <c r="J416" i="12"/>
  <c r="J392" i="12"/>
  <c r="F417" i="12"/>
  <c r="G417" i="12"/>
  <c r="H417" i="12"/>
  <c r="F418" i="12"/>
  <c r="G418" i="12"/>
  <c r="H418" i="12"/>
  <c r="F419" i="12"/>
  <c r="G419" i="12"/>
  <c r="H419" i="12"/>
  <c r="F420" i="12"/>
  <c r="G420" i="12"/>
  <c r="H420" i="12"/>
  <c r="F421" i="12"/>
  <c r="G421" i="12"/>
  <c r="H421" i="12"/>
  <c r="F423" i="12"/>
  <c r="G423" i="12"/>
  <c r="H423" i="12"/>
  <c r="F426" i="12"/>
  <c r="G426" i="12"/>
  <c r="H426" i="12"/>
  <c r="F427" i="12"/>
  <c r="G427" i="12"/>
  <c r="H427" i="12"/>
  <c r="F428" i="12"/>
  <c r="G428" i="12"/>
  <c r="H428" i="12"/>
  <c r="F429" i="12"/>
  <c r="G429" i="12"/>
  <c r="H429" i="12"/>
  <c r="F430" i="12"/>
  <c r="G430" i="12"/>
  <c r="H430" i="12"/>
  <c r="H416" i="12"/>
  <c r="G416" i="12"/>
  <c r="F416" i="12"/>
  <c r="I434" i="12"/>
  <c r="J393" i="12"/>
  <c r="K393" i="12"/>
  <c r="L393" i="12"/>
  <c r="J394" i="12"/>
  <c r="K394" i="12"/>
  <c r="L394" i="12"/>
  <c r="J395" i="12"/>
  <c r="K395" i="12"/>
  <c r="L395" i="12"/>
  <c r="J396" i="12"/>
  <c r="K396" i="12"/>
  <c r="L396" i="12"/>
  <c r="J397" i="12"/>
  <c r="K397" i="12"/>
  <c r="L397" i="12"/>
  <c r="J399" i="12"/>
  <c r="K399" i="12"/>
  <c r="L399" i="12"/>
  <c r="J402" i="12"/>
  <c r="K402" i="12"/>
  <c r="L402" i="12"/>
  <c r="J403" i="12"/>
  <c r="K403" i="12"/>
  <c r="L403" i="12"/>
  <c r="J404" i="12"/>
  <c r="K404" i="12"/>
  <c r="L404" i="12"/>
  <c r="J405" i="12"/>
  <c r="K405" i="12"/>
  <c r="L405" i="12"/>
  <c r="J406" i="12"/>
  <c r="K406" i="12"/>
  <c r="L406" i="12"/>
  <c r="L392" i="12"/>
  <c r="K392" i="12"/>
  <c r="F393" i="12"/>
  <c r="G393" i="12"/>
  <c r="H393" i="12"/>
  <c r="F394" i="12"/>
  <c r="G394" i="12"/>
  <c r="H394" i="12"/>
  <c r="F395" i="12"/>
  <c r="G395" i="12"/>
  <c r="H395" i="12"/>
  <c r="F396" i="12"/>
  <c r="G396" i="12"/>
  <c r="H396" i="12"/>
  <c r="F397" i="12"/>
  <c r="G397" i="12"/>
  <c r="H397" i="12"/>
  <c r="F399" i="12"/>
  <c r="G399" i="12"/>
  <c r="H399" i="12"/>
  <c r="F402" i="12"/>
  <c r="G402" i="12"/>
  <c r="H402" i="12"/>
  <c r="F403" i="12"/>
  <c r="G403" i="12"/>
  <c r="H403" i="12"/>
  <c r="F404" i="12"/>
  <c r="G404" i="12"/>
  <c r="H404" i="12"/>
  <c r="F405" i="12"/>
  <c r="G405" i="12"/>
  <c r="H405" i="12"/>
  <c r="F406" i="12"/>
  <c r="G406" i="12"/>
  <c r="H406" i="12"/>
  <c r="H392" i="12"/>
  <c r="G392" i="12"/>
  <c r="F392" i="12"/>
  <c r="J263" i="12"/>
  <c r="K263" i="12"/>
  <c r="L263" i="12"/>
  <c r="J264" i="12"/>
  <c r="K264" i="12"/>
  <c r="L264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L262" i="12"/>
  <c r="K262" i="12"/>
  <c r="L239" i="12"/>
  <c r="L240" i="12"/>
  <c r="L241" i="12"/>
  <c r="L242" i="12"/>
  <c r="L243" i="12"/>
  <c r="L245" i="12"/>
  <c r="L248" i="12"/>
  <c r="L249" i="12"/>
  <c r="L250" i="12"/>
  <c r="L251" i="12"/>
  <c r="L252" i="12"/>
  <c r="K239" i="12"/>
  <c r="K240" i="12"/>
  <c r="K241" i="12"/>
  <c r="K242" i="12"/>
  <c r="K243" i="12"/>
  <c r="K245" i="12"/>
  <c r="K248" i="12"/>
  <c r="K249" i="12"/>
  <c r="K250" i="12"/>
  <c r="K251" i="12"/>
  <c r="K252" i="12"/>
  <c r="J239" i="12"/>
  <c r="J240" i="12"/>
  <c r="J241" i="12"/>
  <c r="J242" i="12"/>
  <c r="J243" i="12"/>
  <c r="J245" i="12"/>
  <c r="J248" i="12"/>
  <c r="J249" i="12"/>
  <c r="J250" i="12"/>
  <c r="J251" i="12"/>
  <c r="J252" i="12"/>
  <c r="L238" i="12"/>
  <c r="K238" i="12"/>
  <c r="J238" i="12"/>
  <c r="L366" i="12"/>
  <c r="L367" i="12"/>
  <c r="L368" i="12"/>
  <c r="L369" i="12"/>
  <c r="L370" i="12"/>
  <c r="L372" i="12"/>
  <c r="L375" i="12"/>
  <c r="L376" i="12"/>
  <c r="L377" i="12"/>
  <c r="L378" i="12"/>
  <c r="L379" i="12"/>
  <c r="K366" i="12"/>
  <c r="K367" i="12"/>
  <c r="K368" i="12"/>
  <c r="K369" i="12"/>
  <c r="K370" i="12"/>
  <c r="K372" i="12"/>
  <c r="K375" i="12"/>
  <c r="K376" i="12"/>
  <c r="K377" i="12"/>
  <c r="K378" i="12"/>
  <c r="K379" i="12"/>
  <c r="J366" i="12"/>
  <c r="J367" i="12"/>
  <c r="J368" i="12"/>
  <c r="J369" i="12"/>
  <c r="J370" i="12"/>
  <c r="J372" i="12"/>
  <c r="J375" i="12"/>
  <c r="J376" i="12"/>
  <c r="J377" i="12"/>
  <c r="J378" i="12"/>
  <c r="J379" i="12"/>
  <c r="L365" i="12"/>
  <c r="K365" i="12"/>
  <c r="J365" i="12"/>
  <c r="L342" i="12"/>
  <c r="L343" i="12"/>
  <c r="L344" i="12"/>
  <c r="L345" i="12"/>
  <c r="L346" i="12"/>
  <c r="L348" i="12"/>
  <c r="L351" i="12"/>
  <c r="L352" i="12"/>
  <c r="L353" i="12"/>
  <c r="L354" i="12"/>
  <c r="L355" i="12"/>
  <c r="K342" i="12"/>
  <c r="K343" i="12"/>
  <c r="K344" i="12"/>
  <c r="K345" i="12"/>
  <c r="K346" i="12"/>
  <c r="K348" i="12"/>
  <c r="K351" i="12"/>
  <c r="K352" i="12"/>
  <c r="K353" i="12"/>
  <c r="K354" i="12"/>
  <c r="K355" i="12"/>
  <c r="J342" i="12"/>
  <c r="J343" i="12"/>
  <c r="J344" i="12"/>
  <c r="J345" i="12"/>
  <c r="J346" i="12"/>
  <c r="J348" i="12"/>
  <c r="J351" i="12"/>
  <c r="J352" i="12"/>
  <c r="J353" i="12"/>
  <c r="J354" i="12"/>
  <c r="J355" i="12"/>
  <c r="L341" i="12"/>
  <c r="K341" i="12"/>
  <c r="J341" i="12"/>
  <c r="L315" i="12"/>
  <c r="L316" i="12"/>
  <c r="L317" i="12"/>
  <c r="L318" i="12"/>
  <c r="L319" i="12"/>
  <c r="L321" i="12"/>
  <c r="L324" i="12"/>
  <c r="L325" i="12"/>
  <c r="L326" i="12"/>
  <c r="L327" i="12"/>
  <c r="L328" i="12"/>
  <c r="L314" i="12"/>
  <c r="K315" i="12"/>
  <c r="K316" i="12"/>
  <c r="K317" i="12"/>
  <c r="K318" i="12"/>
  <c r="K319" i="12"/>
  <c r="K321" i="12"/>
  <c r="K324" i="12"/>
  <c r="K325" i="12"/>
  <c r="K326" i="12"/>
  <c r="K327" i="12"/>
  <c r="K328" i="12"/>
  <c r="K314" i="12"/>
  <c r="J315" i="12"/>
  <c r="J316" i="12"/>
  <c r="J317" i="12"/>
  <c r="J318" i="12"/>
  <c r="J319" i="12"/>
  <c r="J321" i="12"/>
  <c r="J324" i="12"/>
  <c r="J325" i="12"/>
  <c r="J326" i="12"/>
  <c r="J327" i="12"/>
  <c r="J328" i="12"/>
  <c r="J314" i="12"/>
  <c r="L304" i="12"/>
  <c r="K304" i="12"/>
  <c r="J304" i="12"/>
  <c r="L303" i="12"/>
  <c r="K303" i="12"/>
  <c r="J303" i="12"/>
  <c r="L302" i="12"/>
  <c r="K302" i="12"/>
  <c r="J302" i="12"/>
  <c r="L301" i="12"/>
  <c r="K301" i="12"/>
  <c r="J301" i="12"/>
  <c r="L300" i="12"/>
  <c r="K300" i="12"/>
  <c r="J300" i="12"/>
  <c r="L297" i="12"/>
  <c r="K297" i="12"/>
  <c r="J297" i="12"/>
  <c r="L295" i="12"/>
  <c r="K295" i="12"/>
  <c r="J295" i="12"/>
  <c r="L294" i="12"/>
  <c r="K294" i="12"/>
  <c r="J294" i="12"/>
  <c r="L293" i="12"/>
  <c r="K293" i="12"/>
  <c r="J293" i="12"/>
  <c r="L292" i="12"/>
  <c r="K292" i="12"/>
  <c r="J292" i="12"/>
  <c r="L291" i="12"/>
  <c r="K291" i="12"/>
  <c r="J291" i="12"/>
  <c r="L290" i="12"/>
  <c r="K290" i="12"/>
  <c r="J290" i="12"/>
  <c r="I290" i="12"/>
  <c r="I638" i="12"/>
  <c r="I616" i="12"/>
  <c r="I614" i="12"/>
  <c r="I592" i="12"/>
  <c r="I591" i="12" s="1"/>
  <c r="I587" i="12"/>
  <c r="I565" i="12"/>
  <c r="I563" i="12"/>
  <c r="I541" i="12"/>
  <c r="I540" i="12" s="1"/>
  <c r="I536" i="12"/>
  <c r="I514" i="12"/>
  <c r="I512" i="12"/>
  <c r="I490" i="12"/>
  <c r="I489" i="12" s="1"/>
  <c r="I463" i="12"/>
  <c r="I439" i="12"/>
  <c r="I438" i="12" s="1"/>
  <c r="I412" i="12"/>
  <c r="I410" i="12"/>
  <c r="I388" i="12"/>
  <c r="I387" i="12" s="1"/>
  <c r="I383" i="12"/>
  <c r="I361" i="12"/>
  <c r="I359" i="12"/>
  <c r="I337" i="12"/>
  <c r="I336" i="12" s="1"/>
  <c r="H340" i="12"/>
  <c r="I332" i="12"/>
  <c r="I310" i="12"/>
  <c r="I308" i="12"/>
  <c r="I286" i="12"/>
  <c r="I285" i="12" s="1"/>
  <c r="V24" i="15"/>
  <c r="V32" i="15"/>
  <c r="V31" i="15"/>
  <c r="V30" i="15"/>
  <c r="V29" i="15"/>
  <c r="V28" i="15"/>
  <c r="V27" i="15"/>
  <c r="V26" i="15"/>
  <c r="V25" i="15"/>
  <c r="AF51" i="15"/>
  <c r="AC51" i="15"/>
  <c r="AC50" i="15"/>
  <c r="AF49" i="15"/>
  <c r="AC49" i="15"/>
  <c r="AC48" i="15"/>
  <c r="Z48" i="15"/>
  <c r="W48" i="15"/>
  <c r="T48" i="15"/>
  <c r="Q48" i="15"/>
  <c r="N48" i="15"/>
  <c r="K48" i="15"/>
  <c r="H48" i="15"/>
  <c r="E48" i="15"/>
  <c r="B48" i="15"/>
  <c r="AF47" i="15"/>
  <c r="AC47" i="15"/>
  <c r="W47" i="15"/>
  <c r="T47" i="15"/>
  <c r="Q47" i="15"/>
  <c r="N47" i="15"/>
  <c r="K47" i="15"/>
  <c r="H47" i="15"/>
  <c r="E47" i="15"/>
  <c r="B47" i="15"/>
  <c r="AC46" i="15"/>
  <c r="W46" i="15"/>
  <c r="T46" i="15"/>
  <c r="Q46" i="15"/>
  <c r="N46" i="15"/>
  <c r="K46" i="15"/>
  <c r="H46" i="15"/>
  <c r="E46" i="15"/>
  <c r="B46" i="15"/>
  <c r="AG45" i="15"/>
  <c r="AF45" i="15"/>
  <c r="AC45" i="15"/>
  <c r="Z45" i="15"/>
  <c r="W45" i="15"/>
  <c r="T45" i="15"/>
  <c r="Q45" i="15"/>
  <c r="N45" i="15"/>
  <c r="K45" i="15"/>
  <c r="H45" i="15"/>
  <c r="E45" i="15"/>
  <c r="B45" i="15"/>
  <c r="AC44" i="15"/>
  <c r="W44" i="15"/>
  <c r="T44" i="15"/>
  <c r="Q44" i="15"/>
  <c r="N44" i="15"/>
  <c r="K44" i="15"/>
  <c r="H44" i="15"/>
  <c r="E44" i="15"/>
  <c r="B44" i="15"/>
  <c r="AG43" i="15"/>
  <c r="AF43" i="15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Z47" i="15" s="1"/>
  <c r="AF33" i="15"/>
  <c r="AC33" i="15"/>
  <c r="Z33" i="15"/>
  <c r="W33" i="15"/>
  <c r="T33" i="15"/>
  <c r="Q33" i="15"/>
  <c r="N33" i="15"/>
  <c r="L33" i="15"/>
  <c r="K33" i="15"/>
  <c r="H33" i="15"/>
  <c r="B33" i="15"/>
  <c r="Z46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F29" i="15"/>
  <c r="AC29" i="15"/>
  <c r="Z29" i="15"/>
  <c r="W29" i="15"/>
  <c r="T29" i="15"/>
  <c r="Q29" i="15"/>
  <c r="N29" i="15"/>
  <c r="L29" i="15"/>
  <c r="K29" i="15"/>
  <c r="H29" i="15"/>
  <c r="B29" i="15"/>
  <c r="AF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F46" i="15" s="1"/>
  <c r="AG26" i="15"/>
  <c r="AG27" i="15" s="1"/>
  <c r="AF26" i="15"/>
  <c r="AC26" i="15"/>
  <c r="Z26" i="15"/>
  <c r="W26" i="15"/>
  <c r="T26" i="15"/>
  <c r="R26" i="15"/>
  <c r="R27" i="15" s="1"/>
  <c r="R28" i="15" s="1"/>
  <c r="Q26" i="15"/>
  <c r="N26" i="15"/>
  <c r="L26" i="15"/>
  <c r="K26" i="15"/>
  <c r="H26" i="15"/>
  <c r="B26" i="15"/>
  <c r="AG25" i="15"/>
  <c r="AF25" i="15"/>
  <c r="AC25" i="15"/>
  <c r="Z25" i="15"/>
  <c r="W25" i="15"/>
  <c r="T25" i="15"/>
  <c r="R25" i="15"/>
  <c r="R33" i="15" s="1"/>
  <c r="Q25" i="15"/>
  <c r="N25" i="15"/>
  <c r="L25" i="15"/>
  <c r="K25" i="15"/>
  <c r="H25" i="15"/>
  <c r="C25" i="15"/>
  <c r="C26" i="15" s="1"/>
  <c r="B25" i="15"/>
  <c r="AF44" i="15" s="1"/>
  <c r="AG24" i="15"/>
  <c r="AF24" i="15"/>
  <c r="AC24" i="15"/>
  <c r="Z24" i="15"/>
  <c r="W24" i="15"/>
  <c r="T24" i="15"/>
  <c r="R24" i="15"/>
  <c r="Q24" i="15"/>
  <c r="N24" i="15"/>
  <c r="L24" i="15"/>
  <c r="K24" i="15"/>
  <c r="H24" i="15"/>
  <c r="B24" i="15"/>
  <c r="AI21" i="15"/>
  <c r="AF21" i="15"/>
  <c r="AC21" i="15"/>
  <c r="Z21" i="15"/>
  <c r="W21" i="15"/>
  <c r="T21" i="15"/>
  <c r="Q21" i="15"/>
  <c r="N21" i="15"/>
  <c r="K21" i="15"/>
  <c r="B21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F10" i="15"/>
  <c r="E10" i="15"/>
  <c r="AI9" i="15"/>
  <c r="AF9" i="15"/>
  <c r="AC9" i="15"/>
  <c r="Z9" i="15"/>
  <c r="W9" i="15"/>
  <c r="T9" i="15"/>
  <c r="Q9" i="15"/>
  <c r="N9" i="15"/>
  <c r="K9" i="15"/>
  <c r="H9" i="15"/>
  <c r="F9" i="15"/>
  <c r="E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F340" i="12" l="1"/>
  <c r="G340" i="12"/>
  <c r="C27" i="15"/>
  <c r="O26" i="15"/>
  <c r="R29" i="15"/>
  <c r="R30" i="15" s="1"/>
  <c r="R31" i="15" s="1"/>
  <c r="R32" i="15" s="1"/>
  <c r="R34" i="15"/>
  <c r="AG33" i="15"/>
  <c r="AG28" i="15"/>
  <c r="O25" i="15"/>
  <c r="C24" i="15"/>
  <c r="AF50" i="15"/>
  <c r="C33" i="15"/>
  <c r="AG46" i="15"/>
  <c r="AG47" i="15" s="1"/>
  <c r="Z44" i="15"/>
  <c r="H364" i="12" l="1"/>
  <c r="F364" i="12"/>
  <c r="AG48" i="15"/>
  <c r="AG51" i="15" s="1"/>
  <c r="AG49" i="15"/>
  <c r="AG29" i="15"/>
  <c r="AG30" i="15" s="1"/>
  <c r="AG31" i="15" s="1"/>
  <c r="AG32" i="15" s="1"/>
  <c r="AG50" i="15"/>
  <c r="C28" i="15"/>
  <c r="O27" i="15"/>
  <c r="O33" i="15" s="1"/>
  <c r="O28" i="15" l="1"/>
  <c r="C29" i="15"/>
  <c r="AG34" i="15"/>
  <c r="C30" i="15" l="1"/>
  <c r="O29" i="15"/>
  <c r="C34" i="15"/>
  <c r="C31" i="15" l="1"/>
  <c r="O30" i="15"/>
  <c r="O34" i="15" s="1"/>
  <c r="O31" i="15" l="1"/>
  <c r="C32" i="15"/>
  <c r="O32" i="15" s="1"/>
  <c r="B6" i="23" l="1"/>
  <c r="H6" i="23" s="1"/>
  <c r="B6" i="19"/>
  <c r="J6" i="19" s="1"/>
  <c r="C8" i="17"/>
  <c r="B8" i="17" s="1"/>
  <c r="B6" i="18"/>
  <c r="J20" i="18"/>
  <c r="I20" i="18"/>
  <c r="H20" i="18"/>
  <c r="G20" i="18"/>
  <c r="F20" i="18"/>
  <c r="E20" i="18"/>
  <c r="J19" i="18"/>
  <c r="I19" i="18"/>
  <c r="H19" i="18"/>
  <c r="G19" i="18"/>
  <c r="F19" i="18"/>
  <c r="E19" i="18"/>
  <c r="J18" i="18"/>
  <c r="I18" i="18"/>
  <c r="H18" i="18"/>
  <c r="G18" i="18"/>
  <c r="F18" i="18"/>
  <c r="E18" i="18"/>
  <c r="J17" i="18"/>
  <c r="I17" i="18"/>
  <c r="H17" i="18"/>
  <c r="G17" i="18"/>
  <c r="F17" i="18"/>
  <c r="E17" i="18"/>
  <c r="J16" i="18"/>
  <c r="I16" i="18"/>
  <c r="H16" i="18"/>
  <c r="G16" i="18"/>
  <c r="F16" i="18"/>
  <c r="E16" i="18"/>
  <c r="J11" i="18"/>
  <c r="I11" i="18"/>
  <c r="H11" i="18"/>
  <c r="G11" i="18"/>
  <c r="F11" i="18"/>
  <c r="E11" i="18"/>
  <c r="J10" i="18"/>
  <c r="I10" i="18"/>
  <c r="H10" i="18"/>
  <c r="G10" i="18"/>
  <c r="F10" i="18"/>
  <c r="E10" i="18"/>
  <c r="J9" i="18"/>
  <c r="I9" i="18"/>
  <c r="H9" i="18"/>
  <c r="G9" i="18"/>
  <c r="F9" i="18"/>
  <c r="E9" i="18"/>
  <c r="C8" i="18"/>
  <c r="B8" i="18" s="1"/>
  <c r="H6" i="18"/>
  <c r="B6" i="17"/>
  <c r="F6" i="17" s="1"/>
  <c r="J20" i="17"/>
  <c r="I20" i="17"/>
  <c r="H20" i="17"/>
  <c r="G20" i="17"/>
  <c r="F20" i="17"/>
  <c r="E20" i="17"/>
  <c r="J19" i="17"/>
  <c r="I19" i="17"/>
  <c r="H19" i="17"/>
  <c r="G19" i="17"/>
  <c r="F19" i="17"/>
  <c r="E19" i="17"/>
  <c r="J18" i="17"/>
  <c r="I18" i="17"/>
  <c r="H18" i="17"/>
  <c r="G18" i="17"/>
  <c r="F18" i="17"/>
  <c r="E18" i="17"/>
  <c r="J17" i="17"/>
  <c r="I17" i="17"/>
  <c r="H17" i="17"/>
  <c r="G17" i="17"/>
  <c r="F17" i="17"/>
  <c r="E17" i="17"/>
  <c r="J16" i="17"/>
  <c r="I16" i="17"/>
  <c r="H16" i="17"/>
  <c r="G16" i="17"/>
  <c r="F16" i="17"/>
  <c r="E16" i="17"/>
  <c r="J11" i="17"/>
  <c r="I11" i="17"/>
  <c r="H11" i="17"/>
  <c r="G11" i="17"/>
  <c r="F11" i="17"/>
  <c r="E11" i="17"/>
  <c r="J10" i="17"/>
  <c r="I10" i="17"/>
  <c r="H10" i="17"/>
  <c r="G10" i="17"/>
  <c r="F10" i="17"/>
  <c r="E10" i="17"/>
  <c r="J9" i="17"/>
  <c r="I9" i="17"/>
  <c r="H9" i="17"/>
  <c r="G9" i="17"/>
  <c r="F9" i="17"/>
  <c r="E9" i="17"/>
  <c r="U20" i="20"/>
  <c r="T20" i="20"/>
  <c r="S20" i="20"/>
  <c r="R20" i="20"/>
  <c r="Q20" i="20"/>
  <c r="P20" i="20"/>
  <c r="J20" i="20"/>
  <c r="I20" i="20"/>
  <c r="H20" i="20"/>
  <c r="G20" i="20"/>
  <c r="F20" i="20"/>
  <c r="E20" i="20"/>
  <c r="U19" i="20"/>
  <c r="T19" i="20"/>
  <c r="S19" i="20"/>
  <c r="R19" i="20"/>
  <c r="Q19" i="20"/>
  <c r="P19" i="20"/>
  <c r="J19" i="20"/>
  <c r="I19" i="20"/>
  <c r="H19" i="20"/>
  <c r="G19" i="20"/>
  <c r="F19" i="20"/>
  <c r="E19" i="20"/>
  <c r="U18" i="20"/>
  <c r="T18" i="20"/>
  <c r="S18" i="20"/>
  <c r="R18" i="20"/>
  <c r="Q18" i="20"/>
  <c r="P18" i="20"/>
  <c r="J18" i="20"/>
  <c r="I18" i="20"/>
  <c r="H18" i="20"/>
  <c r="G18" i="20"/>
  <c r="F18" i="20"/>
  <c r="E18" i="20"/>
  <c r="U17" i="20"/>
  <c r="T17" i="20"/>
  <c r="S17" i="20"/>
  <c r="R17" i="20"/>
  <c r="Q17" i="20"/>
  <c r="P17" i="20"/>
  <c r="J17" i="20"/>
  <c r="I17" i="20"/>
  <c r="H17" i="20"/>
  <c r="G17" i="20"/>
  <c r="F17" i="20"/>
  <c r="E17" i="20"/>
  <c r="U16" i="20"/>
  <c r="T16" i="20"/>
  <c r="S16" i="20"/>
  <c r="R16" i="20"/>
  <c r="Q16" i="20"/>
  <c r="P16" i="20"/>
  <c r="J16" i="20"/>
  <c r="I16" i="20"/>
  <c r="H16" i="20"/>
  <c r="G16" i="20"/>
  <c r="F16" i="20"/>
  <c r="E16" i="20"/>
  <c r="U11" i="20"/>
  <c r="T11" i="20"/>
  <c r="S11" i="20"/>
  <c r="R11" i="20"/>
  <c r="Q11" i="20"/>
  <c r="P11" i="20"/>
  <c r="J11" i="20"/>
  <c r="I11" i="20"/>
  <c r="H11" i="20"/>
  <c r="G11" i="20"/>
  <c r="F11" i="20"/>
  <c r="E11" i="20"/>
  <c r="U10" i="20"/>
  <c r="T10" i="20"/>
  <c r="S10" i="20"/>
  <c r="R10" i="20"/>
  <c r="Q10" i="20"/>
  <c r="P10" i="20"/>
  <c r="J10" i="20"/>
  <c r="I10" i="20"/>
  <c r="H10" i="20"/>
  <c r="G10" i="20"/>
  <c r="F10" i="20"/>
  <c r="E10" i="20"/>
  <c r="U9" i="20"/>
  <c r="T9" i="20"/>
  <c r="S9" i="20"/>
  <c r="R9" i="20"/>
  <c r="Q9" i="20"/>
  <c r="P9" i="20"/>
  <c r="J9" i="20"/>
  <c r="I9" i="20"/>
  <c r="H9" i="20"/>
  <c r="G9" i="20"/>
  <c r="F9" i="20"/>
  <c r="E9" i="20"/>
  <c r="N8" i="20"/>
  <c r="M8" i="20" s="1"/>
  <c r="C8" i="20"/>
  <c r="B8" i="20" s="1"/>
  <c r="J8" i="20" s="1"/>
  <c r="M6" i="20"/>
  <c r="R6" i="20" s="1"/>
  <c r="B6" i="20"/>
  <c r="J6" i="20" s="1"/>
  <c r="U20" i="19"/>
  <c r="T20" i="19"/>
  <c r="S20" i="19"/>
  <c r="R20" i="19"/>
  <c r="Q20" i="19"/>
  <c r="P20" i="19"/>
  <c r="J20" i="19"/>
  <c r="I20" i="19"/>
  <c r="H20" i="19"/>
  <c r="G20" i="19"/>
  <c r="F20" i="19"/>
  <c r="E20" i="19"/>
  <c r="U19" i="19"/>
  <c r="T19" i="19"/>
  <c r="S19" i="19"/>
  <c r="R19" i="19"/>
  <c r="Q19" i="19"/>
  <c r="P19" i="19"/>
  <c r="J19" i="19"/>
  <c r="I19" i="19"/>
  <c r="H19" i="19"/>
  <c r="G19" i="19"/>
  <c r="F19" i="19"/>
  <c r="E19" i="19"/>
  <c r="U18" i="19"/>
  <c r="T18" i="19"/>
  <c r="S18" i="19"/>
  <c r="R18" i="19"/>
  <c r="Q18" i="19"/>
  <c r="P18" i="19"/>
  <c r="J18" i="19"/>
  <c r="I18" i="19"/>
  <c r="H18" i="19"/>
  <c r="G18" i="19"/>
  <c r="F18" i="19"/>
  <c r="E18" i="19"/>
  <c r="U17" i="19"/>
  <c r="T17" i="19"/>
  <c r="S17" i="19"/>
  <c r="R17" i="19"/>
  <c r="Q17" i="19"/>
  <c r="P17" i="19"/>
  <c r="J17" i="19"/>
  <c r="I17" i="19"/>
  <c r="H17" i="19"/>
  <c r="G17" i="19"/>
  <c r="F17" i="19"/>
  <c r="E17" i="19"/>
  <c r="U16" i="19"/>
  <c r="T16" i="19"/>
  <c r="S16" i="19"/>
  <c r="R16" i="19"/>
  <c r="Q16" i="19"/>
  <c r="P16" i="19"/>
  <c r="J16" i="19"/>
  <c r="I16" i="19"/>
  <c r="H16" i="19"/>
  <c r="G16" i="19"/>
  <c r="F16" i="19"/>
  <c r="E16" i="19"/>
  <c r="U11" i="19"/>
  <c r="T11" i="19"/>
  <c r="S11" i="19"/>
  <c r="R11" i="19"/>
  <c r="Q11" i="19"/>
  <c r="P11" i="19"/>
  <c r="J11" i="19"/>
  <c r="I11" i="19"/>
  <c r="H11" i="19"/>
  <c r="G11" i="19"/>
  <c r="F11" i="19"/>
  <c r="E11" i="19"/>
  <c r="U10" i="19"/>
  <c r="T10" i="19"/>
  <c r="S10" i="19"/>
  <c r="R10" i="19"/>
  <c r="Q10" i="19"/>
  <c r="P10" i="19"/>
  <c r="J10" i="19"/>
  <c r="I10" i="19"/>
  <c r="H10" i="19"/>
  <c r="G10" i="19"/>
  <c r="F10" i="19"/>
  <c r="E10" i="19"/>
  <c r="U9" i="19"/>
  <c r="T9" i="19"/>
  <c r="S9" i="19"/>
  <c r="R9" i="19"/>
  <c r="Q9" i="19"/>
  <c r="P9" i="19"/>
  <c r="J9" i="19"/>
  <c r="I9" i="19"/>
  <c r="H9" i="19"/>
  <c r="G9" i="19"/>
  <c r="F9" i="19"/>
  <c r="E9" i="19"/>
  <c r="N8" i="19"/>
  <c r="M8" i="19" s="1"/>
  <c r="C8" i="19"/>
  <c r="B8" i="19" s="1"/>
  <c r="H8" i="19" s="1"/>
  <c r="M6" i="19"/>
  <c r="R6" i="19" s="1"/>
  <c r="J20" i="23"/>
  <c r="I20" i="23"/>
  <c r="H20" i="23"/>
  <c r="G20" i="23"/>
  <c r="F20" i="23"/>
  <c r="E20" i="23"/>
  <c r="J19" i="23"/>
  <c r="I19" i="23"/>
  <c r="H19" i="23"/>
  <c r="G19" i="23"/>
  <c r="F19" i="23"/>
  <c r="E19" i="23"/>
  <c r="J18" i="23"/>
  <c r="I18" i="23"/>
  <c r="H18" i="23"/>
  <c r="G18" i="23"/>
  <c r="F18" i="23"/>
  <c r="E18" i="23"/>
  <c r="J17" i="23"/>
  <c r="I17" i="23"/>
  <c r="H17" i="23"/>
  <c r="G17" i="23"/>
  <c r="F17" i="23"/>
  <c r="E17" i="23"/>
  <c r="J16" i="23"/>
  <c r="I16" i="23"/>
  <c r="H16" i="23"/>
  <c r="G16" i="23"/>
  <c r="F16" i="23"/>
  <c r="E16" i="23"/>
  <c r="J11" i="23"/>
  <c r="I11" i="23"/>
  <c r="H11" i="23"/>
  <c r="G11" i="23"/>
  <c r="F11" i="23"/>
  <c r="E11" i="23"/>
  <c r="J10" i="23"/>
  <c r="I10" i="23"/>
  <c r="H10" i="23"/>
  <c r="G10" i="23"/>
  <c r="F10" i="23"/>
  <c r="E10" i="23"/>
  <c r="J9" i="23"/>
  <c r="I9" i="23"/>
  <c r="H9" i="23"/>
  <c r="G9" i="23"/>
  <c r="F9" i="23"/>
  <c r="E9" i="23"/>
  <c r="C8" i="23"/>
  <c r="B8" i="23" s="1"/>
  <c r="J20" i="22"/>
  <c r="I20" i="22"/>
  <c r="H20" i="22"/>
  <c r="G20" i="22"/>
  <c r="F20" i="22"/>
  <c r="E20" i="22"/>
  <c r="J19" i="22"/>
  <c r="I19" i="22"/>
  <c r="H19" i="22"/>
  <c r="G19" i="22"/>
  <c r="F19" i="22"/>
  <c r="E19" i="22"/>
  <c r="J18" i="22"/>
  <c r="I18" i="22"/>
  <c r="H18" i="22"/>
  <c r="G18" i="22"/>
  <c r="F18" i="22"/>
  <c r="E18" i="22"/>
  <c r="J17" i="22"/>
  <c r="I17" i="22"/>
  <c r="H17" i="22"/>
  <c r="G17" i="22"/>
  <c r="F17" i="22"/>
  <c r="E17" i="22"/>
  <c r="J16" i="22"/>
  <c r="I16" i="22"/>
  <c r="H16" i="22"/>
  <c r="G16" i="22"/>
  <c r="F16" i="22"/>
  <c r="E16" i="22"/>
  <c r="J11" i="22"/>
  <c r="I11" i="22"/>
  <c r="H11" i="22"/>
  <c r="G11" i="22"/>
  <c r="F11" i="22"/>
  <c r="E11" i="22"/>
  <c r="J10" i="22"/>
  <c r="I10" i="22"/>
  <c r="H10" i="22"/>
  <c r="G10" i="22"/>
  <c r="F10" i="22"/>
  <c r="E10" i="22"/>
  <c r="J9" i="22"/>
  <c r="I9" i="22"/>
  <c r="H9" i="22"/>
  <c r="G9" i="22"/>
  <c r="F9" i="22"/>
  <c r="E9" i="22"/>
  <c r="C8" i="22"/>
  <c r="B8" i="22" s="1"/>
  <c r="B6" i="22"/>
  <c r="J6" i="22" s="1"/>
  <c r="J20" i="21"/>
  <c r="I20" i="21"/>
  <c r="H20" i="21"/>
  <c r="G20" i="21"/>
  <c r="F20" i="21"/>
  <c r="E20" i="21"/>
  <c r="J19" i="21"/>
  <c r="I19" i="21"/>
  <c r="H19" i="21"/>
  <c r="G19" i="21"/>
  <c r="F19" i="21"/>
  <c r="E19" i="21"/>
  <c r="J18" i="21"/>
  <c r="I18" i="21"/>
  <c r="H18" i="21"/>
  <c r="G18" i="21"/>
  <c r="F18" i="21"/>
  <c r="E18" i="21"/>
  <c r="J17" i="21"/>
  <c r="I17" i="21"/>
  <c r="H17" i="21"/>
  <c r="G17" i="21"/>
  <c r="F17" i="21"/>
  <c r="E17" i="21"/>
  <c r="J16" i="21"/>
  <c r="I16" i="21"/>
  <c r="H16" i="21"/>
  <c r="G16" i="21"/>
  <c r="F16" i="21"/>
  <c r="E16" i="21"/>
  <c r="J11" i="21"/>
  <c r="I11" i="21"/>
  <c r="H11" i="21"/>
  <c r="G11" i="21"/>
  <c r="F11" i="21"/>
  <c r="E11" i="21"/>
  <c r="J10" i="21"/>
  <c r="I10" i="21"/>
  <c r="H10" i="21"/>
  <c r="G10" i="21"/>
  <c r="F10" i="21"/>
  <c r="E10" i="21"/>
  <c r="J9" i="21"/>
  <c r="I9" i="21"/>
  <c r="H9" i="21"/>
  <c r="G9" i="21"/>
  <c r="F9" i="21"/>
  <c r="E9" i="21"/>
  <c r="C8" i="21"/>
  <c r="B8" i="21" s="1"/>
  <c r="B6" i="21"/>
  <c r="Q21" i="3"/>
  <c r="F592" i="12" s="1"/>
  <c r="F594" i="12" s="1"/>
  <c r="Q12" i="3"/>
  <c r="Q3" i="3"/>
  <c r="L21" i="3"/>
  <c r="F439" i="12" s="1"/>
  <c r="L3" i="3"/>
  <c r="F286" i="12" s="1"/>
  <c r="L30" i="3"/>
  <c r="F388" i="12" s="1"/>
  <c r="L12" i="3"/>
  <c r="D17" i="5"/>
  <c r="D16" i="5"/>
  <c r="D15" i="5"/>
  <c r="D14" i="5"/>
  <c r="D13" i="5"/>
  <c r="D12" i="5"/>
  <c r="D21" i="5"/>
  <c r="D20" i="5"/>
  <c r="D19" i="5"/>
  <c r="F410" i="12" l="1"/>
  <c r="F391" i="12" s="1"/>
  <c r="F390" i="12"/>
  <c r="F614" i="12"/>
  <c r="F595" i="12" s="1"/>
  <c r="F461" i="12"/>
  <c r="F442" i="12" s="1"/>
  <c r="F441" i="12"/>
  <c r="F616" i="12"/>
  <c r="F618" i="12" s="1"/>
  <c r="F591" i="12"/>
  <c r="L72" i="8"/>
  <c r="F541" i="12"/>
  <c r="F543" i="12" s="1"/>
  <c r="L62" i="8"/>
  <c r="F490" i="12"/>
  <c r="F492" i="12" s="1"/>
  <c r="F463" i="12"/>
  <c r="F485" i="12" s="1"/>
  <c r="F466" i="12" s="1"/>
  <c r="J439" i="12"/>
  <c r="J461" i="12" s="1"/>
  <c r="J442" i="12" s="1"/>
  <c r="F438" i="12"/>
  <c r="F412" i="12"/>
  <c r="F434" i="12" s="1"/>
  <c r="F415" i="12" s="1"/>
  <c r="J388" i="12"/>
  <c r="J410" i="12" s="1"/>
  <c r="J391" i="12" s="1"/>
  <c r="F387" i="12"/>
  <c r="J337" i="12"/>
  <c r="J359" i="12" s="1"/>
  <c r="J340" i="12" s="1"/>
  <c r="F337" i="12"/>
  <c r="F310" i="12"/>
  <c r="J286" i="12"/>
  <c r="J308" i="12" s="1"/>
  <c r="J289" i="12" s="1"/>
  <c r="F285" i="12"/>
  <c r="F288" i="12"/>
  <c r="L112" i="8"/>
  <c r="K112" i="9"/>
  <c r="L122" i="8"/>
  <c r="K122" i="9"/>
  <c r="L14" i="3"/>
  <c r="L13" i="3" s="1"/>
  <c r="L5" i="3"/>
  <c r="L4" i="3" s="1"/>
  <c r="K92" i="9"/>
  <c r="L92" i="8"/>
  <c r="K102" i="9"/>
  <c r="L102" i="8"/>
  <c r="L32" i="3"/>
  <c r="L31" i="3" s="1"/>
  <c r="L23" i="3"/>
  <c r="L22" i="3" s="1"/>
  <c r="L82" i="8"/>
  <c r="K72" i="9"/>
  <c r="K62" i="9"/>
  <c r="K82" i="9"/>
  <c r="R21" i="3"/>
  <c r="G592" i="12" s="1"/>
  <c r="G594" i="12" s="1"/>
  <c r="Q14" i="3"/>
  <c r="Q13" i="3" s="1"/>
  <c r="R3" i="3"/>
  <c r="E4" i="23"/>
  <c r="E4" i="22"/>
  <c r="E4" i="21"/>
  <c r="E4" i="20"/>
  <c r="E4" i="19"/>
  <c r="E4" i="18"/>
  <c r="E4" i="17"/>
  <c r="H8" i="18"/>
  <c r="E8" i="18"/>
  <c r="J8" i="18"/>
  <c r="I8" i="18"/>
  <c r="G8" i="18"/>
  <c r="F8" i="18"/>
  <c r="J6" i="18"/>
  <c r="F6" i="18"/>
  <c r="G6" i="18"/>
  <c r="I6" i="18"/>
  <c r="E6" i="18"/>
  <c r="S6" i="20"/>
  <c r="I8" i="17"/>
  <c r="F8" i="17"/>
  <c r="J8" i="17"/>
  <c r="G8" i="17"/>
  <c r="H8" i="17"/>
  <c r="E8" i="17"/>
  <c r="H6" i="17"/>
  <c r="E6" i="17"/>
  <c r="G6" i="17"/>
  <c r="I6" i="17"/>
  <c r="J6" i="17"/>
  <c r="R8" i="20"/>
  <c r="U8" i="20"/>
  <c r="T8" i="20"/>
  <c r="S8" i="20"/>
  <c r="T6" i="20"/>
  <c r="U6" i="20"/>
  <c r="E6" i="20"/>
  <c r="F6" i="20"/>
  <c r="G6" i="20"/>
  <c r="H6" i="20"/>
  <c r="I6" i="20"/>
  <c r="P6" i="20"/>
  <c r="Q6" i="20"/>
  <c r="I8" i="20"/>
  <c r="E8" i="20"/>
  <c r="F8" i="20"/>
  <c r="G8" i="20"/>
  <c r="H8" i="20"/>
  <c r="P8" i="20"/>
  <c r="Q8" i="20"/>
  <c r="S8" i="19"/>
  <c r="R8" i="19"/>
  <c r="Q8" i="19"/>
  <c r="P8" i="19"/>
  <c r="T8" i="19"/>
  <c r="U8" i="19"/>
  <c r="F6" i="19"/>
  <c r="E6" i="19"/>
  <c r="P6" i="19"/>
  <c r="Q6" i="19"/>
  <c r="I8" i="19"/>
  <c r="J8" i="19"/>
  <c r="I6" i="19"/>
  <c r="S6" i="19"/>
  <c r="T6" i="19"/>
  <c r="U6" i="19"/>
  <c r="G6" i="19"/>
  <c r="H6" i="19"/>
  <c r="E8" i="19"/>
  <c r="F8" i="19"/>
  <c r="G8" i="19"/>
  <c r="J8" i="23"/>
  <c r="G8" i="23"/>
  <c r="I8" i="23"/>
  <c r="H8" i="23"/>
  <c r="F8" i="23"/>
  <c r="E8" i="23"/>
  <c r="E6" i="23"/>
  <c r="I6" i="23"/>
  <c r="J6" i="23"/>
  <c r="F6" i="23"/>
  <c r="G6" i="23"/>
  <c r="H8" i="22"/>
  <c r="F8" i="22"/>
  <c r="E8" i="22"/>
  <c r="J8" i="22"/>
  <c r="I8" i="22"/>
  <c r="G8" i="22"/>
  <c r="E6" i="22"/>
  <c r="F6" i="22"/>
  <c r="G6" i="22"/>
  <c r="H6" i="22"/>
  <c r="I6" i="22"/>
  <c r="G8" i="21"/>
  <c r="F8" i="21"/>
  <c r="I8" i="21"/>
  <c r="H8" i="21"/>
  <c r="J8" i="21"/>
  <c r="E8" i="21"/>
  <c r="H6" i="21"/>
  <c r="I6" i="21"/>
  <c r="J6" i="21"/>
  <c r="E6" i="21"/>
  <c r="F6" i="21"/>
  <c r="G6" i="21"/>
  <c r="Q5" i="3"/>
  <c r="Q23" i="3"/>
  <c r="R12" i="3"/>
  <c r="M30" i="3"/>
  <c r="G388" i="12" s="1"/>
  <c r="G410" i="12" s="1"/>
  <c r="G391" i="12" s="1"/>
  <c r="M21" i="3"/>
  <c r="G439" i="12" s="1"/>
  <c r="G461" i="12" s="1"/>
  <c r="G442" i="12" s="1"/>
  <c r="M12" i="3"/>
  <c r="G337" i="12" s="1"/>
  <c r="M3" i="3"/>
  <c r="G286" i="12" s="1"/>
  <c r="G614" i="12" l="1"/>
  <c r="G595" i="12" s="1"/>
  <c r="F512" i="12"/>
  <c r="F493" i="12" s="1"/>
  <c r="F638" i="12"/>
  <c r="F619" i="12" s="1"/>
  <c r="G616" i="12"/>
  <c r="G618" i="12" s="1"/>
  <c r="G591" i="12"/>
  <c r="F563" i="12"/>
  <c r="F544" i="12" s="1"/>
  <c r="F565" i="12"/>
  <c r="F567" i="12" s="1"/>
  <c r="L75" i="8"/>
  <c r="G541" i="12"/>
  <c r="G543" i="12" s="1"/>
  <c r="F540" i="12"/>
  <c r="L65" i="8"/>
  <c r="G490" i="12"/>
  <c r="G492" i="12" s="1"/>
  <c r="F489" i="12"/>
  <c r="F514" i="12"/>
  <c r="F516" i="12" s="1"/>
  <c r="G463" i="12"/>
  <c r="G485" i="12" s="1"/>
  <c r="G466" i="12" s="1"/>
  <c r="G438" i="12"/>
  <c r="K439" i="12"/>
  <c r="K461" i="12" s="1"/>
  <c r="K442" i="12" s="1"/>
  <c r="G441" i="12"/>
  <c r="J438" i="12"/>
  <c r="J441" i="12"/>
  <c r="F465" i="12"/>
  <c r="J463" i="12"/>
  <c r="J485" i="12" s="1"/>
  <c r="J466" i="12" s="1"/>
  <c r="G390" i="12"/>
  <c r="G412" i="12"/>
  <c r="G434" i="12" s="1"/>
  <c r="G415" i="12" s="1"/>
  <c r="K388" i="12"/>
  <c r="K410" i="12" s="1"/>
  <c r="K391" i="12" s="1"/>
  <c r="G387" i="12"/>
  <c r="J390" i="12"/>
  <c r="J387" i="12"/>
  <c r="J412" i="12"/>
  <c r="J434" i="12" s="1"/>
  <c r="J415" i="12" s="1"/>
  <c r="F414" i="12"/>
  <c r="J339" i="12"/>
  <c r="J336" i="12"/>
  <c r="J361" i="12"/>
  <c r="J363" i="12" s="1"/>
  <c r="G361" i="12"/>
  <c r="G336" i="12"/>
  <c r="G339" i="12"/>
  <c r="F339" i="12"/>
  <c r="F361" i="12"/>
  <c r="F363" i="12" s="1"/>
  <c r="F336" i="12"/>
  <c r="F12" i="18"/>
  <c r="E12" i="18"/>
  <c r="K125" i="9"/>
  <c r="K337" i="12"/>
  <c r="K115" i="9"/>
  <c r="J285" i="12"/>
  <c r="J288" i="12"/>
  <c r="F313" i="12"/>
  <c r="J310" i="12"/>
  <c r="F312" i="12"/>
  <c r="G4" i="18"/>
  <c r="L125" i="8"/>
  <c r="G4" i="17"/>
  <c r="L115" i="8"/>
  <c r="K95" i="9"/>
  <c r="L95" i="8"/>
  <c r="K105" i="9"/>
  <c r="L105" i="8"/>
  <c r="G4" i="20"/>
  <c r="G4" i="19"/>
  <c r="L85" i="8"/>
  <c r="K75" i="9"/>
  <c r="K65" i="9"/>
  <c r="R23" i="3"/>
  <c r="R22" i="3" s="1"/>
  <c r="K85" i="9"/>
  <c r="S21" i="3"/>
  <c r="H592" i="12" s="1"/>
  <c r="H594" i="12" s="1"/>
  <c r="S3" i="3"/>
  <c r="G4" i="23"/>
  <c r="R5" i="3"/>
  <c r="R4" i="3" s="1"/>
  <c r="G4" i="22"/>
  <c r="G4" i="21"/>
  <c r="Q15" i="3"/>
  <c r="Q16" i="3" s="1"/>
  <c r="Q17" i="3"/>
  <c r="L33" i="3"/>
  <c r="L34" i="3" s="1"/>
  <c r="L35" i="3"/>
  <c r="L24" i="3"/>
  <c r="L25" i="3" s="1"/>
  <c r="L26" i="3"/>
  <c r="L15" i="3"/>
  <c r="L16" i="3" s="1"/>
  <c r="L17" i="3"/>
  <c r="L6" i="3"/>
  <c r="L7" i="3" s="1"/>
  <c r="L8" i="3"/>
  <c r="Q4" i="3"/>
  <c r="Q8" i="3" s="1"/>
  <c r="S12" i="3"/>
  <c r="R14" i="3"/>
  <c r="Q22" i="3"/>
  <c r="M32" i="3"/>
  <c r="N30" i="3"/>
  <c r="H388" i="12" s="1"/>
  <c r="H410" i="12" s="1"/>
  <c r="H391" i="12" s="1"/>
  <c r="M23" i="3"/>
  <c r="N21" i="3"/>
  <c r="H439" i="12" s="1"/>
  <c r="H461" i="12" s="1"/>
  <c r="H442" i="12" s="1"/>
  <c r="M14" i="3"/>
  <c r="N12" i="3"/>
  <c r="M5" i="3"/>
  <c r="N3" i="3"/>
  <c r="H286" i="12" s="1"/>
  <c r="J332" i="12" l="1"/>
  <c r="J313" i="12" s="1"/>
  <c r="J312" i="12"/>
  <c r="H614" i="12"/>
  <c r="H595" i="12" s="1"/>
  <c r="F587" i="12"/>
  <c r="F568" i="12" s="1"/>
  <c r="G563" i="12"/>
  <c r="G544" i="12" s="1"/>
  <c r="F536" i="12"/>
  <c r="F517" i="12" s="1"/>
  <c r="G512" i="12"/>
  <c r="G493" i="12" s="1"/>
  <c r="G638" i="12"/>
  <c r="G619" i="12" s="1"/>
  <c r="H616" i="12"/>
  <c r="H618" i="12" s="1"/>
  <c r="H591" i="12"/>
  <c r="L78" i="8"/>
  <c r="H541" i="12"/>
  <c r="H543" i="12" s="1"/>
  <c r="G565" i="12"/>
  <c r="G567" i="12" s="1"/>
  <c r="G540" i="12"/>
  <c r="L68" i="8"/>
  <c r="H490" i="12"/>
  <c r="G514" i="12"/>
  <c r="G489" i="12"/>
  <c r="H463" i="12"/>
  <c r="H485" i="12" s="1"/>
  <c r="H466" i="12" s="1"/>
  <c r="L439" i="12"/>
  <c r="L461" i="12" s="1"/>
  <c r="L442" i="12" s="1"/>
  <c r="H441" i="12"/>
  <c r="H438" i="12"/>
  <c r="K438" i="12"/>
  <c r="K441" i="12"/>
  <c r="G465" i="12"/>
  <c r="K463" i="12"/>
  <c r="K485" i="12" s="1"/>
  <c r="K466" i="12" s="1"/>
  <c r="J465" i="12"/>
  <c r="H412" i="12"/>
  <c r="H434" i="12" s="1"/>
  <c r="H415" i="12" s="1"/>
  <c r="H387" i="12"/>
  <c r="L388" i="12"/>
  <c r="L410" i="12" s="1"/>
  <c r="L391" i="12" s="1"/>
  <c r="H390" i="12"/>
  <c r="K387" i="12"/>
  <c r="K390" i="12"/>
  <c r="G414" i="12"/>
  <c r="K412" i="12"/>
  <c r="K434" i="12" s="1"/>
  <c r="K415" i="12" s="1"/>
  <c r="J414" i="12"/>
  <c r="J383" i="12"/>
  <c r="J364" i="12" s="1"/>
  <c r="L337" i="12"/>
  <c r="L339" i="12" s="1"/>
  <c r="H337" i="12"/>
  <c r="G364" i="12"/>
  <c r="G363" i="12"/>
  <c r="K359" i="12"/>
  <c r="K340" i="12" s="1"/>
  <c r="K361" i="12"/>
  <c r="K339" i="12"/>
  <c r="K336" i="12"/>
  <c r="L286" i="12"/>
  <c r="L308" i="12" s="1"/>
  <c r="L289" i="12" s="1"/>
  <c r="H285" i="12"/>
  <c r="H310" i="12"/>
  <c r="H288" i="12"/>
  <c r="G288" i="12"/>
  <c r="K286" i="12"/>
  <c r="K308" i="12" s="1"/>
  <c r="K289" i="12" s="1"/>
  <c r="G285" i="12"/>
  <c r="G310" i="12"/>
  <c r="L118" i="8"/>
  <c r="K118" i="9"/>
  <c r="L128" i="8"/>
  <c r="K128" i="9"/>
  <c r="K98" i="9"/>
  <c r="L98" i="8"/>
  <c r="K108" i="9"/>
  <c r="L108" i="8"/>
  <c r="L88" i="8"/>
  <c r="K88" i="9"/>
  <c r="K78" i="9"/>
  <c r="I4" i="21"/>
  <c r="K68" i="9"/>
  <c r="S5" i="3"/>
  <c r="S4" i="3" s="1"/>
  <c r="S6" i="3" s="1"/>
  <c r="S7" i="3" s="1"/>
  <c r="I4" i="23"/>
  <c r="S23" i="3"/>
  <c r="S22" i="3" s="1"/>
  <c r="S26" i="3" s="1"/>
  <c r="S14" i="3"/>
  <c r="S13" i="3" s="1"/>
  <c r="I4" i="22"/>
  <c r="N32" i="3"/>
  <c r="N31" i="3" s="1"/>
  <c r="I4" i="20"/>
  <c r="N23" i="3"/>
  <c r="N22" i="3" s="1"/>
  <c r="I4" i="19"/>
  <c r="N14" i="3"/>
  <c r="N13" i="3" s="1"/>
  <c r="I4" i="18"/>
  <c r="N5" i="3"/>
  <c r="N4" i="3" s="1"/>
  <c r="I4" i="17"/>
  <c r="R24" i="3"/>
  <c r="R25" i="3" s="1"/>
  <c r="R26" i="3"/>
  <c r="Q24" i="3"/>
  <c r="Q25" i="3" s="1"/>
  <c r="Q26" i="3"/>
  <c r="R6" i="3"/>
  <c r="R7" i="3" s="1"/>
  <c r="R8" i="3"/>
  <c r="Q6" i="3"/>
  <c r="Q7" i="3" s="1"/>
  <c r="Q18" i="3"/>
  <c r="L73" i="8" s="1"/>
  <c r="R13" i="3"/>
  <c r="L27" i="3"/>
  <c r="L36" i="3"/>
  <c r="M31" i="3"/>
  <c r="M22" i="3"/>
  <c r="L18" i="3"/>
  <c r="M13" i="3"/>
  <c r="L9" i="3"/>
  <c r="M4" i="3"/>
  <c r="G587" i="12" l="1"/>
  <c r="G568" i="12" s="1"/>
  <c r="H563" i="12"/>
  <c r="H544" i="12" s="1"/>
  <c r="G536" i="12"/>
  <c r="G517" i="12" s="1"/>
  <c r="G516" i="12"/>
  <c r="H512" i="12"/>
  <c r="H493" i="12" s="1"/>
  <c r="H492" i="12"/>
  <c r="H638" i="12"/>
  <c r="H619" i="12" s="1"/>
  <c r="H540" i="12"/>
  <c r="H565" i="12"/>
  <c r="H567" i="12" s="1"/>
  <c r="H489" i="12"/>
  <c r="H514" i="12"/>
  <c r="L438" i="12"/>
  <c r="L441" i="12"/>
  <c r="H465" i="12"/>
  <c r="L463" i="12"/>
  <c r="L485" i="12" s="1"/>
  <c r="L466" i="12" s="1"/>
  <c r="K465" i="12"/>
  <c r="L390" i="12"/>
  <c r="L387" i="12"/>
  <c r="H414" i="12"/>
  <c r="L412" i="12"/>
  <c r="L434" i="12" s="1"/>
  <c r="L415" i="12" s="1"/>
  <c r="K414" i="12"/>
  <c r="L336" i="12"/>
  <c r="L361" i="12"/>
  <c r="L363" i="12" s="1"/>
  <c r="L359" i="12"/>
  <c r="L340" i="12" s="1"/>
  <c r="H361" i="12"/>
  <c r="H363" i="12" s="1"/>
  <c r="H339" i="12"/>
  <c r="H336" i="12"/>
  <c r="K363" i="12"/>
  <c r="K383" i="12"/>
  <c r="K364" i="12" s="1"/>
  <c r="H312" i="12"/>
  <c r="H313" i="12"/>
  <c r="L310" i="12"/>
  <c r="L332" i="12" s="1"/>
  <c r="L313" i="12" s="1"/>
  <c r="L285" i="12"/>
  <c r="L288" i="12"/>
  <c r="G312" i="12"/>
  <c r="G313" i="12"/>
  <c r="K310" i="12"/>
  <c r="K332" i="12" s="1"/>
  <c r="K313" i="12" s="1"/>
  <c r="K288" i="12"/>
  <c r="K285" i="12"/>
  <c r="L123" i="8"/>
  <c r="K123" i="9"/>
  <c r="L113" i="8"/>
  <c r="K113" i="9"/>
  <c r="E25" i="18"/>
  <c r="K103" i="9"/>
  <c r="L103" i="8"/>
  <c r="K93" i="9"/>
  <c r="L93" i="8"/>
  <c r="E25" i="20"/>
  <c r="S8" i="3"/>
  <c r="S9" i="3" s="1"/>
  <c r="L69" i="8" s="1"/>
  <c r="E25" i="19"/>
  <c r="K73" i="9"/>
  <c r="S24" i="3"/>
  <c r="S25" i="3" s="1"/>
  <c r="S27" i="3" s="1"/>
  <c r="E25" i="22"/>
  <c r="E24" i="22"/>
  <c r="F24" i="22"/>
  <c r="E24" i="20"/>
  <c r="F24" i="20"/>
  <c r="E24" i="19"/>
  <c r="F24" i="19"/>
  <c r="E24" i="18"/>
  <c r="F24" i="18"/>
  <c r="F24" i="17"/>
  <c r="E25" i="17"/>
  <c r="B12" i="17"/>
  <c r="E24" i="17"/>
  <c r="S15" i="3"/>
  <c r="S16" i="3" s="1"/>
  <c r="S17" i="3"/>
  <c r="R15" i="3"/>
  <c r="R16" i="3" s="1"/>
  <c r="R17" i="3"/>
  <c r="N33" i="3"/>
  <c r="N34" i="3" s="1"/>
  <c r="N35" i="3"/>
  <c r="M33" i="3"/>
  <c r="M34" i="3" s="1"/>
  <c r="M35" i="3"/>
  <c r="N24" i="3"/>
  <c r="N25" i="3" s="1"/>
  <c r="N26" i="3"/>
  <c r="M24" i="3"/>
  <c r="M25" i="3" s="1"/>
  <c r="M26" i="3"/>
  <c r="N15" i="3"/>
  <c r="N16" i="3" s="1"/>
  <c r="N17" i="3"/>
  <c r="M15" i="3"/>
  <c r="M16" i="3" s="1"/>
  <c r="M17" i="3"/>
  <c r="N6" i="3"/>
  <c r="N7" i="3" s="1"/>
  <c r="N8" i="3"/>
  <c r="M6" i="3"/>
  <c r="M7" i="3" s="1"/>
  <c r="M8" i="3"/>
  <c r="Q9" i="3"/>
  <c r="L63" i="8" s="1"/>
  <c r="R27" i="3"/>
  <c r="G25" i="23" s="1"/>
  <c r="Q27" i="3"/>
  <c r="R9" i="3"/>
  <c r="L66" i="8" s="1"/>
  <c r="H587" i="12" l="1"/>
  <c r="H568" i="12" s="1"/>
  <c r="H536" i="12"/>
  <c r="H517" i="12" s="1"/>
  <c r="H516" i="12"/>
  <c r="L465" i="12"/>
  <c r="L383" i="12"/>
  <c r="L364" i="12" s="1"/>
  <c r="L414" i="12"/>
  <c r="L312" i="12"/>
  <c r="K312" i="12"/>
  <c r="L83" i="8"/>
  <c r="L89" i="8"/>
  <c r="L86" i="8"/>
  <c r="K83" i="9"/>
  <c r="K63" i="9"/>
  <c r="K89" i="9"/>
  <c r="K69" i="9"/>
  <c r="K66" i="9"/>
  <c r="K86" i="9"/>
  <c r="I25" i="23"/>
  <c r="E25" i="23"/>
  <c r="I25" i="21"/>
  <c r="G25" i="21"/>
  <c r="F24" i="21"/>
  <c r="I24" i="23"/>
  <c r="J24" i="23"/>
  <c r="G24" i="23"/>
  <c r="H24" i="23"/>
  <c r="E24" i="23"/>
  <c r="F24" i="23"/>
  <c r="I24" i="21"/>
  <c r="J24" i="21"/>
  <c r="G24" i="21"/>
  <c r="H24" i="21"/>
  <c r="E24" i="21"/>
  <c r="E25" i="21"/>
  <c r="J347" i="12"/>
  <c r="E14" i="18"/>
  <c r="J349" i="12" s="1"/>
  <c r="B14" i="18"/>
  <c r="F14" i="18"/>
  <c r="J373" i="12" s="1"/>
  <c r="J371" i="12"/>
  <c r="B12" i="18"/>
  <c r="B14" i="17"/>
  <c r="F14" i="17"/>
  <c r="F12" i="17"/>
  <c r="E12" i="17"/>
  <c r="E14" i="17"/>
  <c r="M36" i="3"/>
  <c r="S18" i="3"/>
  <c r="L79" i="8" s="1"/>
  <c r="R18" i="3"/>
  <c r="L76" i="8" s="1"/>
  <c r="M27" i="3"/>
  <c r="N9" i="3"/>
  <c r="N36" i="3"/>
  <c r="N27" i="3"/>
  <c r="M18" i="3"/>
  <c r="K126" i="9" s="1"/>
  <c r="M9" i="3"/>
  <c r="N18" i="3"/>
  <c r="K129" i="9" s="1"/>
  <c r="J320" i="12" l="1"/>
  <c r="J322" i="12"/>
  <c r="J298" i="12"/>
  <c r="J296" i="12"/>
  <c r="L116" i="8"/>
  <c r="K116" i="9"/>
  <c r="L119" i="8"/>
  <c r="K119" i="9"/>
  <c r="I25" i="18"/>
  <c r="L129" i="8"/>
  <c r="G25" i="18"/>
  <c r="L126" i="8"/>
  <c r="K109" i="9"/>
  <c r="L109" i="8"/>
  <c r="K99" i="9"/>
  <c r="L99" i="8"/>
  <c r="K96" i="9"/>
  <c r="L96" i="8"/>
  <c r="K106" i="9"/>
  <c r="L106" i="8"/>
  <c r="I25" i="20"/>
  <c r="G25" i="20"/>
  <c r="I25" i="19"/>
  <c r="G25" i="19"/>
  <c r="K76" i="9"/>
  <c r="K79" i="9"/>
  <c r="I25" i="22"/>
  <c r="G25" i="22"/>
  <c r="I24" i="22"/>
  <c r="J24" i="22"/>
  <c r="G24" i="22"/>
  <c r="H24" i="22"/>
  <c r="I24" i="20"/>
  <c r="J24" i="20"/>
  <c r="G24" i="20"/>
  <c r="H24" i="20"/>
  <c r="I24" i="19"/>
  <c r="J24" i="19"/>
  <c r="G24" i="19"/>
  <c r="H24" i="19"/>
  <c r="I24" i="18"/>
  <c r="J24" i="18"/>
  <c r="G24" i="18"/>
  <c r="H24" i="18"/>
  <c r="I25" i="17"/>
  <c r="I24" i="17"/>
  <c r="J24" i="17"/>
  <c r="G24" i="17"/>
  <c r="H24" i="17"/>
  <c r="G14" i="17"/>
  <c r="J14" i="17"/>
  <c r="I14" i="17"/>
  <c r="J12" i="17"/>
  <c r="I12" i="17"/>
  <c r="L320" i="12" l="1"/>
  <c r="L322" i="12"/>
  <c r="L298" i="12"/>
  <c r="L296" i="12"/>
  <c r="K298" i="12"/>
  <c r="H14" i="18"/>
  <c r="K373" i="12" s="1"/>
  <c r="G12" i="18"/>
  <c r="K347" i="12" s="1"/>
  <c r="G14" i="18"/>
  <c r="K349" i="12" s="1"/>
  <c r="H12" i="18"/>
  <c r="K371" i="12" s="1"/>
  <c r="J14" i="18"/>
  <c r="L373" i="12" s="1"/>
  <c r="I14" i="18"/>
  <c r="L349" i="12" s="1"/>
  <c r="J12" i="18"/>
  <c r="L371" i="12" s="1"/>
  <c r="I12" i="18"/>
  <c r="L347" i="12" s="1"/>
  <c r="H14" i="17"/>
  <c r="G12" i="17"/>
  <c r="H12" i="17"/>
  <c r="K322" i="12" l="1"/>
  <c r="K320" i="12"/>
  <c r="K296" i="12"/>
  <c r="A25" i="15"/>
  <c r="A26" i="15"/>
  <c r="A27" i="15"/>
  <c r="A28" i="15"/>
  <c r="A29" i="15"/>
  <c r="A30" i="15"/>
  <c r="A31" i="15"/>
  <c r="A32" i="15"/>
  <c r="A24" i="15"/>
  <c r="F15" i="18" l="1"/>
  <c r="B15" i="18"/>
  <c r="B21" i="18" s="1"/>
  <c r="E15" i="18"/>
  <c r="B15" i="17"/>
  <c r="B21" i="17" s="1"/>
  <c r="E15" i="17"/>
  <c r="F15" i="17"/>
  <c r="J15" i="17"/>
  <c r="G15" i="17"/>
  <c r="G15" i="18"/>
  <c r="I15" i="18"/>
  <c r="J15" i="18"/>
  <c r="H15" i="17"/>
  <c r="H15" i="18"/>
  <c r="I15" i="17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C8" i="16"/>
  <c r="B8" i="16" s="1"/>
  <c r="N8" i="16"/>
  <c r="M8" i="16" s="1"/>
  <c r="M6" i="16"/>
  <c r="B6" i="16"/>
  <c r="G6" i="16" s="1"/>
  <c r="G238" i="12" s="1"/>
  <c r="D24" i="5"/>
  <c r="D2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J21" i="18" l="1"/>
  <c r="L380" i="12" s="1"/>
  <c r="L374" i="12"/>
  <c r="H21" i="18"/>
  <c r="K380" i="12" s="1"/>
  <c r="K374" i="12"/>
  <c r="F21" i="18"/>
  <c r="J380" i="12" s="1"/>
  <c r="J374" i="12"/>
  <c r="I21" i="18"/>
  <c r="L356" i="12" s="1"/>
  <c r="L350" i="12"/>
  <c r="G21" i="18"/>
  <c r="K356" i="12" s="1"/>
  <c r="K350" i="12"/>
  <c r="E21" i="18"/>
  <c r="J356" i="12" s="1"/>
  <c r="J350" i="12"/>
  <c r="J21" i="17"/>
  <c r="L323" i="12"/>
  <c r="H21" i="17"/>
  <c r="K323" i="12"/>
  <c r="F21" i="17"/>
  <c r="J323" i="12"/>
  <c r="L299" i="12"/>
  <c r="K299" i="12"/>
  <c r="J299" i="12"/>
  <c r="I21" i="17"/>
  <c r="G21" i="17"/>
  <c r="E21" i="17"/>
  <c r="E6" i="16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H3" i="3"/>
  <c r="K55" i="9" s="1"/>
  <c r="J329" i="12" l="1"/>
  <c r="K329" i="12"/>
  <c r="L329" i="12"/>
  <c r="K305" i="12"/>
  <c r="J305" i="12"/>
  <c r="L305" i="12"/>
  <c r="G6" i="3"/>
  <c r="G7" i="3" s="1"/>
  <c r="G8" i="3"/>
  <c r="J262" i="12"/>
  <c r="L55" i="8"/>
  <c r="I3" i="3"/>
  <c r="K58" i="9" s="1"/>
  <c r="H5" i="3"/>
  <c r="I5" i="3" l="1"/>
  <c r="I4" i="3" s="1"/>
  <c r="L58" i="8"/>
  <c r="G9" i="3"/>
  <c r="E25" i="16" s="1"/>
  <c r="H4" i="3"/>
  <c r="P25" i="20" l="1"/>
  <c r="P25" i="19"/>
  <c r="F15" i="23"/>
  <c r="F629" i="12" s="1"/>
  <c r="F15" i="22"/>
  <c r="F234" i="12"/>
  <c r="F236" i="12" s="1"/>
  <c r="I6" i="3"/>
  <c r="I7" i="3" s="1"/>
  <c r="I8" i="3"/>
  <c r="H6" i="3"/>
  <c r="H7" i="3" s="1"/>
  <c r="H8" i="3"/>
  <c r="F24" i="16"/>
  <c r="F15" i="16" s="1"/>
  <c r="P25" i="16"/>
  <c r="K53" i="9"/>
  <c r="E24" i="16"/>
  <c r="E15" i="16" s="1"/>
  <c r="L53" i="8"/>
  <c r="F578" i="12" l="1"/>
  <c r="F258" i="12"/>
  <c r="F271" i="12"/>
  <c r="F256" i="12"/>
  <c r="F237" i="12" s="1"/>
  <c r="F233" i="12"/>
  <c r="J234" i="12"/>
  <c r="J280" i="12" s="1"/>
  <c r="J261" i="12" s="1"/>
  <c r="Q24" i="20"/>
  <c r="Q15" i="20" s="1"/>
  <c r="F15" i="20"/>
  <c r="E15" i="20"/>
  <c r="P24" i="20"/>
  <c r="B15" i="20"/>
  <c r="Q24" i="19"/>
  <c r="Q15" i="19" s="1"/>
  <c r="J476" i="12" s="1"/>
  <c r="F15" i="19"/>
  <c r="F476" i="12" s="1"/>
  <c r="P24" i="19"/>
  <c r="E15" i="19"/>
  <c r="F452" i="12" s="1"/>
  <c r="B15" i="19"/>
  <c r="B15" i="23"/>
  <c r="E15" i="23"/>
  <c r="F605" i="12" s="1"/>
  <c r="E15" i="22"/>
  <c r="B15" i="22"/>
  <c r="E15" i="21"/>
  <c r="B15" i="21"/>
  <c r="F15" i="21"/>
  <c r="B15" i="16"/>
  <c r="H9" i="3"/>
  <c r="I9" i="3"/>
  <c r="F554" i="12" l="1"/>
  <c r="F527" i="12"/>
  <c r="F503" i="12"/>
  <c r="F425" i="12"/>
  <c r="J425" i="12"/>
  <c r="F401" i="12"/>
  <c r="J236" i="12"/>
  <c r="J256" i="12"/>
  <c r="J237" i="12" s="1"/>
  <c r="F260" i="12"/>
  <c r="F280" i="12"/>
  <c r="F261" i="12" s="1"/>
  <c r="J258" i="12"/>
  <c r="J260" i="12" s="1"/>
  <c r="J233" i="12"/>
  <c r="T25" i="20"/>
  <c r="M15" i="20"/>
  <c r="P15" i="20"/>
  <c r="R25" i="20"/>
  <c r="P15" i="19"/>
  <c r="J452" i="12" s="1"/>
  <c r="M15" i="19"/>
  <c r="R25" i="19"/>
  <c r="T25" i="19"/>
  <c r="J15" i="23"/>
  <c r="H629" i="12" s="1"/>
  <c r="I15" i="23"/>
  <c r="H605" i="12" s="1"/>
  <c r="H15" i="23"/>
  <c r="G629" i="12" s="1"/>
  <c r="G15" i="23"/>
  <c r="G605" i="12" s="1"/>
  <c r="J15" i="22"/>
  <c r="I15" i="22"/>
  <c r="H15" i="22"/>
  <c r="G15" i="22"/>
  <c r="I25" i="16"/>
  <c r="T25" i="16" s="1"/>
  <c r="H234" i="12"/>
  <c r="G25" i="16"/>
  <c r="R25" i="16" s="1"/>
  <c r="G234" i="12"/>
  <c r="I24" i="16"/>
  <c r="I15" i="16" s="1"/>
  <c r="J24" i="16"/>
  <c r="J15" i="16" s="1"/>
  <c r="G24" i="16"/>
  <c r="G15" i="16" s="1"/>
  <c r="H24" i="16"/>
  <c r="H15" i="16" s="1"/>
  <c r="K56" i="9"/>
  <c r="L59" i="8"/>
  <c r="K59" i="9"/>
  <c r="L56" i="8"/>
  <c r="H578" i="12" l="1"/>
  <c r="G578" i="12"/>
  <c r="H554" i="12"/>
  <c r="G554" i="12"/>
  <c r="J401" i="12"/>
  <c r="G271" i="12"/>
  <c r="H271" i="12"/>
  <c r="I15" i="20"/>
  <c r="T24" i="20"/>
  <c r="T15" i="20" s="1"/>
  <c r="S24" i="20"/>
  <c r="S15" i="20" s="1"/>
  <c r="H15" i="20"/>
  <c r="J15" i="20"/>
  <c r="U24" i="20"/>
  <c r="U15" i="20" s="1"/>
  <c r="R24" i="20"/>
  <c r="R15" i="20" s="1"/>
  <c r="G15" i="20"/>
  <c r="S24" i="19"/>
  <c r="S15" i="19" s="1"/>
  <c r="K476" i="12" s="1"/>
  <c r="H15" i="19"/>
  <c r="G476" i="12" s="1"/>
  <c r="T24" i="19"/>
  <c r="T15" i="19" s="1"/>
  <c r="L452" i="12" s="1"/>
  <c r="I15" i="19"/>
  <c r="H452" i="12" s="1"/>
  <c r="J15" i="19"/>
  <c r="H476" i="12" s="1"/>
  <c r="U24" i="19"/>
  <c r="U15" i="19" s="1"/>
  <c r="L476" i="12" s="1"/>
  <c r="R24" i="19"/>
  <c r="R15" i="19" s="1"/>
  <c r="K452" i="12" s="1"/>
  <c r="G15" i="19"/>
  <c r="G452" i="12" s="1"/>
  <c r="G15" i="21"/>
  <c r="H15" i="21"/>
  <c r="J15" i="21"/>
  <c r="I15" i="21"/>
  <c r="G236" i="12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H527" i="12" l="1"/>
  <c r="G527" i="12"/>
  <c r="H503" i="12"/>
  <c r="G503" i="12"/>
  <c r="G425" i="12"/>
  <c r="H425" i="12"/>
  <c r="K425" i="12"/>
  <c r="L425" i="12"/>
  <c r="H401" i="12"/>
  <c r="G401" i="12"/>
  <c r="L401" i="12"/>
  <c r="K401" i="12"/>
  <c r="L256" i="12"/>
  <c r="L237" i="12" s="1"/>
  <c r="L280" i="12"/>
  <c r="L261" i="12" s="1"/>
  <c r="K256" i="12"/>
  <c r="K237" i="12" s="1"/>
  <c r="K280" i="12"/>
  <c r="K261" i="12" s="1"/>
  <c r="H280" i="12"/>
  <c r="H261" i="12" s="1"/>
  <c r="L258" i="12"/>
  <c r="H260" i="12"/>
  <c r="K258" i="12"/>
  <c r="G280" i="12"/>
  <c r="G261" i="12" s="1"/>
  <c r="G260" i="12"/>
  <c r="K236" i="12"/>
  <c r="L236" i="12"/>
  <c r="K233" i="12"/>
  <c r="L233" i="12"/>
  <c r="B6" i="10"/>
  <c r="E6" i="10" s="1"/>
  <c r="F155" i="12" s="1"/>
  <c r="K260" i="12" l="1"/>
  <c r="L260" i="12"/>
  <c r="B12" i="2"/>
  <c r="Y18" i="4" l="1"/>
  <c r="B3" i="3"/>
  <c r="B11" i="3"/>
  <c r="B20" i="3"/>
  <c r="B8" i="4"/>
  <c r="E8" i="4" s="1"/>
  <c r="F14" i="20" l="1"/>
  <c r="E14" i="20"/>
  <c r="P4" i="20"/>
  <c r="B14" i="20"/>
  <c r="F12" i="20"/>
  <c r="B12" i="20"/>
  <c r="E12" i="20"/>
  <c r="B14" i="23"/>
  <c r="F12" i="21"/>
  <c r="E4" i="1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F524" i="12" l="1"/>
  <c r="F422" i="12"/>
  <c r="F424" i="12"/>
  <c r="F400" i="12"/>
  <c r="F398" i="12"/>
  <c r="E21" i="20"/>
  <c r="F21" i="20"/>
  <c r="B21" i="20"/>
  <c r="E12" i="21"/>
  <c r="B12" i="21"/>
  <c r="F14" i="23"/>
  <c r="F628" i="12" s="1"/>
  <c r="B12" i="23"/>
  <c r="B21" i="23" s="1"/>
  <c r="E12" i="23"/>
  <c r="F602" i="12" s="1"/>
  <c r="F12" i="23"/>
  <c r="F626" i="12" s="1"/>
  <c r="E14" i="23"/>
  <c r="F604" i="12" s="1"/>
  <c r="F14" i="21"/>
  <c r="B14" i="21"/>
  <c r="E14" i="21"/>
  <c r="Q12" i="20"/>
  <c r="P12" i="20"/>
  <c r="M12" i="20"/>
  <c r="Q14" i="20"/>
  <c r="P14" i="20"/>
  <c r="M14" i="20"/>
  <c r="F14" i="19"/>
  <c r="F475" i="12" s="1"/>
  <c r="E14" i="19"/>
  <c r="F451" i="12" s="1"/>
  <c r="P4" i="19"/>
  <c r="B14" i="19"/>
  <c r="F12" i="19"/>
  <c r="F473" i="12" s="1"/>
  <c r="E12" i="19"/>
  <c r="F449" i="12" s="1"/>
  <c r="B12" i="19"/>
  <c r="F14" i="22"/>
  <c r="E14" i="22"/>
  <c r="B14" i="22"/>
  <c r="F12" i="22"/>
  <c r="E12" i="22"/>
  <c r="B12" i="22"/>
  <c r="B6" i="3"/>
  <c r="B8" i="3" s="1"/>
  <c r="B12" i="16"/>
  <c r="P4" i="16"/>
  <c r="F12" i="16"/>
  <c r="F14" i="16"/>
  <c r="E14" i="16"/>
  <c r="E12" i="16"/>
  <c r="Y6" i="4"/>
  <c r="V16" i="4"/>
  <c r="N6" i="4"/>
  <c r="K16" i="4"/>
  <c r="B14" i="4"/>
  <c r="H6" i="4"/>
  <c r="G5" i="4"/>
  <c r="G6" i="4"/>
  <c r="B6" i="13"/>
  <c r="F577" i="12" l="1"/>
  <c r="F575" i="12"/>
  <c r="F551" i="12"/>
  <c r="F553" i="12"/>
  <c r="F21" i="21"/>
  <c r="F526" i="12"/>
  <c r="F502" i="12"/>
  <c r="F500" i="12"/>
  <c r="J424" i="12"/>
  <c r="J422" i="12"/>
  <c r="F431" i="12"/>
  <c r="J400" i="12"/>
  <c r="F407" i="12"/>
  <c r="J398" i="12"/>
  <c r="F21" i="23"/>
  <c r="F635" i="12" s="1"/>
  <c r="F268" i="12"/>
  <c r="F270" i="12"/>
  <c r="E21" i="23"/>
  <c r="F611" i="12" s="1"/>
  <c r="F21" i="19"/>
  <c r="F482" i="12" s="1"/>
  <c r="B21" i="22"/>
  <c r="E21" i="22"/>
  <c r="F21" i="22"/>
  <c r="E21" i="19"/>
  <c r="F458" i="12" s="1"/>
  <c r="B21" i="21"/>
  <c r="E21" i="21"/>
  <c r="B21" i="19"/>
  <c r="M21" i="20"/>
  <c r="P21" i="20"/>
  <c r="Q21" i="20"/>
  <c r="P12" i="19"/>
  <c r="J449" i="12" s="1"/>
  <c r="M12" i="19"/>
  <c r="Q14" i="19"/>
  <c r="J475" i="12" s="1"/>
  <c r="P14" i="19"/>
  <c r="J451" i="12" s="1"/>
  <c r="Q12" i="19"/>
  <c r="J473" i="12" s="1"/>
  <c r="M14" i="19"/>
  <c r="M12" i="16"/>
  <c r="M14" i="16"/>
  <c r="F246" i="12"/>
  <c r="E21" i="16"/>
  <c r="F244" i="12"/>
  <c r="P14" i="16"/>
  <c r="Q12" i="16"/>
  <c r="P12" i="16"/>
  <c r="Q14" i="16"/>
  <c r="C10" i="4"/>
  <c r="B10" i="4" s="1"/>
  <c r="E10" i="4" s="1"/>
  <c r="F584" i="12" l="1"/>
  <c r="F560" i="12"/>
  <c r="F533" i="12"/>
  <c r="F509" i="12"/>
  <c r="J431" i="12"/>
  <c r="J407" i="12"/>
  <c r="J246" i="12"/>
  <c r="J270" i="12"/>
  <c r="J244" i="12"/>
  <c r="J268" i="12"/>
  <c r="Q21" i="19"/>
  <c r="J482" i="12" s="1"/>
  <c r="M21" i="19"/>
  <c r="P21" i="19"/>
  <c r="J458" i="12" s="1"/>
  <c r="C5" i="3"/>
  <c r="C4" i="3" s="1"/>
  <c r="C8" i="3" s="1"/>
  <c r="U16" i="2"/>
  <c r="V16" i="2" s="1"/>
  <c r="U15" i="2"/>
  <c r="V15" i="2" s="1"/>
  <c r="V18" i="2" s="1"/>
  <c r="C6" i="3" l="1"/>
  <c r="C11" i="2"/>
  <c r="C12" i="2" s="1"/>
  <c r="D11" i="2"/>
  <c r="D12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H11" i="12"/>
  <c r="H17" i="12"/>
  <c r="G11" i="12"/>
  <c r="G17" i="12"/>
  <c r="F11" i="12"/>
  <c r="F17" i="12"/>
  <c r="D11" i="12" l="1"/>
  <c r="D17" i="12"/>
  <c r="C11" i="12"/>
  <c r="C17" i="12"/>
  <c r="A2" i="8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B2" i="8" l="1"/>
  <c r="C2" i="8"/>
  <c r="E2" i="8"/>
  <c r="D23" i="12"/>
  <c r="P8" i="10"/>
  <c r="Q8" i="10"/>
  <c r="J212" i="12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4" i="3" s="1"/>
  <c r="K42" i="9"/>
  <c r="A2" i="9"/>
  <c r="K12" i="9"/>
  <c r="F124" i="12"/>
  <c r="J124" i="12" s="1"/>
  <c r="E4" i="10"/>
  <c r="B13" i="3"/>
  <c r="C11" i="3"/>
  <c r="K2" i="9"/>
  <c r="C29" i="3"/>
  <c r="E2" i="9" l="1"/>
  <c r="F2" i="8"/>
  <c r="B2" i="9"/>
  <c r="C2" i="9"/>
  <c r="R4" i="20"/>
  <c r="G12" i="20"/>
  <c r="H14" i="20"/>
  <c r="G14" i="20"/>
  <c r="H12" i="20"/>
  <c r="H14" i="23"/>
  <c r="G628" i="12" s="1"/>
  <c r="H12" i="21"/>
  <c r="G4" i="16"/>
  <c r="H14" i="16" s="1"/>
  <c r="B32" i="3"/>
  <c r="B33" i="3" s="1"/>
  <c r="D2" i="8"/>
  <c r="B21" i="3"/>
  <c r="B23" i="3" s="1"/>
  <c r="B24" i="3" s="1"/>
  <c r="K155" i="12"/>
  <c r="L155" i="12"/>
  <c r="C9" i="12"/>
  <c r="C50" i="12"/>
  <c r="C79" i="12"/>
  <c r="C57" i="12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F173" i="12" s="1"/>
  <c r="K14" i="4"/>
  <c r="N14" i="4"/>
  <c r="O16" i="4"/>
  <c r="E14" i="4"/>
  <c r="J28" i="12"/>
  <c r="J9" i="12" s="1"/>
  <c r="F5" i="4"/>
  <c r="F28" i="12"/>
  <c r="F9" i="12" s="1"/>
  <c r="E16" i="4"/>
  <c r="F16" i="4"/>
  <c r="O14" i="4"/>
  <c r="N16" i="4"/>
  <c r="F14" i="4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L15" i="8"/>
  <c r="J7" i="2"/>
  <c r="K7" i="2" s="1"/>
  <c r="B39" i="3"/>
  <c r="B43" i="3" s="1"/>
  <c r="A3" i="8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G524" i="12" l="1"/>
  <c r="G424" i="12"/>
  <c r="G422" i="12"/>
  <c r="G398" i="12"/>
  <c r="G400" i="12"/>
  <c r="G270" i="12"/>
  <c r="B3" i="9"/>
  <c r="C3" i="9"/>
  <c r="C3" i="8"/>
  <c r="G12" i="16"/>
  <c r="G12" i="23"/>
  <c r="G602" i="12" s="1"/>
  <c r="H12" i="23"/>
  <c r="H21" i="20"/>
  <c r="G14" i="23"/>
  <c r="G604" i="12" s="1"/>
  <c r="G14" i="16"/>
  <c r="H12" i="16"/>
  <c r="R4" i="16"/>
  <c r="R14" i="16" s="1"/>
  <c r="H14" i="21"/>
  <c r="G12" i="21"/>
  <c r="G14" i="21"/>
  <c r="T4" i="20"/>
  <c r="J12" i="20"/>
  <c r="I12" i="20"/>
  <c r="J14" i="20"/>
  <c r="I14" i="20"/>
  <c r="G21" i="20"/>
  <c r="S12" i="20"/>
  <c r="R12" i="20"/>
  <c r="S14" i="20"/>
  <c r="R14" i="20"/>
  <c r="I14" i="23"/>
  <c r="H604" i="12" s="1"/>
  <c r="G14" i="19"/>
  <c r="G451" i="12" s="1"/>
  <c r="R4" i="19"/>
  <c r="H12" i="19"/>
  <c r="G473" i="12" s="1"/>
  <c r="H14" i="19"/>
  <c r="G475" i="12" s="1"/>
  <c r="G12" i="19"/>
  <c r="G449" i="12" s="1"/>
  <c r="J14" i="21"/>
  <c r="H14" i="22"/>
  <c r="G14" i="22"/>
  <c r="H12" i="22"/>
  <c r="G12" i="22"/>
  <c r="I4" i="16"/>
  <c r="J14" i="16" s="1"/>
  <c r="B14" i="3"/>
  <c r="B15" i="3" s="1"/>
  <c r="B16" i="3"/>
  <c r="B41" i="3"/>
  <c r="B42" i="3" s="1"/>
  <c r="E3" i="8"/>
  <c r="B3" i="8"/>
  <c r="B25" i="3"/>
  <c r="B26" i="3" s="1"/>
  <c r="E3" i="9"/>
  <c r="H81" i="12"/>
  <c r="D2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P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F75" i="12" s="1"/>
  <c r="J50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7" i="3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A4" i="8"/>
  <c r="C4" i="8" s="1"/>
  <c r="C12" i="3"/>
  <c r="H21" i="23" l="1"/>
  <c r="G635" i="12" s="1"/>
  <c r="G626" i="12"/>
  <c r="G575" i="12"/>
  <c r="G577" i="12"/>
  <c r="G553" i="12"/>
  <c r="G551" i="12"/>
  <c r="H526" i="12"/>
  <c r="H21" i="21"/>
  <c r="G526" i="12"/>
  <c r="G500" i="12"/>
  <c r="G502" i="12"/>
  <c r="H422" i="12"/>
  <c r="H424" i="12"/>
  <c r="G431" i="12"/>
  <c r="K424" i="12"/>
  <c r="K422" i="12"/>
  <c r="H398" i="12"/>
  <c r="H400" i="12"/>
  <c r="K400" i="12"/>
  <c r="K398" i="12"/>
  <c r="G407" i="12"/>
  <c r="F154" i="12"/>
  <c r="J173" i="12"/>
  <c r="J154" i="12" s="1"/>
  <c r="D3" i="8"/>
  <c r="G268" i="12"/>
  <c r="H270" i="12"/>
  <c r="G246" i="12"/>
  <c r="G244" i="12"/>
  <c r="B4" i="9"/>
  <c r="C4" i="9"/>
  <c r="G21" i="23"/>
  <c r="G611" i="12" s="1"/>
  <c r="S12" i="16"/>
  <c r="R12" i="16"/>
  <c r="S14" i="16"/>
  <c r="I12" i="23"/>
  <c r="J12" i="23"/>
  <c r="H626" i="12" s="1"/>
  <c r="G21" i="21"/>
  <c r="J14" i="23"/>
  <c r="H628" i="12" s="1"/>
  <c r="R21" i="20"/>
  <c r="S21" i="20"/>
  <c r="I12" i="21"/>
  <c r="I21" i="20"/>
  <c r="J12" i="21"/>
  <c r="J21" i="20"/>
  <c r="U12" i="20"/>
  <c r="T12" i="20"/>
  <c r="U14" i="20"/>
  <c r="T14" i="20"/>
  <c r="I14" i="21"/>
  <c r="G21" i="19"/>
  <c r="G458" i="12" s="1"/>
  <c r="R12" i="19"/>
  <c r="K449" i="12" s="1"/>
  <c r="R14" i="19"/>
  <c r="K451" i="12" s="1"/>
  <c r="S12" i="19"/>
  <c r="K473" i="12" s="1"/>
  <c r="S14" i="19"/>
  <c r="K475" i="12" s="1"/>
  <c r="T4" i="19"/>
  <c r="J12" i="19"/>
  <c r="H473" i="12" s="1"/>
  <c r="J14" i="19"/>
  <c r="H475" i="12" s="1"/>
  <c r="I14" i="19"/>
  <c r="H451" i="12" s="1"/>
  <c r="I12" i="19"/>
  <c r="H449" i="12" s="1"/>
  <c r="H21" i="19"/>
  <c r="G482" i="12" s="1"/>
  <c r="J12" i="16"/>
  <c r="T4" i="16"/>
  <c r="U12" i="16" s="1"/>
  <c r="I14" i="16"/>
  <c r="H21" i="22"/>
  <c r="G21" i="22"/>
  <c r="J14" i="22"/>
  <c r="J12" i="22"/>
  <c r="I14" i="22"/>
  <c r="I12" i="22"/>
  <c r="I12" i="16"/>
  <c r="F3" i="8"/>
  <c r="J17" i="2"/>
  <c r="K17" i="2" s="1"/>
  <c r="E25" i="10"/>
  <c r="P25" i="10" s="1"/>
  <c r="C32" i="3"/>
  <c r="C33" i="3" s="1"/>
  <c r="C34" i="3"/>
  <c r="C14" i="3"/>
  <c r="C15" i="3" s="1"/>
  <c r="C16" i="3"/>
  <c r="E4" i="8"/>
  <c r="B4" i="8"/>
  <c r="D4" i="8" s="1"/>
  <c r="F228" i="12"/>
  <c r="F209" i="12" s="1"/>
  <c r="E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H9" i="12" s="1"/>
  <c r="C26" i="3"/>
  <c r="G25" i="10" s="1"/>
  <c r="R25" i="10" s="1"/>
  <c r="C44" i="3"/>
  <c r="D25" i="3"/>
  <c r="D3" i="9"/>
  <c r="B17" i="3"/>
  <c r="R14" i="10"/>
  <c r="S14" i="10"/>
  <c r="K218" i="12" s="1"/>
  <c r="S12" i="10"/>
  <c r="K216" i="12" s="1"/>
  <c r="R12" i="10"/>
  <c r="A5" i="8"/>
  <c r="C5" i="8" s="1"/>
  <c r="I12" i="11"/>
  <c r="T4" i="11"/>
  <c r="J12" i="11"/>
  <c r="J14" i="11"/>
  <c r="I14" i="11"/>
  <c r="B44" i="3"/>
  <c r="D12" i="3"/>
  <c r="D18" i="12"/>
  <c r="D41" i="3"/>
  <c r="D42" i="3" s="1"/>
  <c r="D4" i="3"/>
  <c r="S16" i="4"/>
  <c r="R14" i="4"/>
  <c r="S14" i="4"/>
  <c r="R16" i="4"/>
  <c r="C7" i="3"/>
  <c r="I12" i="10"/>
  <c r="I14" i="10"/>
  <c r="T4" i="10"/>
  <c r="J12" i="10"/>
  <c r="H216" i="12" s="1"/>
  <c r="J14" i="10"/>
  <c r="H218" i="12" s="1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J228" i="12" l="1"/>
  <c r="J209" i="12" s="1"/>
  <c r="G584" i="12"/>
  <c r="H575" i="12"/>
  <c r="H577" i="12"/>
  <c r="I21" i="23"/>
  <c r="H611" i="12" s="1"/>
  <c r="H602" i="12"/>
  <c r="H553" i="12"/>
  <c r="G560" i="12"/>
  <c r="H551" i="12"/>
  <c r="G533" i="12"/>
  <c r="J21" i="21"/>
  <c r="H524" i="12"/>
  <c r="H502" i="12"/>
  <c r="H500" i="12"/>
  <c r="G509" i="12"/>
  <c r="L424" i="12"/>
  <c r="H431" i="12"/>
  <c r="K431" i="12"/>
  <c r="L422" i="12"/>
  <c r="H407" i="12"/>
  <c r="L398" i="12"/>
  <c r="K407" i="12"/>
  <c r="L400" i="12"/>
  <c r="K244" i="12"/>
  <c r="K268" i="12"/>
  <c r="L244" i="12"/>
  <c r="L268" i="12"/>
  <c r="K246" i="12"/>
  <c r="K270" i="12"/>
  <c r="H244" i="12"/>
  <c r="H268" i="12"/>
  <c r="H246" i="12"/>
  <c r="B5" i="9"/>
  <c r="C5" i="9"/>
  <c r="J21" i="23"/>
  <c r="H635" i="12" s="1"/>
  <c r="I21" i="21"/>
  <c r="J21" i="22"/>
  <c r="I21" i="19"/>
  <c r="H458" i="12" s="1"/>
  <c r="T21" i="20"/>
  <c r="U21" i="20"/>
  <c r="J21" i="19"/>
  <c r="H482" i="12" s="1"/>
  <c r="U12" i="19"/>
  <c r="L473" i="12" s="1"/>
  <c r="T12" i="19"/>
  <c r="L449" i="12" s="1"/>
  <c r="U14" i="19"/>
  <c r="L475" i="12" s="1"/>
  <c r="T14" i="19"/>
  <c r="L451" i="12" s="1"/>
  <c r="R21" i="19"/>
  <c r="K458" i="12" s="1"/>
  <c r="T12" i="16"/>
  <c r="S21" i="19"/>
  <c r="K482" i="12" s="1"/>
  <c r="T14" i="16"/>
  <c r="U14" i="16"/>
  <c r="I21" i="22"/>
  <c r="J24" i="2"/>
  <c r="K24" i="2" s="1"/>
  <c r="G25" i="13"/>
  <c r="R25" i="13" s="1"/>
  <c r="J23" i="2"/>
  <c r="K23" i="2" s="1"/>
  <c r="E25" i="13"/>
  <c r="P25" i="13" s="1"/>
  <c r="D32" i="3"/>
  <c r="D33" i="3" s="1"/>
  <c r="D34" i="3"/>
  <c r="D6" i="3"/>
  <c r="D7" i="3" s="1"/>
  <c r="D8" i="3"/>
  <c r="D14" i="3"/>
  <c r="D15" i="3" s="1"/>
  <c r="D16" i="3"/>
  <c r="F4" i="8"/>
  <c r="E5" i="8"/>
  <c r="B5" i="8"/>
  <c r="D5" i="8" s="1"/>
  <c r="F150" i="12"/>
  <c r="E5" i="9"/>
  <c r="J18" i="2"/>
  <c r="K18" i="2" s="1"/>
  <c r="P24" i="16"/>
  <c r="P15" i="16" s="1"/>
  <c r="B21" i="16"/>
  <c r="Q24" i="16"/>
  <c r="Q15" i="16" s="1"/>
  <c r="F21" i="16"/>
  <c r="J199" i="12"/>
  <c r="G228" i="12"/>
  <c r="G209" i="12" s="1"/>
  <c r="F206" i="12"/>
  <c r="F208" i="12" s="1"/>
  <c r="J151" i="12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I25" i="10" s="1"/>
  <c r="T25" i="10" s="1"/>
  <c r="H173" i="12"/>
  <c r="H154" i="12" s="1"/>
  <c r="C9" i="3"/>
  <c r="G26" i="4" s="1"/>
  <c r="G17" i="4" s="1"/>
  <c r="F177" i="12"/>
  <c r="F176" i="12" s="1"/>
  <c r="G151" i="12"/>
  <c r="G153" i="12" s="1"/>
  <c r="K26" i="9"/>
  <c r="K46" i="9"/>
  <c r="G177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I25" i="13" s="1"/>
  <c r="T25" i="13" s="1"/>
  <c r="A6" i="8"/>
  <c r="L43" i="8"/>
  <c r="K43" i="9"/>
  <c r="A6" i="9"/>
  <c r="C17" i="3"/>
  <c r="C35" i="3"/>
  <c r="T14" i="10"/>
  <c r="T12" i="10"/>
  <c r="U14" i="10"/>
  <c r="L218" i="12" s="1"/>
  <c r="U12" i="10"/>
  <c r="L216" i="12" s="1"/>
  <c r="AC14" i="4"/>
  <c r="AC16" i="4"/>
  <c r="AD14" i="4"/>
  <c r="AD16" i="4"/>
  <c r="U14" i="11"/>
  <c r="T12" i="11"/>
  <c r="T14" i="11"/>
  <c r="U12" i="11"/>
  <c r="H584" i="12" l="1"/>
  <c r="H560" i="12"/>
  <c r="H533" i="12"/>
  <c r="H509" i="12"/>
  <c r="L431" i="12"/>
  <c r="L407" i="12"/>
  <c r="L246" i="12"/>
  <c r="L270" i="12"/>
  <c r="J247" i="12"/>
  <c r="J271" i="12"/>
  <c r="F277" i="12"/>
  <c r="C6" i="8"/>
  <c r="B6" i="9"/>
  <c r="C6" i="9"/>
  <c r="T21" i="19"/>
  <c r="L458" i="12" s="1"/>
  <c r="U21" i="19"/>
  <c r="L482" i="12" s="1"/>
  <c r="J21" i="2"/>
  <c r="K21" i="2" s="1"/>
  <c r="G25" i="11"/>
  <c r="R25" i="11" s="1"/>
  <c r="F5" i="8"/>
  <c r="E6" i="8"/>
  <c r="B6" i="8"/>
  <c r="J150" i="12"/>
  <c r="J153" i="12"/>
  <c r="F205" i="12"/>
  <c r="M15" i="16"/>
  <c r="M21" i="16" s="1"/>
  <c r="Q21" i="16"/>
  <c r="F253" i="12"/>
  <c r="F247" i="12"/>
  <c r="E6" i="9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F8" i="12" s="1"/>
  <c r="D17" i="3"/>
  <c r="K49" i="9"/>
  <c r="D35" i="3"/>
  <c r="Q24" i="11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A7" i="8"/>
  <c r="C7" i="8" s="1"/>
  <c r="K6" i="9"/>
  <c r="D6" i="12"/>
  <c r="D8" i="12" s="1"/>
  <c r="H26" i="4"/>
  <c r="H17" i="4" s="1"/>
  <c r="G27" i="4"/>
  <c r="J13" i="2"/>
  <c r="K13" i="2" s="1"/>
  <c r="L6" i="8"/>
  <c r="D9" i="3"/>
  <c r="A7" i="9"/>
  <c r="J253" i="12" l="1"/>
  <c r="J277" i="12"/>
  <c r="D6" i="8"/>
  <c r="B7" i="9"/>
  <c r="C7" i="9"/>
  <c r="F6" i="8"/>
  <c r="J22" i="2"/>
  <c r="K22" i="2" s="1"/>
  <c r="I25" i="11"/>
  <c r="T25" i="11" s="1"/>
  <c r="F5" i="12"/>
  <c r="E7" i="8"/>
  <c r="B7" i="8"/>
  <c r="D7" i="8" s="1"/>
  <c r="K150" i="12"/>
  <c r="K153" i="12"/>
  <c r="E7" i="9"/>
  <c r="AD26" i="4"/>
  <c r="AD17" i="4" s="1"/>
  <c r="H21" i="16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31" i="12"/>
  <c r="C31" i="12"/>
  <c r="F25" i="12"/>
  <c r="F47" i="12"/>
  <c r="J6" i="12"/>
  <c r="K39" i="9"/>
  <c r="I24" i="11"/>
  <c r="I15" i="11" s="1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C8" i="8" s="1"/>
  <c r="D6" i="9"/>
  <c r="G6" i="12"/>
  <c r="R24" i="11"/>
  <c r="R15" i="11" s="1"/>
  <c r="A8" i="9"/>
  <c r="K247" i="12" l="1"/>
  <c r="K271" i="12"/>
  <c r="G277" i="12"/>
  <c r="B8" i="9"/>
  <c r="C8" i="9"/>
  <c r="F7" i="8"/>
  <c r="E8" i="8"/>
  <c r="B8" i="8"/>
  <c r="D8" i="8" s="1"/>
  <c r="L150" i="12"/>
  <c r="L153" i="12"/>
  <c r="R15" i="16"/>
  <c r="R21" i="16" s="1"/>
  <c r="S21" i="16"/>
  <c r="G21" i="16"/>
  <c r="G247" i="12"/>
  <c r="F170" i="12"/>
  <c r="E8" i="9"/>
  <c r="U24" i="16"/>
  <c r="U15" i="16" s="1"/>
  <c r="J21" i="16"/>
  <c r="T24" i="16"/>
  <c r="P21" i="10"/>
  <c r="K205" i="12"/>
  <c r="L206" i="12"/>
  <c r="L208" i="12" s="1"/>
  <c r="H205" i="12"/>
  <c r="F23" i="4"/>
  <c r="C88" i="12"/>
  <c r="C5" i="12"/>
  <c r="C41" i="12"/>
  <c r="C19" i="12"/>
  <c r="C52" i="12"/>
  <c r="C53" i="12"/>
  <c r="C55" i="12" s="1"/>
  <c r="C30" i="12"/>
  <c r="J94" i="12"/>
  <c r="K173" i="12"/>
  <c r="K154" i="12" s="1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C9" i="8" s="1"/>
  <c r="A9" i="9"/>
  <c r="D19" i="12"/>
  <c r="G23" i="4"/>
  <c r="D7" i="9"/>
  <c r="K253" i="12" l="1"/>
  <c r="K277" i="12"/>
  <c r="L247" i="12"/>
  <c r="L271" i="12"/>
  <c r="H277" i="12"/>
  <c r="B9" i="9"/>
  <c r="C9" i="9"/>
  <c r="F8" i="8"/>
  <c r="E9" i="8"/>
  <c r="B9" i="8"/>
  <c r="D9" i="8" s="1"/>
  <c r="G253" i="12"/>
  <c r="T15" i="16"/>
  <c r="T21" i="16" s="1"/>
  <c r="U21" i="16"/>
  <c r="I21" i="16"/>
  <c r="H247" i="12"/>
  <c r="J170" i="12"/>
  <c r="E9" i="9"/>
  <c r="G170" i="12"/>
  <c r="K199" i="12"/>
  <c r="K228" i="12"/>
  <c r="K209" i="12" s="1"/>
  <c r="L205" i="12"/>
  <c r="C94" i="12"/>
  <c r="C72" i="12"/>
  <c r="T21" i="10"/>
  <c r="C77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A10" i="8"/>
  <c r="C10" i="8" s="1"/>
  <c r="A10" i="9"/>
  <c r="D25" i="12"/>
  <c r="L50" i="12" l="1"/>
  <c r="L9" i="12"/>
  <c r="L253" i="12"/>
  <c r="L277" i="12"/>
  <c r="B10" i="9"/>
  <c r="C10" i="9"/>
  <c r="F9" i="8"/>
  <c r="E10" i="8"/>
  <c r="B10" i="8"/>
  <c r="D10" i="8" s="1"/>
  <c r="H253" i="12"/>
  <c r="E10" i="9"/>
  <c r="L170" i="12"/>
  <c r="AD23" i="4"/>
  <c r="L173" i="12"/>
  <c r="L154" i="12" s="1"/>
  <c r="L88" i="12"/>
  <c r="K31" i="12"/>
  <c r="L66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9"/>
  <c r="A11" i="9"/>
  <c r="A11" i="8"/>
  <c r="C11" i="8" s="1"/>
  <c r="B11" i="9" l="1"/>
  <c r="C11" i="9"/>
  <c r="F10" i="8"/>
  <c r="E11" i="8"/>
  <c r="B11" i="8"/>
  <c r="D11" i="8" s="1"/>
  <c r="E11" i="9"/>
  <c r="L199" i="12"/>
  <c r="L228" i="12"/>
  <c r="L209" i="12" s="1"/>
  <c r="L94" i="12"/>
  <c r="L72" i="12"/>
  <c r="L55" i="12"/>
  <c r="L25" i="12"/>
  <c r="L47" i="12"/>
  <c r="L56" i="12"/>
  <c r="L97" i="12"/>
  <c r="L78" i="12" s="1"/>
  <c r="D10" i="9"/>
  <c r="A12" i="8"/>
  <c r="C12" i="8" s="1"/>
  <c r="A12" i="9"/>
  <c r="B12" i="9" l="1"/>
  <c r="C12" i="9"/>
  <c r="F11" i="8"/>
  <c r="E12" i="8"/>
  <c r="B12" i="8"/>
  <c r="D12" i="8" s="1"/>
  <c r="E12" i="9"/>
  <c r="A13" i="9"/>
  <c r="D11" i="9"/>
  <c r="A13" i="8"/>
  <c r="C13" i="8" s="1"/>
  <c r="B13" i="9" l="1"/>
  <c r="C13" i="9"/>
  <c r="F12" i="8"/>
  <c r="E13" i="8"/>
  <c r="B13" i="8"/>
  <c r="D13" i="8" s="1"/>
  <c r="E13" i="9"/>
  <c r="D12" i="9"/>
  <c r="A14" i="8"/>
  <c r="C14" i="8" s="1"/>
  <c r="A14" i="9"/>
  <c r="B14" i="9" l="1"/>
  <c r="C14" i="9"/>
  <c r="F13" i="8"/>
  <c r="E14" i="8"/>
  <c r="B14" i="8"/>
  <c r="D14" i="8" s="1"/>
  <c r="E14" i="9"/>
  <c r="D13" i="9"/>
  <c r="A15" i="9"/>
  <c r="A15" i="8"/>
  <c r="C15" i="8" s="1"/>
  <c r="B15" i="9" l="1"/>
  <c r="C15" i="9"/>
  <c r="F14" i="8"/>
  <c r="E15" i="8"/>
  <c r="B15" i="8"/>
  <c r="D15" i="8" s="1"/>
  <c r="E15" i="9"/>
  <c r="D14" i="9"/>
  <c r="A16" i="8"/>
  <c r="C16" i="8" s="1"/>
  <c r="A16" i="9"/>
  <c r="B16" i="9" l="1"/>
  <c r="C16" i="9"/>
  <c r="F15" i="8"/>
  <c r="E16" i="8"/>
  <c r="B16" i="8"/>
  <c r="D16" i="8" s="1"/>
  <c r="E16" i="9"/>
  <c r="D15" i="9"/>
  <c r="A17" i="9"/>
  <c r="A17" i="8"/>
  <c r="C17" i="8" s="1"/>
  <c r="B17" i="9" l="1"/>
  <c r="C17" i="9"/>
  <c r="F16" i="8"/>
  <c r="E17" i="8"/>
  <c r="B17" i="8"/>
  <c r="D17" i="8" s="1"/>
  <c r="E17" i="9"/>
  <c r="D16" i="9"/>
  <c r="A18" i="9"/>
  <c r="A18" i="8"/>
  <c r="C18" i="8" s="1"/>
  <c r="B18" i="9" l="1"/>
  <c r="C18" i="9"/>
  <c r="F17" i="8"/>
  <c r="E18" i="8"/>
  <c r="B18" i="8"/>
  <c r="D18" i="8" s="1"/>
  <c r="E18" i="9"/>
  <c r="D17" i="9"/>
  <c r="A19" i="8"/>
  <c r="C19" i="8" s="1"/>
  <c r="A19" i="9"/>
  <c r="B19" i="9" l="1"/>
  <c r="C19" i="9"/>
  <c r="F18" i="8"/>
  <c r="E19" i="8"/>
  <c r="B19" i="8"/>
  <c r="D19" i="8" s="1"/>
  <c r="E19" i="9"/>
  <c r="D18" i="9"/>
  <c r="A20" i="9"/>
  <c r="A20" i="8"/>
  <c r="C20" i="8" s="1"/>
  <c r="B20" i="9" l="1"/>
  <c r="C20" i="9"/>
  <c r="F19" i="8"/>
  <c r="E20" i="8"/>
  <c r="B20" i="8"/>
  <c r="D20" i="8" s="1"/>
  <c r="E20" i="9"/>
  <c r="D19" i="9"/>
  <c r="A21" i="9"/>
  <c r="A21" i="8"/>
  <c r="C21" i="8" s="1"/>
  <c r="B21" i="9" l="1"/>
  <c r="C21" i="9"/>
  <c r="F20" i="8"/>
  <c r="E21" i="8"/>
  <c r="B21" i="8"/>
  <c r="D21" i="8" s="1"/>
  <c r="E21" i="9"/>
  <c r="D20" i="9"/>
  <c r="A22" i="8"/>
  <c r="C22" i="8" s="1"/>
  <c r="A22" i="9"/>
  <c r="B22" i="9" l="1"/>
  <c r="C22" i="9"/>
  <c r="F21" i="8"/>
  <c r="E22" i="8"/>
  <c r="B22" i="8"/>
  <c r="D22" i="8" s="1"/>
  <c r="E22" i="9"/>
  <c r="D21" i="9"/>
  <c r="A23" i="9"/>
  <c r="A23" i="8"/>
  <c r="C23" i="8" s="1"/>
  <c r="B23" i="9" l="1"/>
  <c r="C23" i="9"/>
  <c r="F22" i="8"/>
  <c r="E23" i="8"/>
  <c r="B23" i="8"/>
  <c r="D23" i="8" s="1"/>
  <c r="E23" i="9"/>
  <c r="D22" i="9"/>
  <c r="A24" i="8"/>
  <c r="C24" i="8" s="1"/>
  <c r="A24" i="9"/>
  <c r="B24" i="9" l="1"/>
  <c r="C24" i="9"/>
  <c r="F23" i="8"/>
  <c r="E24" i="8"/>
  <c r="B24" i="8"/>
  <c r="D24" i="8" s="1"/>
  <c r="E24" i="9"/>
  <c r="A25" i="9"/>
  <c r="D23" i="9"/>
  <c r="A25" i="8"/>
  <c r="C25" i="8" s="1"/>
  <c r="B25" i="9" l="1"/>
  <c r="C25" i="9"/>
  <c r="F24" i="8"/>
  <c r="E25" i="8"/>
  <c r="B25" i="8"/>
  <c r="D25" i="8" s="1"/>
  <c r="E25" i="9"/>
  <c r="D24" i="9"/>
  <c r="A26" i="8"/>
  <c r="C26" i="8" s="1"/>
  <c r="A26" i="9"/>
  <c r="B26" i="9" l="1"/>
  <c r="C26" i="9"/>
  <c r="F25" i="8"/>
  <c r="E26" i="8"/>
  <c r="B26" i="8"/>
  <c r="D26" i="8" s="1"/>
  <c r="E26" i="9"/>
  <c r="D25" i="9"/>
  <c r="A27" i="8"/>
  <c r="C27" i="8" s="1"/>
  <c r="A27" i="9"/>
  <c r="B27" i="9" l="1"/>
  <c r="C27" i="9"/>
  <c r="F26" i="8"/>
  <c r="E27" i="8"/>
  <c r="B27" i="8"/>
  <c r="D27" i="8" s="1"/>
  <c r="E27" i="9"/>
  <c r="A28" i="8"/>
  <c r="C28" i="8" s="1"/>
  <c r="D26" i="9"/>
  <c r="A28" i="9"/>
  <c r="B28" i="9" l="1"/>
  <c r="C28" i="9"/>
  <c r="F27" i="8"/>
  <c r="E28" i="8"/>
  <c r="B28" i="8"/>
  <c r="D28" i="8" s="1"/>
  <c r="E28" i="9"/>
  <c r="D27" i="9"/>
  <c r="A29" i="8"/>
  <c r="C29" i="8" s="1"/>
  <c r="A29" i="9"/>
  <c r="B29" i="9" l="1"/>
  <c r="C29" i="9"/>
  <c r="F28" i="8"/>
  <c r="E29" i="8"/>
  <c r="B29" i="8"/>
  <c r="D29" i="8" s="1"/>
  <c r="E29" i="9"/>
  <c r="D28" i="9"/>
  <c r="A30" i="9"/>
  <c r="A30" i="8"/>
  <c r="C30" i="8" s="1"/>
  <c r="B30" i="9" l="1"/>
  <c r="C30" i="9"/>
  <c r="F29" i="8"/>
  <c r="E30" i="8"/>
  <c r="B30" i="8"/>
  <c r="D30" i="8" s="1"/>
  <c r="E30" i="9"/>
  <c r="A31" i="8"/>
  <c r="C31" i="8" s="1"/>
  <c r="A31" i="9"/>
  <c r="D29" i="9"/>
  <c r="B31" i="9" l="1"/>
  <c r="C31" i="9"/>
  <c r="F30" i="8"/>
  <c r="E31" i="8"/>
  <c r="B31" i="8"/>
  <c r="D31" i="8" s="1"/>
  <c r="E31" i="9"/>
  <c r="A32" i="9"/>
  <c r="D30" i="9"/>
  <c r="A32" i="8"/>
  <c r="C32" i="8" s="1"/>
  <c r="B32" i="9" l="1"/>
  <c r="C32" i="9"/>
  <c r="F31" i="8"/>
  <c r="E32" i="8"/>
  <c r="B32" i="8"/>
  <c r="D32" i="8" s="1"/>
  <c r="E32" i="9"/>
  <c r="A33" i="8"/>
  <c r="C33" i="8" s="1"/>
  <c r="D31" i="9"/>
  <c r="A33" i="9"/>
  <c r="B33" i="9" l="1"/>
  <c r="C33" i="9"/>
  <c r="F32" i="8"/>
  <c r="E33" i="8"/>
  <c r="B33" i="8"/>
  <c r="D33" i="8" s="1"/>
  <c r="E33" i="9"/>
  <c r="D32" i="9"/>
  <c r="A34" i="9"/>
  <c r="A34" i="8"/>
  <c r="C34" i="8" s="1"/>
  <c r="B34" i="9" l="1"/>
  <c r="C34" i="9"/>
  <c r="E34" i="8"/>
  <c r="B34" i="8"/>
  <c r="D34" i="8" s="1"/>
  <c r="E34" i="9"/>
  <c r="F33" i="8"/>
  <c r="D33" i="9"/>
  <c r="A35" i="9"/>
  <c r="A35" i="8"/>
  <c r="C35" i="8" s="1"/>
  <c r="B35" i="9" l="1"/>
  <c r="C35" i="9"/>
  <c r="E35" i="8"/>
  <c r="B35" i="8"/>
  <c r="D35" i="8" s="1"/>
  <c r="E35" i="9"/>
  <c r="F34" i="8"/>
  <c r="D34" i="9"/>
  <c r="A36" i="8"/>
  <c r="C36" i="8" s="1"/>
  <c r="A36" i="9"/>
  <c r="B36" i="9" l="1"/>
  <c r="C36" i="9"/>
  <c r="E36" i="8"/>
  <c r="B36" i="8"/>
  <c r="D36" i="8" s="1"/>
  <c r="E36" i="9"/>
  <c r="F35" i="8"/>
  <c r="D35" i="9"/>
  <c r="A37" i="8"/>
  <c r="C37" i="8" s="1"/>
  <c r="A37" i="9"/>
  <c r="B37" i="9" l="1"/>
  <c r="C37" i="9"/>
  <c r="F36" i="8"/>
  <c r="E37" i="8"/>
  <c r="B37" i="8"/>
  <c r="D37" i="8" s="1"/>
  <c r="E37" i="9"/>
  <c r="D36" i="9"/>
  <c r="A38" i="9"/>
  <c r="A38" i="8"/>
  <c r="C38" i="8" s="1"/>
  <c r="B38" i="9" l="1"/>
  <c r="C38" i="9"/>
  <c r="E38" i="8"/>
  <c r="B38" i="8"/>
  <c r="D38" i="8" s="1"/>
  <c r="E38" i="9"/>
  <c r="F37" i="8"/>
  <c r="A39" i="8"/>
  <c r="C39" i="8" s="1"/>
  <c r="D37" i="9"/>
  <c r="A39" i="9"/>
  <c r="B39" i="9" l="1"/>
  <c r="C39" i="9"/>
  <c r="E39" i="8"/>
  <c r="B39" i="8"/>
  <c r="D39" i="8" s="1"/>
  <c r="E39" i="9"/>
  <c r="F38" i="8"/>
  <c r="D38" i="9"/>
  <c r="A40" i="8"/>
  <c r="C40" i="8" s="1"/>
  <c r="A40" i="9"/>
  <c r="B40" i="9" l="1"/>
  <c r="C40" i="9"/>
  <c r="E40" i="8"/>
  <c r="B40" i="8"/>
  <c r="D40" i="8" s="1"/>
  <c r="E40" i="9"/>
  <c r="F39" i="8"/>
  <c r="D39" i="9"/>
  <c r="A41" i="9"/>
  <c r="A41" i="8"/>
  <c r="C41" i="8" s="1"/>
  <c r="B41" i="9" l="1"/>
  <c r="C41" i="9"/>
  <c r="E41" i="8"/>
  <c r="B41" i="8"/>
  <c r="D41" i="8" s="1"/>
  <c r="E41" i="9"/>
  <c r="F40" i="8"/>
  <c r="D40" i="9"/>
  <c r="A42" i="9"/>
  <c r="A42" i="8"/>
  <c r="C42" i="8" s="1"/>
  <c r="B42" i="9" l="1"/>
  <c r="C42" i="9"/>
  <c r="E42" i="8"/>
  <c r="B42" i="8"/>
  <c r="D42" i="8" s="1"/>
  <c r="E42" i="9"/>
  <c r="F41" i="8"/>
  <c r="D41" i="9"/>
  <c r="A43" i="8"/>
  <c r="C43" i="8" s="1"/>
  <c r="A43" i="9"/>
  <c r="B43" i="9" l="1"/>
  <c r="C43" i="9"/>
  <c r="E43" i="8"/>
  <c r="B43" i="8"/>
  <c r="D43" i="8" s="1"/>
  <c r="E43" i="9"/>
  <c r="F42" i="8"/>
  <c r="A44" i="9"/>
  <c r="D42" i="9"/>
  <c r="A44" i="8"/>
  <c r="C44" i="8" s="1"/>
  <c r="B44" i="9" l="1"/>
  <c r="C44" i="9"/>
  <c r="E44" i="8"/>
  <c r="B44" i="8"/>
  <c r="D44" i="8" s="1"/>
  <c r="E44" i="9"/>
  <c r="F43" i="8"/>
  <c r="A45" i="8"/>
  <c r="C45" i="8" s="1"/>
  <c r="A45" i="9"/>
  <c r="D43" i="9"/>
  <c r="B45" i="9" l="1"/>
  <c r="C45" i="9"/>
  <c r="E45" i="8"/>
  <c r="B45" i="8"/>
  <c r="D45" i="8" s="1"/>
  <c r="E45" i="9"/>
  <c r="F44" i="8"/>
  <c r="D44" i="9"/>
  <c r="A46" i="9"/>
  <c r="A46" i="8"/>
  <c r="C46" i="8" s="1"/>
  <c r="B46" i="9" l="1"/>
  <c r="C46" i="9"/>
  <c r="E46" i="8"/>
  <c r="B46" i="8"/>
  <c r="D46" i="8" s="1"/>
  <c r="E46" i="9"/>
  <c r="F45" i="8"/>
  <c r="D45" i="9"/>
  <c r="A47" i="8"/>
  <c r="C47" i="8" s="1"/>
  <c r="A47" i="9"/>
  <c r="B47" i="9" l="1"/>
  <c r="C47" i="9"/>
  <c r="F46" i="8"/>
  <c r="E47" i="8"/>
  <c r="B47" i="8"/>
  <c r="D47" i="8" s="1"/>
  <c r="E47" i="9"/>
  <c r="D46" i="9"/>
  <c r="A48" i="9"/>
  <c r="A48" i="8"/>
  <c r="C48" i="8" s="1"/>
  <c r="B48" i="9" l="1"/>
  <c r="C48" i="9"/>
  <c r="E48" i="8"/>
  <c r="B48" i="8"/>
  <c r="D48" i="8" s="1"/>
  <c r="E48" i="9"/>
  <c r="F47" i="8"/>
  <c r="D47" i="9"/>
  <c r="A49" i="8"/>
  <c r="C49" i="8" s="1"/>
  <c r="A49" i="9"/>
  <c r="B49" i="9" l="1"/>
  <c r="C49" i="9"/>
  <c r="F48" i="8"/>
  <c r="E49" i="8"/>
  <c r="B49" i="8"/>
  <c r="D49" i="8" s="1"/>
  <c r="E49" i="9"/>
  <c r="A50" i="9"/>
  <c r="D48" i="9"/>
  <c r="A50" i="8"/>
  <c r="C50" i="8" s="1"/>
  <c r="B50" i="9" l="1"/>
  <c r="C50" i="9"/>
  <c r="E50" i="8"/>
  <c r="B50" i="8"/>
  <c r="D50" i="8" s="1"/>
  <c r="E50" i="9"/>
  <c r="F49" i="8"/>
  <c r="D49" i="9"/>
  <c r="A51" i="9"/>
  <c r="A51" i="8"/>
  <c r="C51" i="8" s="1"/>
  <c r="B51" i="9" l="1"/>
  <c r="C51" i="9"/>
  <c r="F50" i="8"/>
  <c r="E51" i="8"/>
  <c r="B51" i="8"/>
  <c r="D51" i="8" s="1"/>
  <c r="E51" i="9"/>
  <c r="D50" i="9"/>
  <c r="A52" i="8"/>
  <c r="C52" i="8" s="1"/>
  <c r="A52" i="9"/>
  <c r="B52" i="9" l="1"/>
  <c r="C52" i="9"/>
  <c r="F51" i="8"/>
  <c r="E52" i="8"/>
  <c r="B52" i="8"/>
  <c r="D52" i="8" s="1"/>
  <c r="E52" i="9"/>
  <c r="A53" i="9"/>
  <c r="D51" i="9"/>
  <c r="A53" i="8"/>
  <c r="C53" i="8" s="1"/>
  <c r="B53" i="9" l="1"/>
  <c r="C53" i="9"/>
  <c r="F52" i="8"/>
  <c r="E53" i="8"/>
  <c r="B53" i="8"/>
  <c r="D53" i="8" s="1"/>
  <c r="E53" i="9"/>
  <c r="D52" i="9"/>
  <c r="A54" i="8"/>
  <c r="C54" i="8" s="1"/>
  <c r="A54" i="9"/>
  <c r="B54" i="9" l="1"/>
  <c r="C54" i="9"/>
  <c r="F53" i="8"/>
  <c r="E54" i="8"/>
  <c r="B54" i="8"/>
  <c r="D54" i="8" s="1"/>
  <c r="E54" i="9"/>
  <c r="D53" i="9"/>
  <c r="A55" i="9"/>
  <c r="A55" i="8"/>
  <c r="C55" i="8" s="1"/>
  <c r="F54" i="8" l="1"/>
  <c r="B55" i="9"/>
  <c r="C55" i="9"/>
  <c r="E55" i="8"/>
  <c r="B55" i="8"/>
  <c r="D55" i="8" s="1"/>
  <c r="E55" i="9"/>
  <c r="D54" i="9"/>
  <c r="A56" i="9"/>
  <c r="A56" i="8"/>
  <c r="C56" i="8" s="1"/>
  <c r="B56" i="9" l="1"/>
  <c r="C56" i="9"/>
  <c r="F55" i="8"/>
  <c r="E56" i="8"/>
  <c r="B56" i="8"/>
  <c r="D56" i="8" s="1"/>
  <c r="E56" i="9"/>
  <c r="D55" i="9"/>
  <c r="A57" i="8"/>
  <c r="C57" i="8" s="1"/>
  <c r="A57" i="9"/>
  <c r="B57" i="9" l="1"/>
  <c r="C57" i="9"/>
  <c r="F56" i="8"/>
  <c r="E57" i="8"/>
  <c r="B57" i="8"/>
  <c r="D57" i="8" s="1"/>
  <c r="E57" i="9"/>
  <c r="D56" i="9"/>
  <c r="A58" i="9"/>
  <c r="A58" i="8"/>
  <c r="C58" i="8" s="1"/>
  <c r="B58" i="9" l="1"/>
  <c r="C58" i="9"/>
  <c r="F57" i="8"/>
  <c r="E58" i="8"/>
  <c r="B58" i="8"/>
  <c r="D58" i="8" s="1"/>
  <c r="E58" i="9"/>
  <c r="D57" i="9"/>
  <c r="A59" i="8"/>
  <c r="C59" i="8" s="1"/>
  <c r="A59" i="9"/>
  <c r="B59" i="9" l="1"/>
  <c r="C59" i="9"/>
  <c r="F58" i="8"/>
  <c r="E59" i="8"/>
  <c r="B59" i="8"/>
  <c r="D59" i="8" s="1"/>
  <c r="E59" i="9"/>
  <c r="D58" i="9"/>
  <c r="A60" i="9"/>
  <c r="A60" i="8"/>
  <c r="C60" i="8" s="1"/>
  <c r="B60" i="9" l="1"/>
  <c r="C60" i="9"/>
  <c r="F59" i="8"/>
  <c r="E60" i="8"/>
  <c r="B60" i="8"/>
  <c r="D60" i="8" s="1"/>
  <c r="E60" i="9"/>
  <c r="D59" i="9"/>
  <c r="A61" i="9"/>
  <c r="A61" i="8"/>
  <c r="C61" i="8" s="1"/>
  <c r="B61" i="9" l="1"/>
  <c r="C61" i="9"/>
  <c r="F60" i="8"/>
  <c r="E61" i="8"/>
  <c r="B61" i="8"/>
  <c r="D61" i="8" s="1"/>
  <c r="E61" i="9"/>
  <c r="A62" i="9"/>
  <c r="D60" i="9"/>
  <c r="A62" i="8"/>
  <c r="C62" i="8" s="1"/>
  <c r="B62" i="9" l="1"/>
  <c r="C62" i="9"/>
  <c r="F61" i="8"/>
  <c r="E62" i="8"/>
  <c r="B62" i="8"/>
  <c r="D62" i="8" s="1"/>
  <c r="E62" i="9"/>
  <c r="D61" i="9"/>
  <c r="A63" i="9"/>
  <c r="A63" i="8"/>
  <c r="C63" i="8" s="1"/>
  <c r="B63" i="9" l="1"/>
  <c r="C63" i="9"/>
  <c r="F62" i="8"/>
  <c r="E63" i="8"/>
  <c r="B63" i="8"/>
  <c r="D63" i="8" s="1"/>
  <c r="E63" i="9"/>
  <c r="A64" i="8"/>
  <c r="C64" i="8" s="1"/>
  <c r="D62" i="9"/>
  <c r="A64" i="9"/>
  <c r="B64" i="9" l="1"/>
  <c r="C64" i="9"/>
  <c r="F63" i="8"/>
  <c r="E64" i="8"/>
  <c r="B64" i="8"/>
  <c r="D64" i="8" s="1"/>
  <c r="E64" i="9"/>
  <c r="D63" i="9"/>
  <c r="A65" i="9"/>
  <c r="A65" i="8"/>
  <c r="C65" i="8" s="1"/>
  <c r="B65" i="9" l="1"/>
  <c r="C65" i="9"/>
  <c r="F64" i="8"/>
  <c r="E65" i="8"/>
  <c r="B65" i="8"/>
  <c r="D65" i="8" s="1"/>
  <c r="E65" i="9"/>
  <c r="D64" i="9"/>
  <c r="A66" i="8"/>
  <c r="A66" i="9"/>
  <c r="B66" i="9" l="1"/>
  <c r="C66" i="9"/>
  <c r="C66" i="8"/>
  <c r="F65" i="8"/>
  <c r="B66" i="8"/>
  <c r="E66" i="9"/>
  <c r="K60" i="9" s="1" a="1"/>
  <c r="K60" i="9" s="1"/>
  <c r="E66" i="8"/>
  <c r="D65" i="9"/>
  <c r="K127" i="9" l="1" a="1"/>
  <c r="K127" i="9" s="1"/>
  <c r="H22" i="18" s="1"/>
  <c r="H23" i="18" s="1"/>
  <c r="K382" i="12" s="1"/>
  <c r="K130" i="9" a="1"/>
  <c r="K130" i="9" s="1"/>
  <c r="J22" i="18" s="1"/>
  <c r="K124" i="9" a="1"/>
  <c r="K124" i="9" s="1"/>
  <c r="F22" i="18" s="1"/>
  <c r="K120" i="9" a="1"/>
  <c r="K120" i="9" s="1"/>
  <c r="J22" i="17" s="1"/>
  <c r="K117" i="9" a="1"/>
  <c r="K117" i="9" s="1"/>
  <c r="H22" i="17" s="1"/>
  <c r="K114" i="9" a="1"/>
  <c r="K114" i="9" s="1"/>
  <c r="F22" i="17" s="1"/>
  <c r="K110" i="9" a="1"/>
  <c r="K110" i="9" s="1"/>
  <c r="J22" i="20" s="1"/>
  <c r="K104" i="9" a="1"/>
  <c r="K104" i="9" s="1"/>
  <c r="F22" i="20" s="1"/>
  <c r="K107" i="9" a="1"/>
  <c r="K107" i="9" s="1"/>
  <c r="H22" i="20" s="1"/>
  <c r="K94" i="9" a="1"/>
  <c r="K94" i="9" s="1"/>
  <c r="F22" i="19" s="1"/>
  <c r="F483" i="12" s="1"/>
  <c r="K97" i="9" a="1"/>
  <c r="K97" i="9" s="1"/>
  <c r="H22" i="19" s="1"/>
  <c r="G483" i="12" s="1"/>
  <c r="K100" i="9" a="1"/>
  <c r="K100" i="9" s="1"/>
  <c r="J22" i="19" s="1"/>
  <c r="H483" i="12" s="1"/>
  <c r="K67" i="9" a="1"/>
  <c r="K67" i="9" s="1"/>
  <c r="H22" i="21" s="1"/>
  <c r="K70" i="9" a="1"/>
  <c r="K70" i="9" s="1"/>
  <c r="J22" i="21" s="1"/>
  <c r="K74" i="9" a="1"/>
  <c r="K74" i="9" s="1"/>
  <c r="F22" i="22" s="1"/>
  <c r="K64" i="9" a="1"/>
  <c r="K64" i="9" s="1"/>
  <c r="F22" i="21" s="1"/>
  <c r="K84" i="9" a="1"/>
  <c r="K84" i="9" s="1"/>
  <c r="F22" i="23" s="1"/>
  <c r="F636" i="12" s="1"/>
  <c r="K87" i="9" a="1"/>
  <c r="K87" i="9" s="1"/>
  <c r="H22" i="23" s="1"/>
  <c r="G636" i="12" s="1"/>
  <c r="K90" i="9" a="1"/>
  <c r="K90" i="9" s="1"/>
  <c r="J22" i="23" s="1"/>
  <c r="K77" i="9" a="1"/>
  <c r="K77" i="9" s="1"/>
  <c r="H22" i="22" s="1"/>
  <c r="K80" i="9" a="1"/>
  <c r="K80" i="9" s="1"/>
  <c r="J22" i="22" s="1"/>
  <c r="D66" i="8"/>
  <c r="J22" i="16"/>
  <c r="K54" i="9" a="1"/>
  <c r="K54" i="9" s="1"/>
  <c r="K57" i="9" a="1"/>
  <c r="K57" i="9" s="1"/>
  <c r="F66" i="8"/>
  <c r="L110" i="8" s="1" a="1"/>
  <c r="L110" i="8" s="1"/>
  <c r="I22" i="20" s="1"/>
  <c r="D66" i="9"/>
  <c r="J23" i="23" l="1"/>
  <c r="H637" i="12" s="1"/>
  <c r="H636" i="12"/>
  <c r="G585" i="12"/>
  <c r="F585" i="12"/>
  <c r="J23" i="22"/>
  <c r="H585" i="12"/>
  <c r="F534" i="12"/>
  <c r="G534" i="12"/>
  <c r="J23" i="21"/>
  <c r="H534" i="12"/>
  <c r="F432" i="12"/>
  <c r="G432" i="12"/>
  <c r="U22" i="20"/>
  <c r="H432" i="12"/>
  <c r="H408" i="12"/>
  <c r="K381" i="12"/>
  <c r="J23" i="18"/>
  <c r="L382" i="12" s="1"/>
  <c r="L381" i="12"/>
  <c r="F23" i="18"/>
  <c r="J382" i="12" s="1"/>
  <c r="J381" i="12"/>
  <c r="J23" i="17"/>
  <c r="L330" i="12"/>
  <c r="H23" i="17"/>
  <c r="K330" i="12"/>
  <c r="F23" i="17"/>
  <c r="J330" i="12"/>
  <c r="H278" i="12"/>
  <c r="J23" i="20"/>
  <c r="L114" i="8" a="1"/>
  <c r="L114" i="8" s="1"/>
  <c r="E22" i="17" s="1"/>
  <c r="L127" i="8" a="1"/>
  <c r="L127" i="8" s="1"/>
  <c r="G22" i="18" s="1"/>
  <c r="L120" i="8" a="1"/>
  <c r="L120" i="8" s="1"/>
  <c r="I22" i="17" s="1"/>
  <c r="L117" i="8" a="1"/>
  <c r="L117" i="8" s="1"/>
  <c r="G22" i="17" s="1"/>
  <c r="L130" i="8" a="1"/>
  <c r="L130" i="8" s="1"/>
  <c r="I22" i="18" s="1"/>
  <c r="L124" i="8" a="1"/>
  <c r="L124" i="8" s="1"/>
  <c r="E22" i="18" s="1"/>
  <c r="L104" i="8" a="1"/>
  <c r="L104" i="8" s="1"/>
  <c r="E22" i="20" s="1"/>
  <c r="L107" i="8" a="1"/>
  <c r="L107" i="8" s="1"/>
  <c r="G22" i="20" s="1"/>
  <c r="L97" i="8" a="1"/>
  <c r="L97" i="8" s="1"/>
  <c r="G22" i="19" s="1"/>
  <c r="G459" i="12" s="1"/>
  <c r="L100" i="8" a="1"/>
  <c r="L100" i="8" s="1"/>
  <c r="I22" i="19" s="1"/>
  <c r="H459" i="12" s="1"/>
  <c r="L57" i="8" a="1"/>
  <c r="L57" i="8" s="1"/>
  <c r="L90" i="8" a="1"/>
  <c r="L90" i="8" s="1"/>
  <c r="I22" i="23" s="1"/>
  <c r="H612" i="12" s="1"/>
  <c r="L94" i="8" a="1"/>
  <c r="L94" i="8" s="1"/>
  <c r="E22" i="19" s="1"/>
  <c r="F459" i="12" s="1"/>
  <c r="L84" i="8" a="1"/>
  <c r="L84" i="8" s="1"/>
  <c r="E22" i="23" s="1"/>
  <c r="F612" i="12" s="1"/>
  <c r="L87" i="8" a="1"/>
  <c r="L87" i="8" s="1"/>
  <c r="G22" i="23" s="1"/>
  <c r="G612" i="12" s="1"/>
  <c r="L77" i="8" a="1"/>
  <c r="L77" i="8" s="1"/>
  <c r="G22" i="22" s="1"/>
  <c r="L80" i="8" a="1"/>
  <c r="L80" i="8" s="1"/>
  <c r="I22" i="22" s="1"/>
  <c r="L70" i="8" a="1"/>
  <c r="L70" i="8" s="1"/>
  <c r="I22" i="21" s="1"/>
  <c r="L74" i="8" a="1"/>
  <c r="L74" i="8" s="1"/>
  <c r="E22" i="22" s="1"/>
  <c r="L60" i="8" a="1"/>
  <c r="L60" i="8" s="1"/>
  <c r="T22" i="20" s="1"/>
  <c r="L67" i="8" a="1"/>
  <c r="L67" i="8" s="1"/>
  <c r="G22" i="21" s="1"/>
  <c r="L64" i="8" a="1"/>
  <c r="L64" i="8" s="1"/>
  <c r="E22" i="21" s="1"/>
  <c r="L54" i="8" a="1"/>
  <c r="L54" i="8" s="1"/>
  <c r="S22" i="20"/>
  <c r="H23" i="20"/>
  <c r="Q22" i="20"/>
  <c r="F23" i="20"/>
  <c r="F23" i="23"/>
  <c r="F637" i="12" s="1"/>
  <c r="J23" i="19"/>
  <c r="H484" i="12" s="1"/>
  <c r="U22" i="19"/>
  <c r="H23" i="23"/>
  <c r="G637" i="12" s="1"/>
  <c r="F23" i="21"/>
  <c r="F23" i="22"/>
  <c r="H23" i="21"/>
  <c r="H23" i="22"/>
  <c r="F22" i="16"/>
  <c r="F278" i="12" s="1"/>
  <c r="H22" i="16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G586" i="12" l="1"/>
  <c r="G566" i="12" s="1"/>
  <c r="H586" i="12"/>
  <c r="H566" i="12" s="1"/>
  <c r="F586" i="12"/>
  <c r="F566" i="12" s="1"/>
  <c r="F561" i="12"/>
  <c r="G561" i="12"/>
  <c r="H561" i="12"/>
  <c r="H535" i="12"/>
  <c r="G535" i="12"/>
  <c r="F535" i="12"/>
  <c r="G510" i="12"/>
  <c r="F510" i="12"/>
  <c r="H510" i="12"/>
  <c r="U23" i="19"/>
  <c r="L484" i="12" s="1"/>
  <c r="L483" i="12"/>
  <c r="H433" i="12"/>
  <c r="F433" i="12"/>
  <c r="G433" i="12"/>
  <c r="Q23" i="20"/>
  <c r="J432" i="12"/>
  <c r="S23" i="20"/>
  <c r="K432" i="12"/>
  <c r="U23" i="20"/>
  <c r="L432" i="12"/>
  <c r="F408" i="12"/>
  <c r="G408" i="12"/>
  <c r="T23" i="20"/>
  <c r="L408" i="12"/>
  <c r="J331" i="12"/>
  <c r="K331" i="12"/>
  <c r="L331" i="12"/>
  <c r="I23" i="18"/>
  <c r="L358" i="12" s="1"/>
  <c r="L357" i="12"/>
  <c r="G23" i="18"/>
  <c r="K358" i="12" s="1"/>
  <c r="K357" i="12"/>
  <c r="E23" i="18"/>
  <c r="J358" i="12" s="1"/>
  <c r="J357" i="12"/>
  <c r="K306" i="12"/>
  <c r="L306" i="12"/>
  <c r="J306" i="12"/>
  <c r="I23" i="17"/>
  <c r="G23" i="17"/>
  <c r="E23" i="17"/>
  <c r="R22" i="20"/>
  <c r="F23" i="16"/>
  <c r="G278" i="12"/>
  <c r="E23" i="20"/>
  <c r="G23" i="20"/>
  <c r="G22" i="16"/>
  <c r="R22" i="19"/>
  <c r="G23" i="22"/>
  <c r="G23" i="23"/>
  <c r="G613" i="12" s="1"/>
  <c r="G23" i="21"/>
  <c r="I23" i="23"/>
  <c r="H613" i="12" s="1"/>
  <c r="T22" i="19"/>
  <c r="E23" i="22"/>
  <c r="E23" i="21"/>
  <c r="E23" i="23"/>
  <c r="F613" i="12" s="1"/>
  <c r="E22" i="16"/>
  <c r="P22" i="19"/>
  <c r="I22" i="16"/>
  <c r="P22" i="20"/>
  <c r="I23" i="22"/>
  <c r="I23" i="20"/>
  <c r="I23" i="21"/>
  <c r="F23" i="19"/>
  <c r="F484" i="12" s="1"/>
  <c r="Q22" i="19"/>
  <c r="S22" i="19"/>
  <c r="H23" i="19"/>
  <c r="G484" i="12" s="1"/>
  <c r="E22" i="1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G562" i="12" l="1"/>
  <c r="F562" i="12"/>
  <c r="F542" i="12" s="1"/>
  <c r="H562" i="12"/>
  <c r="G511" i="12"/>
  <c r="H511" i="12"/>
  <c r="F511" i="12"/>
  <c r="Q23" i="19"/>
  <c r="J484" i="12" s="1"/>
  <c r="J483" i="12"/>
  <c r="S23" i="19"/>
  <c r="K484" i="12" s="1"/>
  <c r="K483" i="12"/>
  <c r="J433" i="12"/>
  <c r="K433" i="12"/>
  <c r="L433" i="12"/>
  <c r="R23" i="19"/>
  <c r="K460" i="12" s="1"/>
  <c r="K459" i="12"/>
  <c r="P23" i="19"/>
  <c r="J460" i="12" s="1"/>
  <c r="J459" i="12"/>
  <c r="T23" i="19"/>
  <c r="L460" i="12" s="1"/>
  <c r="L459" i="12"/>
  <c r="H409" i="12"/>
  <c r="H389" i="12" s="1"/>
  <c r="J408" i="12"/>
  <c r="L409" i="12"/>
  <c r="G409" i="12"/>
  <c r="G389" i="12" s="1"/>
  <c r="F409" i="12"/>
  <c r="F389" i="12" s="1"/>
  <c r="F413" i="12"/>
  <c r="R23" i="20"/>
  <c r="K408" i="12"/>
  <c r="P23" i="20"/>
  <c r="F287" i="12"/>
  <c r="J307" i="12"/>
  <c r="K307" i="12"/>
  <c r="L307" i="12"/>
  <c r="F617" i="12"/>
  <c r="F464" i="12"/>
  <c r="F515" i="12"/>
  <c r="F362" i="12"/>
  <c r="G254" i="12"/>
  <c r="F254" i="12"/>
  <c r="I23" i="16"/>
  <c r="G23" i="16"/>
  <c r="F279" i="12"/>
  <c r="F259" i="12" s="1"/>
  <c r="F311" i="12"/>
  <c r="I23" i="19"/>
  <c r="H460" i="12" s="1"/>
  <c r="G23" i="19"/>
  <c r="G460" i="12" s="1"/>
  <c r="E23" i="16"/>
  <c r="E23" i="19"/>
  <c r="F460" i="12" s="1"/>
  <c r="H254" i="12"/>
  <c r="T22" i="11"/>
  <c r="L122" i="12" s="1"/>
  <c r="F122" i="12"/>
  <c r="H144" i="12"/>
  <c r="P22" i="11"/>
  <c r="J144" i="12" s="1"/>
  <c r="E23" i="11"/>
  <c r="F145" i="12" s="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T22" i="16"/>
  <c r="T23" i="16" s="1"/>
  <c r="R22" i="16"/>
  <c r="R23" i="16" s="1"/>
  <c r="S22" i="16"/>
  <c r="H23" i="16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K26" i="12"/>
  <c r="K48" i="12"/>
  <c r="L26" i="12"/>
  <c r="L48" i="12"/>
  <c r="K73" i="12"/>
  <c r="K95" i="12"/>
  <c r="J73" i="12"/>
  <c r="J95" i="12"/>
  <c r="J48" i="12"/>
  <c r="J26" i="12"/>
  <c r="L95" i="12"/>
  <c r="L73" i="12"/>
  <c r="G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K409" i="12" l="1"/>
  <c r="J409" i="12"/>
  <c r="K254" i="12"/>
  <c r="K278" i="12"/>
  <c r="L254" i="12"/>
  <c r="L278" i="12"/>
  <c r="J254" i="12"/>
  <c r="J278" i="12"/>
  <c r="H542" i="12"/>
  <c r="H593" i="12"/>
  <c r="H617" i="12"/>
  <c r="F593" i="12"/>
  <c r="G542" i="12"/>
  <c r="G593" i="12"/>
  <c r="G617" i="12"/>
  <c r="G440" i="12"/>
  <c r="G491" i="12"/>
  <c r="H440" i="12"/>
  <c r="H491" i="12"/>
  <c r="H464" i="12"/>
  <c r="H515" i="12"/>
  <c r="F440" i="12"/>
  <c r="F491" i="12"/>
  <c r="G464" i="12"/>
  <c r="G515" i="12"/>
  <c r="F338" i="12"/>
  <c r="G362" i="12"/>
  <c r="G413" i="12"/>
  <c r="H338" i="12"/>
  <c r="H362" i="12"/>
  <c r="H413" i="12"/>
  <c r="G338" i="12"/>
  <c r="P23" i="11"/>
  <c r="J145" i="12" s="1"/>
  <c r="J125" i="12" s="1"/>
  <c r="H279" i="12"/>
  <c r="H259" i="12" s="1"/>
  <c r="H311" i="12"/>
  <c r="G255" i="12"/>
  <c r="G235" i="12" s="1"/>
  <c r="G287" i="12"/>
  <c r="G279" i="12"/>
  <c r="G259" i="12" s="1"/>
  <c r="G311" i="12"/>
  <c r="H255" i="12"/>
  <c r="H235" i="12" s="1"/>
  <c r="H287" i="12"/>
  <c r="F255" i="12"/>
  <c r="F235" i="12" s="1"/>
  <c r="J122" i="12"/>
  <c r="T23" i="11"/>
  <c r="L145" i="12" s="1"/>
  <c r="L125" i="12" s="1"/>
  <c r="L144" i="12"/>
  <c r="F123" i="12"/>
  <c r="F103" i="12" s="1"/>
  <c r="P23" i="16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25" i="12"/>
  <c r="H125" i="12"/>
  <c r="F96" i="12"/>
  <c r="F76" i="12" s="1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F7" i="12" s="1"/>
  <c r="L255" i="12" l="1"/>
  <c r="L279" i="12"/>
  <c r="J255" i="12"/>
  <c r="J235" i="12" s="1"/>
  <c r="J279" i="12"/>
  <c r="J259" i="12" s="1"/>
  <c r="K255" i="12"/>
  <c r="K279" i="12"/>
  <c r="K259" i="12" s="1"/>
  <c r="L440" i="12"/>
  <c r="J440" i="12"/>
  <c r="K440" i="12"/>
  <c r="K464" i="12"/>
  <c r="L464" i="12"/>
  <c r="J464" i="12"/>
  <c r="L413" i="12"/>
  <c r="J413" i="12"/>
  <c r="K413" i="12"/>
  <c r="L389" i="12"/>
  <c r="K389" i="12"/>
  <c r="J389" i="12"/>
  <c r="J123" i="12"/>
  <c r="J103" i="12" s="1"/>
  <c r="L362" i="12"/>
  <c r="K362" i="12"/>
  <c r="J362" i="12"/>
  <c r="L338" i="12"/>
  <c r="K338" i="12"/>
  <c r="J338" i="12"/>
  <c r="L123" i="12"/>
  <c r="L103" i="12" s="1"/>
  <c r="J287" i="12"/>
  <c r="L287" i="12"/>
  <c r="K287" i="12"/>
  <c r="L311" i="12"/>
  <c r="K311" i="12"/>
  <c r="J311" i="12"/>
  <c r="L259" i="12"/>
  <c r="L235" i="12"/>
  <c r="K145" i="12"/>
  <c r="K125" i="12" s="1"/>
  <c r="K172" i="12"/>
  <c r="K152" i="12" s="1"/>
  <c r="L172" i="12"/>
  <c r="L152" i="12" s="1"/>
  <c r="J172" i="12"/>
  <c r="J152" i="12" s="1"/>
  <c r="G76" i="12"/>
  <c r="K178" i="12"/>
  <c r="L180" i="12"/>
  <c r="L178" i="12" s="1"/>
  <c r="H7" i="12"/>
  <c r="K2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<sst xmlns="http://schemas.openxmlformats.org/spreadsheetml/2006/main" count="3131" uniqueCount="285">
  <si>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</si>
  <si>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</si>
  <si>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</si>
  <si>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</si>
  <si>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</si>
  <si>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</si>
  <si>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</si>
  <si>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</si>
  <si>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</si>
  <si>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</si>
  <si>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</si>
  <si>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</si>
  <si>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</si>
  <si>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</si>
  <si>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</si>
  <si>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</si>
  <si>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</si>
  <si>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</si>
  <si>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</si>
  <si>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</si>
  <si>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</si>
  <si>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</si>
  <si>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</si>
  <si>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</si>
  <si>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</si>
  <si>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</si>
  <si>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</si>
  <si>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</si>
  <si>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</si>
  <si>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</si>
  <si>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</si>
  <si>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</si>
  <si>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</si>
  <si>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</si>
  <si>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</si>
  <si>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</si>
  <si>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</si>
  <si>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</si>
  <si>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</si>
  <si>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</si>
  <si>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</si>
  <si>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</si>
  <si>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</si>
  <si>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</si>
  <si>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</si>
  <si>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</si>
  <si>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</si>
  <si>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</si>
  <si>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</si>
  <si>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</si>
  <si>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</si>
  <si>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</si>
  <si>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</si>
  <si>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</si>
  <si>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</si>
  <si>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</si>
  <si>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</si>
  <si>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</si>
  <si>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</si>
  <si>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</si>
  <si>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</si>
  <si>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</si>
  <si>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</si>
  <si>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</si>
  <si>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</si>
  <si>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</si>
  <si>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</si>
  <si>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</si>
  <si>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</si>
  <si>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</si>
  <si>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</si>
  <si>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</si>
  <si>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</si>
  <si>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</si>
  <si>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</si>
  <si>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</si>
  <si>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</si>
  <si>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</si>
  <si>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</si>
  <si>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</si>
  <si>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</si>
  <si>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</si>
  <si>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</si>
  <si>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</si>
  <si>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</si>
  <si>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</si>
  <si>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</si>
  <si>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</si>
  <si>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</si>
  <si>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</si>
  <si>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</si>
  <si>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</si>
  <si>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</si>
  <si>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</si>
  <si>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</si>
  <si>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</si>
  <si>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</si>
  <si>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</si>
  <si>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</si>
  <si>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</si>
  <si>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</si>
  <si>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</si>
  <si>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</si>
  <si>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</si>
  <si>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</si>
  <si>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</si>
  <si>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</si>
  <si>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</si>
  <si>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</si>
  <si>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</si>
  <si>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</si>
  <si>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</si>
  <si>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</si>
  <si>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</si>
  <si>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</si>
  <si>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</si>
  <si>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</si>
  <si>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</si>
  <si>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</si>
  <si>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</si>
  <si>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</si>
  <si>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</si>
  <si>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</si>
  <si>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</si>
  <si>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</si>
  <si>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</si>
  <si>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</si>
  <si>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</si>
  <si>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</si>
  <si>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</si>
  <si>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</si>
  <si>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</si>
  <si>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</si>
  <si>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</si>
  <si>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</si>
  <si>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</si>
  <si>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</si>
  <si>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</si>
  <si>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</si>
  <si>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</si>
  <si>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</si>
  <si>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</si>
  <si>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</si>
  <si>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</si>
  <si>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</si>
  <si>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</si>
  <si>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</si>
  <si>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</si>
  <si>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</si>
  <si>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</si>
  <si>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</si>
  <si>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</si>
  <si>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.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</si>
  <si>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</si>
  <si>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</si>
  <si>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</si>
  <si>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</si>
  <si>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</si>
  <si>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</si>
  <si>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</si>
  <si>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</si>
  <si>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</si>
  <si>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</si>
  <si>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</si>
  <si>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</si>
  <si>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</si>
  <si>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</si>
  <si>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</si>
  <si>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</si>
  <si>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</si>
  <si>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</si>
  <si>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</si>
  <si>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</si>
  <si>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</si>
  <si>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</si>
  <si>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</si>
  <si>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</si>
  <si>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</si>
  <si>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Price Change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</si>
  <si>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</si>
  <si>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</si>
  <si>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</si>
  <si>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</si>
  <si>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</si>
  <si>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</si>
  <si>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</si>
  <si>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</si>
  <si>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</si>
  <si>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</si>
  <si>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</si>
  <si>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</si>
  <si>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</si>
  <si>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</si>
  <si>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</si>
  <si>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</si>
  <si>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</si>
  <si>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Sep/Oct</t>
  </si>
  <si>
    <t>Oct/Nov</t>
  </si>
  <si>
    <t>Nov/Dec</t>
  </si>
  <si>
    <t>Dec/Jan</t>
  </si>
  <si>
    <t>Q2/Q3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</si>
  <si>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</si>
  <si>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</si>
  <si>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</si>
  <si>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</si>
  <si>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</si>
  <si>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</si>
  <si>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</si>
  <si>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</si>
  <si>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</si>
  <si>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</si>
  <si>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</si>
  <si>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</si>
  <si>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</si>
  <si>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</si>
  <si>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</si>
  <si>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</si>
  <si>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</si>
  <si>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</si>
  <si>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</si>
  <si>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</si>
  <si>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</si>
  <si>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</si>
  <si>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</si>
  <si>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</si>
  <si>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</si>
  <si>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</si>
  <si>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</si>
  <si>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</si>
  <si>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</si>
  <si>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</si>
  <si>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</si>
  <si>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</si>
  <si>
    <t>Oct</t>
  </si>
  <si>
    <t>Q127</t>
  </si>
  <si>
    <t>380 Sing / Brent Crack</t>
  </si>
  <si>
    <t>Q1-26</t>
  </si>
  <si>
    <t>Q2-26</t>
  </si>
  <si>
    <t>Jan/Feb</t>
  </si>
  <si>
    <t>Feb/Mar</t>
  </si>
  <si>
    <t>Mar/Apr</t>
  </si>
  <si>
    <t>Q1/Q2</t>
  </si>
  <si>
    <t>Skikda to USGC</t>
  </si>
  <si>
    <t>Arzew to USGC</t>
  </si>
  <si>
    <t>Skikda to Rott</t>
  </si>
  <si>
    <t>Arzew to Rott</t>
  </si>
  <si>
    <t>Iraq to MED</t>
  </si>
  <si>
    <t>Iraq to Rott</t>
  </si>
  <si>
    <t>Iraq to USGC</t>
  </si>
  <si>
    <t>WS</t>
  </si>
  <si>
    <t>*Santa Panagia as the destination port for MED</t>
  </si>
  <si>
    <t>*Abot Al Basrah oil terminal as departure point</t>
  </si>
  <si>
    <t>*Fujairah for Arab Gulf</t>
  </si>
  <si>
    <t>AFRA</t>
  </si>
  <si>
    <t>IRAQ TO MED</t>
  </si>
  <si>
    <t>IRAQ TO ROTT</t>
  </si>
  <si>
    <t>IRAQ TO USGC</t>
  </si>
  <si>
    <t>ARZEW TO USGC SUEZ</t>
  </si>
  <si>
    <t>ARZEW TO USGC AFRA</t>
  </si>
  <si>
    <t>ARZEW TO ROTT SUEZ</t>
  </si>
  <si>
    <t>ARZEW TO ROTT AFRA</t>
  </si>
  <si>
    <t>IRAQ TO MED SUEZ</t>
  </si>
  <si>
    <t>IRAQ TO ROTT SUEZ</t>
  </si>
  <si>
    <t>IRAQ TO USGC SUEZ</t>
  </si>
  <si>
    <t>SKIKDA TO USGC AFRA</t>
  </si>
  <si>
    <t>SKIKDA TO ROTT AFRA</t>
  </si>
  <si>
    <t>SKIKDA TO USGC</t>
  </si>
  <si>
    <t>SKIKDA TO ROTT</t>
  </si>
  <si>
    <t>ARZEW TO ROTT</t>
  </si>
  <si>
    <t>ARZEW TO USGC</t>
  </si>
  <si>
    <t>Nov</t>
  </si>
  <si>
    <t>May/Jun</t>
  </si>
  <si>
    <t xml:space="preserve">Purchase Prem </t>
  </si>
  <si>
    <t>Purchase Prem</t>
  </si>
  <si>
    <t>*text just in white for Suez, not blanc</t>
  </si>
  <si>
    <t>IRAQ PREMIUMS</t>
  </si>
  <si>
    <t>RMG IRAQ</t>
  </si>
  <si>
    <t>0.5 IRAQ</t>
  </si>
  <si>
    <t>*linked to MOPAG</t>
  </si>
  <si>
    <t>0.5% Rotterdam</t>
  </si>
  <si>
    <t>RMG Rotterdam</t>
  </si>
  <si>
    <t xml:space="preserve">Rotterdam </t>
  </si>
  <si>
    <t>RMG Singapore</t>
  </si>
  <si>
    <t xml:space="preserve">Singapore VALUE </t>
  </si>
  <si>
    <t>0.5% 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</si>
</sst>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639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0" fontId="0" fillId="0" borderId="0" xfId="0" applyNumberFormat="1" applyAlignment="1">
      <alignment horizontal="left"/>
    </xf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0" fontId="0" fillId="7" borderId="10" xfId="0" applyFill="1" applyBorder="1" applyAlignment="1">
      <alignment horizontal="left"/>
    </xf>
    <xf numFmtId="165" fontId="5" fillId="8" borderId="10" xfId="0" applyNumberFormat="1" applyFont="1" applyFill="1" applyBorder="1" applyAlignment="1">
      <alignment horizontal="center"/>
    </xf>
    <xf numFmtId="2" fontId="5" fillId="8" borderId="11" xfId="0" applyNumberFormat="1" applyFont="1" applyFill="1" applyBorder="1" applyAlignment="1">
      <alignment horizontal="center"/>
    </xf>
    <xf numFmtId="2" fontId="19" fillId="21" borderId="28" xfId="0" applyNumberFormat="1" applyFont="1" applyFill="1" applyBorder="1" applyAlignment="1">
      <alignment horizontal="right" vertical="center"/>
    </xf>
    <xf numFmtId="0" fontId="17" fillId="21" borderId="0" xfId="0" applyFont="1" applyFill="1"/>
    <xf numFmtId="0" fontId="19" fillId="28" borderId="61" xfId="0" applyFont="1" applyFill="1" applyBorder="1" applyAlignment="1">
      <alignment horizontal="left" vertical="center"/>
    </xf>
    <xf numFmtId="17" fontId="19" fillId="21" borderId="61" xfId="0" applyNumberFormat="1" applyFont="1" applyFill="1" applyBorder="1" applyAlignment="1">
      <alignment vertical="center"/>
    </xf>
    <xf numFmtId="0" fontId="26" fillId="0" borderId="0" xfId="0" applyFont="1"/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168" fontId="0" fillId="21" borderId="60" xfId="1" applyNumberFormat="1" applyFont="1" applyFill="1" applyBorder="1" applyAlignment="1"/>
    <xf numFmtId="0" fontId="0" fillId="33" borderId="35" xfId="0" applyFill="1" applyBorder="1"/>
    <xf numFmtId="0" fontId="0" fillId="33" borderId="43" xfId="0" applyFill="1" applyBorder="1"/>
    <xf numFmtId="0" fontId="0" fillId="33" borderId="44" xfId="0" applyFill="1" applyBorder="1"/>
    <xf numFmtId="0" fontId="0" fillId="33" borderId="45" xfId="0" applyFill="1" applyBorder="1"/>
    <xf numFmtId="14" fontId="0" fillId="33" borderId="49" xfId="0" applyNumberFormat="1" applyFill="1" applyBorder="1"/>
    <xf numFmtId="14" fontId="0" fillId="33" borderId="38" xfId="0" applyNumberFormat="1" applyFill="1" applyBorder="1"/>
    <xf numFmtId="14" fontId="0" fillId="33" borderId="39" xfId="0" applyNumberFormat="1" applyFill="1" applyBorder="1"/>
    <xf numFmtId="2" fontId="0" fillId="33" borderId="50" xfId="0" applyNumberFormat="1" applyFill="1" applyBorder="1"/>
    <xf numFmtId="2" fontId="0" fillId="33" borderId="41" xfId="0" applyNumberFormat="1" applyFill="1" applyBorder="1"/>
    <xf numFmtId="2" fontId="0" fillId="33" borderId="42" xfId="0" applyNumberFormat="1" applyFill="1" applyBorder="1"/>
    <xf numFmtId="16" fontId="0" fillId="33" borderId="50" xfId="0" applyNumberFormat="1" applyFill="1" applyBorder="1"/>
    <xf numFmtId="16" fontId="0" fillId="33" borderId="41" xfId="0" applyNumberFormat="1" applyFill="1" applyBorder="1"/>
    <xf numFmtId="16" fontId="0" fillId="33" borderId="42" xfId="0" applyNumberFormat="1" applyFill="1" applyBorder="1"/>
    <xf numFmtId="16" fontId="0" fillId="33" borderId="51" xfId="0" applyNumberFormat="1" applyFill="1" applyBorder="1"/>
    <xf numFmtId="16" fontId="0" fillId="33" borderId="47" xfId="0" applyNumberFormat="1" applyFill="1" applyBorder="1"/>
    <xf numFmtId="16" fontId="0" fillId="33" borderId="48" xfId="0" applyNumberFormat="1" applyFill="1" applyBorder="1"/>
    <xf numFmtId="0" fontId="0" fillId="34" borderId="35" xfId="0" applyFill="1" applyBorder="1"/>
    <xf numFmtId="0" fontId="0" fillId="34" borderId="43" xfId="0" applyFill="1" applyBorder="1"/>
    <xf numFmtId="0" fontId="0" fillId="34" borderId="44" xfId="0" applyFill="1" applyBorder="1"/>
    <xf numFmtId="0" fontId="0" fillId="34" borderId="45" xfId="0" applyFill="1" applyBorder="1"/>
    <xf numFmtId="14" fontId="0" fillId="34" borderId="49" xfId="0" applyNumberFormat="1" applyFill="1" applyBorder="1"/>
    <xf numFmtId="14" fontId="0" fillId="34" borderId="38" xfId="0" applyNumberFormat="1" applyFill="1" applyBorder="1"/>
    <xf numFmtId="14" fontId="0" fillId="34" borderId="39" xfId="0" applyNumberFormat="1" applyFill="1" applyBorder="1"/>
    <xf numFmtId="2" fontId="0" fillId="34" borderId="50" xfId="0" applyNumberFormat="1" applyFill="1" applyBorder="1"/>
    <xf numFmtId="2" fontId="0" fillId="34" borderId="41" xfId="0" applyNumberFormat="1" applyFill="1" applyBorder="1"/>
    <xf numFmtId="2" fontId="0" fillId="34" borderId="42" xfId="0" applyNumberFormat="1" applyFill="1" applyBorder="1"/>
    <xf numFmtId="16" fontId="0" fillId="34" borderId="50" xfId="0" applyNumberFormat="1" applyFill="1" applyBorder="1"/>
    <xf numFmtId="16" fontId="0" fillId="34" borderId="41" xfId="0" applyNumberFormat="1" applyFill="1" applyBorder="1"/>
    <xf numFmtId="16" fontId="0" fillId="34" borderId="42" xfId="0" applyNumberFormat="1" applyFill="1" applyBorder="1"/>
    <xf numFmtId="16" fontId="0" fillId="34" borderId="51" xfId="0" applyNumberFormat="1" applyFill="1" applyBorder="1"/>
    <xf numFmtId="16" fontId="0" fillId="34" borderId="47" xfId="0" applyNumberFormat="1" applyFill="1" applyBorder="1"/>
    <xf numFmtId="16" fontId="0" fillId="34" borderId="48" xfId="0" applyNumberFormat="1" applyFill="1" applyBorder="1"/>
    <xf numFmtId="166" fontId="0" fillId="8" borderId="10" xfId="0" applyNumberFormat="1" applyFill="1" applyBorder="1" applyAlignment="1">
      <alignment horizontal="center"/>
    </xf>
    <xf numFmtId="0" fontId="0" fillId="20" borderId="0" xfId="0" applyFill="1"/>
    <xf numFmtId="0" fontId="2" fillId="20" borderId="35" xfId="0" applyFont="1" applyFill="1" applyBorder="1"/>
    <xf numFmtId="0" fontId="0" fillId="20" borderId="21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80" xfId="0" applyFill="1" applyBorder="1" applyAlignment="1">
      <alignment horizontal="center"/>
    </xf>
    <xf numFmtId="0" fontId="0" fillId="20" borderId="31" xfId="0" applyFill="1" applyBorder="1" applyAlignment="1">
      <alignment horizontal="center"/>
    </xf>
    <xf numFmtId="0" fontId="0" fillId="20" borderId="30" xfId="0" applyFill="1" applyBorder="1"/>
    <xf numFmtId="0" fontId="0" fillId="35" borderId="0" xfId="0" applyFill="1"/>
    <xf numFmtId="0" fontId="2" fillId="35" borderId="35" xfId="0" applyFont="1" applyFill="1" applyBorder="1"/>
    <xf numFmtId="0" fontId="0" fillId="35" borderId="21" xfId="0" applyFill="1" applyBorder="1" applyAlignment="1">
      <alignment horizontal="center"/>
    </xf>
    <xf numFmtId="0" fontId="0" fillId="35" borderId="23" xfId="0" applyFill="1" applyBorder="1" applyAlignment="1">
      <alignment horizontal="center"/>
    </xf>
    <xf numFmtId="0" fontId="0" fillId="35" borderId="29" xfId="0" applyFill="1" applyBorder="1" applyAlignment="1">
      <alignment horizontal="center"/>
    </xf>
    <xf numFmtId="0" fontId="0" fillId="35" borderId="80" xfId="0" applyFill="1" applyBorder="1" applyAlignment="1">
      <alignment horizontal="center"/>
    </xf>
    <xf numFmtId="0" fontId="0" fillId="35" borderId="31" xfId="0" applyFill="1" applyBorder="1" applyAlignment="1">
      <alignment horizontal="center"/>
    </xf>
    <xf numFmtId="0" fontId="0" fillId="35" borderId="30" xfId="0" applyFill="1" applyBorder="1"/>
    <xf numFmtId="0" fontId="0" fillId="34" borderId="0" xfId="0" applyFill="1"/>
    <xf numFmtId="0" fontId="2" fillId="34" borderId="35" xfId="0" applyFont="1" applyFill="1" applyBorder="1"/>
    <xf numFmtId="0" fontId="0" fillId="34" borderId="21" xfId="0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34" borderId="29" xfId="0" applyFill="1" applyBorder="1" applyAlignment="1">
      <alignment horizontal="center"/>
    </xf>
    <xf numFmtId="0" fontId="0" fillId="34" borderId="80" xfId="0" applyFill="1" applyBorder="1" applyAlignment="1">
      <alignment horizontal="center"/>
    </xf>
    <xf numFmtId="0" fontId="0" fillId="34" borderId="31" xfId="0" applyFill="1" applyBorder="1" applyAlignment="1">
      <alignment horizontal="center"/>
    </xf>
    <xf numFmtId="0" fontId="0" fillId="34" borderId="30" xfId="0" applyFill="1" applyBorder="1"/>
    <xf numFmtId="16" fontId="27" fillId="21" borderId="58" xfId="0" applyNumberFormat="1" applyFont="1" applyFill="1" applyBorder="1"/>
    <xf numFmtId="16" fontId="27" fillId="21" borderId="32" xfId="0" applyNumberFormat="1" applyFont="1" applyFill="1" applyBorder="1"/>
    <xf numFmtId="16" fontId="27" fillId="21" borderId="76" xfId="0" applyNumberFormat="1" applyFont="1" applyFill="1" applyBorder="1"/>
    <xf numFmtId="43" fontId="27" fillId="21" borderId="74" xfId="0" applyNumberFormat="1" applyFont="1" applyFill="1" applyBorder="1"/>
    <xf numFmtId="43" fontId="27" fillId="21" borderId="75" xfId="0" applyNumberFormat="1" applyFont="1" applyFill="1" applyBorder="1"/>
    <xf numFmtId="43" fontId="27" fillId="21" borderId="58" xfId="1" applyFont="1" applyFill="1" applyBorder="1"/>
    <xf numFmtId="43" fontId="27" fillId="21" borderId="59" xfId="1" applyFont="1" applyFill="1" applyBorder="1"/>
    <xf numFmtId="43" fontId="27" fillId="21" borderId="85" xfId="1" applyFont="1" applyFill="1" applyBorder="1"/>
    <xf numFmtId="43" fontId="27" fillId="21" borderId="86" xfId="1" applyFont="1" applyFill="1" applyBorder="1"/>
    <xf numFmtId="43" fontId="27" fillId="21" borderId="87" xfId="1" applyFont="1" applyFill="1" applyBorder="1"/>
    <xf numFmtId="43" fontId="27" fillId="21" borderId="32" xfId="1" applyFont="1" applyFill="1" applyBorder="1"/>
    <xf numFmtId="43" fontId="27" fillId="21" borderId="76" xfId="1" applyFont="1" applyFill="1" applyBorder="1"/>
    <xf numFmtId="17" fontId="27" fillId="21" borderId="59" xfId="1" applyNumberFormat="1" applyFont="1" applyFill="1" applyBorder="1"/>
    <xf numFmtId="0" fontId="27" fillId="21" borderId="0" xfId="0" applyFont="1" applyFill="1"/>
    <xf numFmtId="10" fontId="2" fillId="0" borderId="35" xfId="0" applyNumberFormat="1" applyFont="1" applyBorder="1" applyAlignment="1">
      <alignment horizontal="left"/>
    </xf>
    <xf numFmtId="0" fontId="0" fillId="36" borderId="0" xfId="0" applyFill="1"/>
    <xf numFmtId="0" fontId="0" fillId="0" borderId="0" xfId="0" applyAlignment="1">
      <alignment horizontal="left"/>
    </xf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2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0" fontId="2" fillId="20" borderId="0" xfId="0" applyFont="1" applyFill="1" applyAlignment="1">
      <alignment horizontal="center" vertical="center"/>
    </xf>
    <xf numFmtId="0" fontId="0" fillId="20" borderId="29" xfId="0" applyFill="1" applyBorder="1" applyAlignment="1">
      <alignment horizontal="center"/>
    </xf>
    <xf numFmtId="0" fontId="0" fillId="20" borderId="31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0" fontId="2" fillId="35" borderId="0" xfId="0" applyFont="1" applyFill="1" applyAlignment="1">
      <alignment horizontal="center" vertical="center"/>
    </xf>
    <xf numFmtId="0" fontId="0" fillId="35" borderId="29" xfId="0" applyFill="1" applyBorder="1" applyAlignment="1">
      <alignment horizontal="center"/>
    </xf>
    <xf numFmtId="0" fontId="0" fillId="35" borderId="31" xfId="0" applyFill="1" applyBorder="1" applyAlignment="1">
      <alignment horizontal="center"/>
    </xf>
    <xf numFmtId="0" fontId="0" fillId="35" borderId="21" xfId="0" applyFill="1" applyBorder="1" applyAlignment="1">
      <alignment horizontal="center"/>
    </xf>
    <xf numFmtId="0" fontId="0" fillId="35" borderId="22" xfId="0" applyFill="1" applyBorder="1" applyAlignment="1">
      <alignment horizontal="center"/>
    </xf>
    <xf numFmtId="0" fontId="0" fillId="35" borderId="23" xfId="0" applyFill="1" applyBorder="1" applyAlignment="1">
      <alignment horizontal="center"/>
    </xf>
    <xf numFmtId="0" fontId="2" fillId="34" borderId="0" xfId="0" applyFont="1" applyFill="1" applyAlignment="1">
      <alignment horizontal="center" vertical="center"/>
    </xf>
    <xf numFmtId="0" fontId="0" fillId="34" borderId="29" xfId="0" applyFill="1" applyBorder="1" applyAlignment="1">
      <alignment horizontal="center"/>
    </xf>
    <xf numFmtId="0" fontId="0" fillId="34" borderId="31" xfId="0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0" fontId="2" fillId="33" borderId="34" xfId="0" applyFont="1" applyFill="1" applyBorder="1" applyAlignment="1">
      <alignment horizontal="center" vertical="center"/>
    </xf>
    <xf numFmtId="0" fontId="2" fillId="33" borderId="24" xfId="0" applyFont="1" applyFill="1" applyBorder="1" applyAlignment="1">
      <alignment horizontal="center" vertical="center"/>
    </xf>
    <xf numFmtId="0" fontId="2" fillId="33" borderId="26" xfId="0" applyFont="1" applyFill="1" applyBorder="1" applyAlignment="1">
      <alignment horizontal="center" vertical="center"/>
    </xf>
    <xf numFmtId="0" fontId="12" fillId="33" borderId="29" xfId="0" applyFont="1" applyFill="1" applyBorder="1" applyAlignment="1">
      <alignment horizontal="center"/>
    </xf>
    <xf numFmtId="0" fontId="12" fillId="33" borderId="30" xfId="0" applyFont="1" applyFill="1" applyBorder="1" applyAlignment="1">
      <alignment horizontal="center"/>
    </xf>
    <xf numFmtId="0" fontId="12" fillId="33" borderId="31" xfId="0" applyFont="1" applyFill="1" applyBorder="1" applyAlignment="1">
      <alignment horizontal="center"/>
    </xf>
    <xf numFmtId="0" fontId="12" fillId="34" borderId="29" xfId="0" applyFont="1" applyFill="1" applyBorder="1" applyAlignment="1">
      <alignment horizontal="center"/>
    </xf>
    <xf numFmtId="0" fontId="12" fillId="34" borderId="30" xfId="0" applyFont="1" applyFill="1" applyBorder="1" applyAlignment="1">
      <alignment horizontal="center"/>
    </xf>
    <xf numFmtId="0" fontId="12" fillId="34" borderId="31" xfId="0" applyFont="1" applyFill="1" applyBorder="1" applyAlignment="1">
      <alignment horizontal="center"/>
    </xf>
    <xf numFmtId="0" fontId="2" fillId="34" borderId="34" xfId="0" applyFont="1" applyFill="1" applyBorder="1" applyAlignment="1">
      <alignment horizontal="center" vertical="center"/>
    </xf>
    <xf numFmtId="0" fontId="2" fillId="34" borderId="24" xfId="0" applyFont="1" applyFill="1" applyBorder="1" applyAlignment="1">
      <alignment horizontal="center" vertical="center"/>
    </xf>
    <xf numFmtId="0" fontId="2" fillId="34" borderId="26" xfId="0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25" fillId="27" borderId="29" xfId="0" applyFont="1" applyFill="1" applyBorder="1" applyAlignment="1">
      <alignment horizontal="center" vertical="center"/>
    </xf>
    <xf numFmtId="0" fontId="25" fillId="27" borderId="31" xfId="0" applyFont="1" applyFill="1" applyBorder="1" applyAlignment="1">
      <alignment horizontal="center" vertic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72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639"/>
  <sheetViews>
    <sheetView tabSelected="1" zoomScale="85" zoomScaleNormal="85" workbookViewId="0">
      <selection activeCell="O235" sqref="O235"/>
    </sheetView>
  </sheetViews>
  <sheetFormatPr defaultRowHeight="15" outlineLevelRow="1" x14ac:dyDescent="0.25"/>
  <cols>
    <col min="1" max="1" width="28.42578125" bestFit="1" customWidth="1"/>
    <col min="2" max="2" width="28.7109375" hidden="1" customWidth="1"/>
    <col min="3" max="3" width="9.42578125" hidden="1" customWidth="1"/>
    <col min="4" max="4" width="7.42578125" hidden="1" customWidth="1"/>
    <col min="5" max="5" width="23.5703125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x14ac:dyDescent="0.25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</row>
    <row r="3" spans="1:13" ht="15.75" thickBot="1" x14ac:dyDescent="0.3">
      <c r="A3" s="155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</row>
    <row r="4" spans="1:13" ht="15.75" thickBot="1" x14ac:dyDescent="0.3">
      <c r="A4" s="530" t="s">
        <v>123</v>
      </c>
      <c r="B4" s="155"/>
      <c r="C4" s="526" t="s">
        <v>44</v>
      </c>
      <c r="D4" s="528"/>
      <c r="F4" s="526" t="s">
        <v>129</v>
      </c>
      <c r="G4" s="527"/>
      <c r="H4" s="528"/>
      <c r="J4" s="526" t="s">
        <v>130</v>
      </c>
      <c r="K4" s="527"/>
      <c r="L4" s="528"/>
      <c r="M4" s="155"/>
    </row>
    <row r="5" spans="1:13" ht="15.75" thickBot="1" x14ac:dyDescent="0.3">
      <c r="A5" s="530"/>
      <c r="B5" s="199" t="s">
        <v>131</v>
      </c>
      <c r="C5" s="173" t="str">
        <f ca="1">IF(DAY(C$6)&lt;15,"1H-"&amp;VLOOKUP(MONTH(C$6),Mapping!$A$1:$B$12,2,0),"2H-"&amp;VLOOKUP(MONTH(C$6),Mapping!$A$1:$B$12,2,0))</f>
        <v>1H-NOV</v>
      </c>
      <c r="D5" s="185" t="str">
        <f ca="1">IF(DAY(D$6)&lt;15,"1H-"&amp;VLOOKUP(MONTH(D$6),Mapping!$A$1:$B$12,2,0),"2H-"&amp;VLOOKUP(MONTH(D$6),Mapping!$A$1:$B$12,2,0))</f>
        <v>2H-NOV</v>
      </c>
      <c r="E5" s="9"/>
      <c r="F5" s="173" t="str">
        <f ca="1">IF(DAY(F$6)&lt;15,"1H-"&amp;VLOOKUP(MONTH(F$6),Mapping!$A$1:$B$12,2,0),"2H-"&amp;VLOOKUP(MONTH(F$6),Mapping!$A$1:$B$12,2,0))</f>
        <v>2H-OCT</v>
      </c>
      <c r="G5" s="186" t="str">
        <f ca="1">IF(DAY(G$6)&lt;15,"1H-"&amp;VLOOKUP(MONTH(G$6),Mapping!$A$1:$B$12,2,0),"2H-"&amp;VLOOKUP(MONTH(G$6),Mapping!$A$1:$B$12,2,0))</f>
        <v>1H-NOV</v>
      </c>
      <c r="H5" s="174" t="str">
        <f ca="1">IF(DAY(H$6)&lt;15,"1H-"&amp;VLOOKUP(MONTH(H$6),Mapping!$A$1:$B$12,2,0),"2H-"&amp;VLOOKUP(MONTH(H$6),Mapping!$A$1:$B$12,2,0))</f>
        <v>2H-NOV</v>
      </c>
      <c r="I5" s="9"/>
      <c r="J5" s="173" t="str">
        <f ca="1">IF(DAY(J$6)&lt;15,"1H-"&amp;VLOOKUP(MONTH(J$6),Mapping!$A$1:$B$12,2,0),"2H-"&amp;VLOOKUP(MONTH(J$6),Mapping!$A$1:$B$12,2,0))</f>
        <v>2H-OCT</v>
      </c>
      <c r="K5" s="186" t="str">
        <f ca="1">IF(DAY(K$6)&lt;15,"1H-"&amp;VLOOKUP(MONTH(K$6),Mapping!$A$1:$B$12,2,0),"2H-"&amp;VLOOKUP(MONTH(K$6),Mapping!$A$1:$B$12,2,0))</f>
        <v>1H-NOV</v>
      </c>
      <c r="L5" s="174" t="str">
        <f ca="1">IF(DAY(L$6)&lt;15,"1H-"&amp;VLOOKUP(MONTH(L$6),Mapping!$A$1:$B$12,2,0),"2H-"&amp;VLOOKUP(MONTH(L$6),Mapping!$A$1:$B$12,2,0))</f>
        <v>2H-NOV</v>
      </c>
      <c r="M5" s="155"/>
    </row>
    <row r="6" spans="1:13" ht="15.75" thickBot="1" x14ac:dyDescent="0.3">
      <c r="A6" s="155"/>
      <c r="B6" s="154" t="s">
        <v>131</v>
      </c>
      <c r="C6" s="190">
        <f ca="1">'ROTT TO SING'!E26</f>
        <v>45964</v>
      </c>
      <c r="D6" s="190">
        <f ca="1">'ROTT TO SING'!G26</f>
        <v>45978</v>
      </c>
      <c r="E6" s="177"/>
      <c r="F6" s="190">
        <f ca="1">'ROTT TO SING'!N26</f>
        <v>45956</v>
      </c>
      <c r="G6" s="192">
        <f ca="1">'ROTT TO SING'!P26</f>
        <v>45970</v>
      </c>
      <c r="H6" s="193">
        <f ca="1">'ROTT TO SING'!R26</f>
        <v>45984</v>
      </c>
      <c r="I6" s="179"/>
      <c r="J6" s="192">
        <f ca="1">'ROTT TO SING'!Y26</f>
        <v>45956</v>
      </c>
      <c r="K6" s="192">
        <f ca="1">'ROTT TO SING'!AA26</f>
        <v>45970</v>
      </c>
      <c r="L6" s="193">
        <f ca="1">'ROTT TO SING'!AC26</f>
        <v>45984</v>
      </c>
      <c r="M6" s="155"/>
    </row>
    <row r="7" spans="1:13" x14ac:dyDescent="0.25">
      <c r="A7" s="199" t="s">
        <v>282</v>
      </c>
      <c r="B7" s="168"/>
      <c r="C7" s="243">
        <f ca="1">C27+C8-C9</f>
        <v>-15.010497485866496</v>
      </c>
      <c r="D7" s="244">
        <f ca="1">D27+D8-D9</f>
        <v>-15.460096556316593</v>
      </c>
      <c r="E7" s="199"/>
      <c r="F7" s="243">
        <f ca="1">F27+F8-F9</f>
        <v>-30.984588755707755</v>
      </c>
      <c r="G7" s="245">
        <f ca="1">G27+G8-G9</f>
        <v>-32.038985445205469</v>
      </c>
      <c r="H7" s="244">
        <f ca="1">H27+H8-H9</f>
        <v>-32.038985445205469</v>
      </c>
      <c r="I7" s="246"/>
      <c r="J7" s="245">
        <f ca="1">J27+J8-J9</f>
        <v>-43.756833653666931</v>
      </c>
      <c r="K7" s="245">
        <f ca="1">K27+K8-K9</f>
        <v>-44.811230343164645</v>
      </c>
      <c r="L7" s="244">
        <f ca="1">L27+L8-L9</f>
        <v>-44.811230343164645</v>
      </c>
      <c r="M7" s="155"/>
    </row>
    <row r="8" spans="1:13" x14ac:dyDescent="0.25">
      <c r="A8" s="155"/>
      <c r="B8" s="169" t="s">
        <v>133</v>
      </c>
      <c r="C8" s="226">
        <f ca="1">INDEX(Premium!$A$2:$D$12,MATCH(MAIN!$A7,Premium!$A$2:$A$12,0),MATCH(EOMONTH(MAIN!C6,-1)+1,Premium!$A$2:$D$2,0))</f>
        <v>0.6</v>
      </c>
      <c r="D8" s="227">
        <f ca="1">INDEX(Premium!$A$2:$D$12,MATCH(MAIN!$A7,Premium!$A$2:$A$12,0),MATCH(EOMONTH(MAIN!D6,-1)+1,Premium!$A$2:$D$2,0))</f>
        <v>0.6</v>
      </c>
      <c r="E8" s="228" t="s">
        <v>128</v>
      </c>
      <c r="F8" s="226">
        <f ca="1">INDEX(Premium!$A$2:$D$12,MATCH(MAIN!$A7,Premium!$A$2:$A$12,0),MATCH(EOMONTH(MAIN!F6,-1)+1,Premium!$A$2:$D$2,0))</f>
        <v>0.6</v>
      </c>
      <c r="G8" s="229">
        <f ca="1">INDEX(Premium!$A$2:$D$12,MATCH(MAIN!$A7,Premium!$A$2:$A$12,0),MATCH(EOMONTH(MAIN!G6,-1)+1,Premium!$A$2:$D$2,0))</f>
        <v>0.6</v>
      </c>
      <c r="H8" s="227">
        <f ca="1">INDEX(Premium!$A$2:$D$12,MATCH(MAIN!$A7,Premium!$A$2:$A$12,0),MATCH(EOMONTH(MAIN!H6,-1)+1,Premium!$A$2:$D$2,0))</f>
        <v>0.6</v>
      </c>
      <c r="I8" s="230" t="s">
        <v>128</v>
      </c>
      <c r="J8" s="229">
        <f ca="1">INDEX(Premium!$A$2:$D$12,MATCH(MAIN!$A7,Premium!$A$2:$A$12,0),MATCH(EOMONTH(MAIN!J6,-1)+1,Premium!$A$2:$D$2,0))</f>
        <v>0.6</v>
      </c>
      <c r="K8" s="229">
        <f ca="1">INDEX(Premium!$A$2:$D$12,MATCH(MAIN!$A7,Premium!$A$2:$A$12,0),MATCH(EOMONTH(MAIN!K6,-1)+1,Premium!$A$2:$D$2,0))</f>
        <v>0.6</v>
      </c>
      <c r="L8" s="227">
        <f ca="1">INDEX(Premium!$A$2:$D$12,MATCH(MAIN!$A7,Premium!$A$2:$A$12,0),MATCH(EOMONTH(MAIN!L6,-1)+1,Premium!$A$2:$D$2,0))</f>
        <v>0.6</v>
      </c>
      <c r="M8" s="155"/>
    </row>
    <row r="9" spans="1:13" ht="15.75" thickBot="1" x14ac:dyDescent="0.3">
      <c r="A9" s="155"/>
      <c r="B9" s="170" t="s">
        <v>132</v>
      </c>
      <c r="C9" s="180">
        <f ca="1">INDEX(Premium!$A$21:$D$29,MATCH(MAIN!$A7,Premium!$A$21:$A$29,0),MATCH(EOMONTH(MAIN!C28,-1)+1,Premium!$A$21:$D$21,0))</f>
        <v>0.6</v>
      </c>
      <c r="D9" s="181">
        <f ca="1">INDEX(Premium!$A$21:$D$29,MATCH(MAIN!$A7,Premium!$A$21:$A$29,0),MATCH(EOMONTH(MAIN!D28,-1)+1,Premium!$A$21:$D$21,0))</f>
        <v>0.6</v>
      </c>
      <c r="E9" s="233" t="s">
        <v>273</v>
      </c>
      <c r="F9" s="180">
        <f ca="1">INDEX(Premium!$A$21:$D$29,MATCH(MAIN!$A338,Premium!$A$21:$A$29,0),MATCH(EOMONTH(MAIN!F28,-1)+1,Premium!$A$21:$D$21,0))</f>
        <v>3</v>
      </c>
      <c r="G9" s="180">
        <f ca="1">INDEX(Premium!$A$21:$D$29,MATCH(MAIN!$A338,Premium!$A$21:$A$29,0),MATCH(EOMONTH(MAIN!G28,-1)+1,Premium!$A$21:$D$21,0))</f>
        <v>3</v>
      </c>
      <c r="H9" s="180">
        <f ca="1">INDEX(Premium!$A$21:$D$29,MATCH(MAIN!$A338,Premium!$A$21:$A$29,0),MATCH(EOMONTH(MAIN!H28,-1)+1,Premium!$A$21:$D$21,0))</f>
        <v>3</v>
      </c>
      <c r="I9" s="180" t="e">
        <f>INDEX(Premium!$A$21:$D$29,MATCH(MAIN!$A338,Premium!$A$21:$A$29,0),MATCH(EOMONTH(MAIN!I28,-1)+1,Premium!$A$21:$D$21,0))</f>
        <v>#VALUE!</v>
      </c>
      <c r="J9" s="180">
        <f ca="1">INDEX(Premium!$A$21:$D$29,MATCH(MAIN!$A338,Premium!$A$21:$A$29,0),MATCH(EOMONTH(MAIN!J28,-1)+1,Premium!$A$21:$D$21,0))</f>
        <v>3</v>
      </c>
      <c r="K9" s="180">
        <f ca="1">INDEX(Premium!$A$21:$D$29,MATCH(MAIN!$A338,Premium!$A$21:$A$29,0),MATCH(EOMONTH(MAIN!K28,-1)+1,Premium!$A$21:$D$21,0))</f>
        <v>3</v>
      </c>
      <c r="L9" s="180">
        <f ca="1">INDEX(Premium!$A$21:$D$29,MATCH(MAIN!$A338,Premium!$A$21:$A$29,0),MATCH(EOMONTH(MAIN!L28,-1)+1,Premium!$A$21:$D$21,0))</f>
        <v>3</v>
      </c>
      <c r="M9" s="155"/>
    </row>
    <row r="10" spans="1:13" hidden="1" outlineLevel="1" x14ac:dyDescent="0.25">
      <c r="A10" s="155"/>
      <c r="B10" s="254" t="s">
        <v>53</v>
      </c>
      <c r="C10" s="175">
        <f>INDEX('ROTT TO SING'!$A$8:$H$25,MATCH(MAIN!B10,'ROTT TO SING'!$A$8:$A$25,0),5)</f>
        <v>20.74074074074074</v>
      </c>
      <c r="D10" s="176">
        <f>INDEX('ROTT TO SING'!$A$8:$H$25,MATCH(MAIN!B10,'ROTT TO SING'!$A$8:$A$25,0),7)</f>
        <v>20.74074074074074</v>
      </c>
      <c r="E10" s="177" t="s">
        <v>53</v>
      </c>
      <c r="F10" s="175">
        <f>INDEX('ROTT TO SING'!$J$8:$S$25,MATCH(MAIN!E10,'ROTT TO SING'!$J$8:$J$25,0),5)</f>
        <v>34</v>
      </c>
      <c r="G10" s="178">
        <f>INDEX('ROTT TO SING'!$J$8:$S$25,MATCH(MAIN!E10,'ROTT TO SING'!$J$8:$J$25,0),7)</f>
        <v>34</v>
      </c>
      <c r="H10" s="176">
        <f>INDEX('ROTT TO SING'!$J$8:$S$25,MATCH(MAIN!E10,'ROTT TO SING'!$J$8:$J$25,0),9)</f>
        <v>34</v>
      </c>
      <c r="I10" s="179" t="s">
        <v>53</v>
      </c>
      <c r="J10" s="178">
        <f>INDEX('ROTT TO SING'!$U$8:$AD$25,MATCH(MAIN!I10,'ROTT TO AG'!$L$6:$L$23,0),5)</f>
        <v>46.938775510204081</v>
      </c>
      <c r="K10" s="178">
        <f>INDEX('ROTT TO SING'!$U$8:$AD$25,MATCH(MAIN!I10,'ROTT TO AG'!$L$6:$L$23,0),7)</f>
        <v>46.938775510204081</v>
      </c>
      <c r="L10" s="176">
        <f>INDEX('ROTT TO SING'!$U$8:$AD$25,MATCH(MAIN!I10,'ROTT TO AG'!$L$6:$L$23,0),9)</f>
        <v>46.938775510204081</v>
      </c>
      <c r="M10" s="155"/>
    </row>
    <row r="11" spans="1:13" hidden="1" outlineLevel="1" x14ac:dyDescent="0.25">
      <c r="A11" s="155"/>
      <c r="B11" s="255" t="s">
        <v>54</v>
      </c>
      <c r="C11" s="175">
        <f>INDEX('ROTT TO SING'!$A$8:$H$25,MATCH(MAIN!B11,'ROTT TO SING'!$A$8:$A$25,0),5)</f>
        <v>0</v>
      </c>
      <c r="D11" s="176">
        <f>INDEX('ROTT TO SING'!$A$8:$H$25,MATCH(MAIN!B11,'ROTT TO SING'!$A$8:$A$25,0),7)</f>
        <v>0</v>
      </c>
      <c r="E11" s="177" t="s">
        <v>54</v>
      </c>
      <c r="F11" s="175">
        <f>INDEX('ROTT TO SING'!$J$8:$S$25,MATCH(MAIN!E11,'ROTT TO SING'!$J$8:$J$25,0),5)</f>
        <v>0</v>
      </c>
      <c r="G11" s="178">
        <f>INDEX('ROTT TO SING'!$J$8:$S$25,MATCH(MAIN!E11,'ROTT TO SING'!$J$8:$J$25,0),7)</f>
        <v>0</v>
      </c>
      <c r="H11" s="176">
        <f>INDEX('ROTT TO SING'!$J$8:$S$25,MATCH(MAIN!E11,'ROTT TO SING'!$J$8:$J$25,0),9)</f>
        <v>0</v>
      </c>
      <c r="I11" s="179" t="s">
        <v>54</v>
      </c>
      <c r="J11" s="178">
        <f>INDEX('ROTT TO SING'!$U$8:$AD$25,MATCH(MAIN!I11,'ROTT TO AG'!$L$6:$L$23,0),5)</f>
        <v>0</v>
      </c>
      <c r="K11" s="178">
        <f>INDEX('ROTT TO SING'!$U$8:$AD$25,MATCH(MAIN!I11,'ROTT TO AG'!$L$6:$L$23,0),7)</f>
        <v>0</v>
      </c>
      <c r="L11" s="176">
        <f>INDEX('ROTT TO SING'!$U$8:$AD$25,MATCH(MAIN!I11,'ROTT TO AG'!$L$6:$L$23,0),9)</f>
        <v>0</v>
      </c>
      <c r="M11" s="155"/>
    </row>
    <row r="12" spans="1:13" hidden="1" outlineLevel="1" x14ac:dyDescent="0.25">
      <c r="A12" s="155"/>
      <c r="B12" s="255" t="s">
        <v>55</v>
      </c>
      <c r="C12" s="175">
        <f>INDEX('ROTT TO SING'!$A$8:$H$25,MATCH(MAIN!B12,'ROTT TO SING'!$A$8:$A$25,0),5)</f>
        <v>2.0370370370370372</v>
      </c>
      <c r="D12" s="176">
        <f>INDEX('ROTT TO SING'!$A$8:$H$25,MATCH(MAIN!B12,'ROTT TO SING'!$A$8:$A$25,0),7)</f>
        <v>2.0370370370370372</v>
      </c>
      <c r="E12" s="177" t="s">
        <v>55</v>
      </c>
      <c r="F12" s="175">
        <f>INDEX('ROTT TO SING'!$J$8:$S$25,MATCH(MAIN!E12,'ROTT TO SING'!$J$8:$J$25,0),5)</f>
        <v>2.6833333333333331</v>
      </c>
      <c r="G12" s="178">
        <f>INDEX('ROTT TO SING'!$J$8:$S$25,MATCH(MAIN!E12,'ROTT TO SING'!$J$8:$J$25,0),7)</f>
        <v>2.6833333333333331</v>
      </c>
      <c r="H12" s="176">
        <f>INDEX('ROTT TO SING'!$J$8:$S$25,MATCH(MAIN!E12,'ROTT TO SING'!$J$8:$J$25,0),9)</f>
        <v>2.6833333333333331</v>
      </c>
      <c r="I12" s="179" t="s">
        <v>55</v>
      </c>
      <c r="J12" s="178">
        <f>INDEX('ROTT TO SING'!$U$8:$AD$25,MATCH(MAIN!I12,'ROTT TO AG'!$L$6:$L$23,0),5)</f>
        <v>2.1683673469387754</v>
      </c>
      <c r="K12" s="178">
        <f>INDEX('ROTT TO SING'!$U$8:$AD$25,MATCH(MAIN!I12,'ROTT TO AG'!$L$6:$L$23,0),7)</f>
        <v>2.1683673469387754</v>
      </c>
      <c r="L12" s="176">
        <f>INDEX('ROTT TO SING'!$U$8:$AD$25,MATCH(MAIN!I12,'ROTT TO AG'!$L$6:$L$23,0),9)</f>
        <v>2.1683673469387754</v>
      </c>
      <c r="M12" s="155"/>
    </row>
    <row r="13" spans="1:13" hidden="1" outlineLevel="1" x14ac:dyDescent="0.25">
      <c r="A13" s="155"/>
      <c r="B13" s="255" t="s">
        <v>56</v>
      </c>
      <c r="C13" s="175">
        <f>INDEX('ROTT TO SING'!$A$8:$H$25,MATCH(MAIN!B13,'ROTT TO SING'!$A$8:$A$25,0),5)</f>
        <v>3.1481481481481478E-2</v>
      </c>
      <c r="D13" s="176">
        <f>INDEX('ROTT TO SING'!$A$8:$H$25,MATCH(MAIN!B13,'ROTT TO SING'!$A$8:$A$25,0),7)</f>
        <v>3.1481481481481478E-2</v>
      </c>
      <c r="E13" s="177" t="s">
        <v>56</v>
      </c>
      <c r="F13" s="175">
        <f>INDEX('ROTT TO SING'!$J$8:$S$25,MATCH(MAIN!E13,'ROTT TO SING'!$J$8:$J$25,0),5)</f>
        <v>5.6666666666666664E-2</v>
      </c>
      <c r="G13" s="178">
        <f>INDEX('ROTT TO SING'!$J$8:$S$25,MATCH(MAIN!E13,'ROTT TO SING'!$J$8:$J$25,0),7)</f>
        <v>5.6666666666666664E-2</v>
      </c>
      <c r="H13" s="176">
        <f>INDEX('ROTT TO SING'!$J$8:$S$25,MATCH(MAIN!E13,'ROTT TO SING'!$J$8:$J$25,0),9)</f>
        <v>5.6666666666666664E-2</v>
      </c>
      <c r="I13" s="179" t="s">
        <v>56</v>
      </c>
      <c r="J13" s="178">
        <f>INDEX('ROTT TO SING'!$U$8:$AD$25,MATCH(MAIN!I13,'ROTT TO AG'!$L$6:$L$23,0),5)</f>
        <v>8.673469387755102E-2</v>
      </c>
      <c r="K13" s="178">
        <f>INDEX('ROTT TO SING'!$U$8:$AD$25,MATCH(MAIN!I13,'ROTT TO AG'!$L$6:$L$23,0),7)</f>
        <v>8.673469387755102E-2</v>
      </c>
      <c r="L13" s="176">
        <f>INDEX('ROTT TO SING'!$U$8:$AD$25,MATCH(MAIN!I13,'ROTT TO AG'!$L$6:$L$23,0),9)</f>
        <v>8.673469387755102E-2</v>
      </c>
      <c r="M13" s="155"/>
    </row>
    <row r="14" spans="1:13" hidden="1" outlineLevel="1" x14ac:dyDescent="0.25">
      <c r="A14" s="155"/>
      <c r="B14" s="255" t="s">
        <v>124</v>
      </c>
      <c r="C14" s="175">
        <f>INDEX('ROTT TO SING'!$A$8:$H$25,MATCH(MAIN!B14,'ROTT TO SING'!$A$8:$A$25,0),5)</f>
        <v>9.2592592592592587E-2</v>
      </c>
      <c r="D14" s="176">
        <f>INDEX('ROTT TO SING'!$A$8:$H$25,MATCH(MAIN!B14,'ROTT TO SING'!$A$8:$A$25,0),7)</f>
        <v>9.2592592592592587E-2</v>
      </c>
      <c r="E14" s="177" t="s">
        <v>124</v>
      </c>
      <c r="F14" s="175">
        <f>INDEX('ROTT TO SING'!$J$8:$S$25,MATCH(MAIN!E14,'ROTT TO SING'!$J$8:$J$25,0),5)</f>
        <v>0.16666666666666666</v>
      </c>
      <c r="G14" s="178">
        <f>INDEX('ROTT TO SING'!$J$8:$S$25,MATCH(MAIN!E14,'ROTT TO SING'!$J$8:$J$25,0),7)</f>
        <v>0.16666666666666666</v>
      </c>
      <c r="H14" s="176">
        <f>INDEX('ROTT TO SING'!$J$8:$S$25,MATCH(MAIN!E14,'ROTT TO SING'!$J$8:$J$25,0),9)</f>
        <v>0.16666666666666666</v>
      </c>
      <c r="I14" s="179" t="s">
        <v>124</v>
      </c>
      <c r="J14" s="178">
        <f>INDEX('ROTT TO SING'!$U$8:$AD$25,MATCH(MAIN!I14,'ROTT TO AG'!$L$6:$L$23,0),5)</f>
        <v>0.25510204081632654</v>
      </c>
      <c r="K14" s="178">
        <f>INDEX('ROTT TO SING'!$U$8:$AD$25,MATCH(MAIN!I14,'ROTT TO AG'!$L$6:$L$23,0),7)</f>
        <v>0.25510204081632654</v>
      </c>
      <c r="L14" s="176">
        <f>INDEX('ROTT TO SING'!$U$8:$AD$25,MATCH(MAIN!I14,'ROTT TO AG'!$L$6:$L$23,0),9)</f>
        <v>0.25510204081632654</v>
      </c>
      <c r="M14" s="155"/>
    </row>
    <row r="15" spans="1:13" hidden="1" outlineLevel="1" x14ac:dyDescent="0.25">
      <c r="A15" s="155"/>
      <c r="B15" s="255" t="s">
        <v>125</v>
      </c>
      <c r="C15" s="175">
        <f>INDEX('ROTT TO SING'!$A$8:$H$25,MATCH(MAIN!B15,'ROTT TO SING'!$A$8:$A$25,0),5)</f>
        <v>9.2592592592592587E-2</v>
      </c>
      <c r="D15" s="176">
        <f>INDEX('ROTT TO SING'!$A$8:$H$25,MATCH(MAIN!B15,'ROTT TO SING'!$A$8:$A$25,0),7)</f>
        <v>9.2592592592592587E-2</v>
      </c>
      <c r="E15" s="177" t="s">
        <v>125</v>
      </c>
      <c r="F15" s="175">
        <f>INDEX('ROTT TO SING'!$J$8:$S$25,MATCH(MAIN!E15,'ROTT TO SING'!$J$8:$J$25,0),5)</f>
        <v>0.16666666666666666</v>
      </c>
      <c r="G15" s="178">
        <f>INDEX('ROTT TO SING'!$J$8:$S$25,MATCH(MAIN!E15,'ROTT TO SING'!$J$8:$J$25,0),7)</f>
        <v>0.16666666666666666</v>
      </c>
      <c r="H15" s="176">
        <f>INDEX('ROTT TO SING'!$J$8:$S$25,MATCH(MAIN!E15,'ROTT TO SING'!$J$8:$J$25,0),9)</f>
        <v>0.16666666666666666</v>
      </c>
      <c r="I15" s="179" t="s">
        <v>125</v>
      </c>
      <c r="J15" s="178">
        <f>INDEX('ROTT TO SING'!$U$8:$AD$25,MATCH(MAIN!I15,'ROTT TO AG'!$L$6:$L$23,0),5)</f>
        <v>0.25510204081632654</v>
      </c>
      <c r="K15" s="178">
        <f>INDEX('ROTT TO SING'!$U$8:$AD$25,MATCH(MAIN!I15,'ROTT TO AG'!$L$6:$L$23,0),7)</f>
        <v>0.25510204081632654</v>
      </c>
      <c r="L15" s="176">
        <f>INDEX('ROTT TO SING'!$U$8:$AD$25,MATCH(MAIN!I15,'ROTT TO AG'!$L$6:$L$23,0),9)</f>
        <v>0.25510204081632654</v>
      </c>
      <c r="M15" s="155"/>
    </row>
    <row r="16" spans="1:13" hidden="1" outlineLevel="1" x14ac:dyDescent="0.25">
      <c r="A16" s="155"/>
      <c r="B16" s="255" t="s">
        <v>81</v>
      </c>
      <c r="C16" s="175">
        <f ca="1">INDEX('ROTT TO SING'!$A$8:$H$25,MATCH(MAIN!B16,'ROTT TO SING'!$A$8:$A$25,0),5)</f>
        <v>3.379109589041096</v>
      </c>
      <c r="D16" s="176">
        <f ca="1">INDEX('ROTT TO SING'!$A$8:$H$25,MATCH(MAIN!B16,'ROTT TO SING'!$A$8:$A$25,0),7)</f>
        <v>3.3655479452054795</v>
      </c>
      <c r="E16" s="177" t="s">
        <v>81</v>
      </c>
      <c r="F16" s="175">
        <f ca="1">INDEX('ROTT TO SING'!$J$8:$S$25,MATCH(MAIN!E16,'ROTT TO SING'!$J$8:$J$25,0),5)</f>
        <v>3.379109589041096</v>
      </c>
      <c r="G16" s="178">
        <f ca="1">INDEX('ROTT TO SING'!$J$8:$S$25,MATCH(MAIN!E16,'ROTT TO SING'!$J$8:$J$25,0),7)</f>
        <v>3.3655479452054795</v>
      </c>
      <c r="H16" s="176">
        <f ca="1">INDEX('ROTT TO SING'!$J$8:$S$25,MATCH(MAIN!E16,'ROTT TO SING'!$J$8:$J$25,0),9)</f>
        <v>3.3655479452054795</v>
      </c>
      <c r="I16" s="179" t="s">
        <v>81</v>
      </c>
      <c r="J16" s="178">
        <f ca="1">INDEX('ROTT TO SING'!$U$8:$AD$25,MATCH(MAIN!I16,'ROTT TO AG'!$L$6:$L$23,0),5)</f>
        <v>3.379109589041096</v>
      </c>
      <c r="K16" s="178">
        <f ca="1">INDEX('ROTT TO SING'!$U$8:$AD$25,MATCH(MAIN!I16,'ROTT TO AG'!$L$6:$L$23,0),7)</f>
        <v>3.3655479452054795</v>
      </c>
      <c r="L16" s="176">
        <f ca="1">INDEX('ROTT TO SING'!$U$8:$AD$25,MATCH(MAIN!I16,'ROTT TO AG'!$L$6:$L$23,0),9)</f>
        <v>3.3655479452054795</v>
      </c>
      <c r="M16" s="155"/>
    </row>
    <row r="17" spans="1:13" hidden="1" outlineLevel="1" x14ac:dyDescent="0.25">
      <c r="A17" s="155"/>
      <c r="B17" s="255" t="s">
        <v>57</v>
      </c>
      <c r="C17" s="175">
        <f>INDEX('ROTT TO SING'!$A$8:$H$25,MATCH(MAIN!B17,'ROTT TO SING'!$A$8:$A$25,0),5)</f>
        <v>0</v>
      </c>
      <c r="D17" s="176">
        <f>INDEX('ROTT TO SING'!$A$8:$H$25,MATCH(MAIN!B17,'ROTT TO SING'!$A$8:$A$25,0),7)</f>
        <v>0</v>
      </c>
      <c r="E17" s="177" t="s">
        <v>57</v>
      </c>
      <c r="F17" s="175">
        <f>INDEX('ROTT TO SING'!$J$8:$S$25,MATCH(MAIN!E17,'ROTT TO SING'!$J$8:$J$25,0),5)</f>
        <v>0</v>
      </c>
      <c r="G17" s="178">
        <f>INDEX('ROTT TO SING'!$J$8:$S$25,MATCH(MAIN!E17,'ROTT TO SING'!$J$8:$J$25,0),7)</f>
        <v>0</v>
      </c>
      <c r="H17" s="176">
        <f>INDEX('ROTT TO SING'!$J$8:$S$25,MATCH(MAIN!E17,'ROTT TO SING'!$J$8:$J$25,0),9)</f>
        <v>0</v>
      </c>
      <c r="I17" s="179" t="s">
        <v>57</v>
      </c>
      <c r="J17" s="178">
        <f>INDEX('ROTT TO SING'!$U$8:$AD$25,MATCH(MAIN!I17,'ROTT TO AG'!$L$6:$L$23,0),5)</f>
        <v>0</v>
      </c>
      <c r="K17" s="178">
        <f>INDEX('ROTT TO SING'!$U$8:$AD$25,MATCH(MAIN!I17,'ROTT TO AG'!$L$6:$L$23,0),7)</f>
        <v>0</v>
      </c>
      <c r="L17" s="176">
        <f>INDEX('ROTT TO SING'!$U$8:$AD$25,MATCH(MAIN!I17,'ROTT TO AG'!$L$6:$L$23,0),9)</f>
        <v>0</v>
      </c>
      <c r="M17" s="155"/>
    </row>
    <row r="18" spans="1:13" hidden="1" outlineLevel="1" x14ac:dyDescent="0.25">
      <c r="A18" s="155"/>
      <c r="B18" s="255" t="s">
        <v>58</v>
      </c>
      <c r="C18" s="175">
        <f ca="1">INDEX('ROTT TO SING'!$A$8:$H$25,MATCH(MAIN!B18,'ROTT TO SING'!$A$8:$A$25,0),5)</f>
        <v>0.28031250000000002</v>
      </c>
      <c r="D18" s="176">
        <f ca="1">INDEX('ROTT TO SING'!$A$8:$H$25,MATCH(MAIN!B18,'ROTT TO SING'!$A$8:$A$25,0),7)</f>
        <v>0.27918750000000003</v>
      </c>
      <c r="E18" s="177" t="s">
        <v>58</v>
      </c>
      <c r="F18" s="175">
        <f ca="1">INDEX('ROTT TO SING'!$J$8:$S$25,MATCH(MAIN!E18,'ROTT TO SING'!$J$8:$J$25,0),5)</f>
        <v>0.28031250000000002</v>
      </c>
      <c r="G18" s="178">
        <f ca="1">INDEX('ROTT TO SING'!$J$8:$S$25,MATCH(MAIN!E18,'ROTT TO SING'!$J$8:$J$25,0),7)</f>
        <v>0.27918750000000003</v>
      </c>
      <c r="H18" s="176">
        <f ca="1">INDEX('ROTT TO SING'!$J$8:$S$25,MATCH(MAIN!E18,'ROTT TO SING'!$J$8:$J$25,0),9)</f>
        <v>0.27918750000000003</v>
      </c>
      <c r="I18" s="179" t="s">
        <v>58</v>
      </c>
      <c r="J18" s="178">
        <f ca="1">INDEX('ROTT TO SING'!$U$8:$AD$25,MATCH(MAIN!I18,'ROTT TO AG'!$L$6:$L$23,0),5)</f>
        <v>0.28031250000000002</v>
      </c>
      <c r="K18" s="178">
        <f ca="1">INDEX('ROTT TO SING'!$U$8:$AD$25,MATCH(MAIN!I18,'ROTT TO AG'!$L$6:$L$23,0),7)</f>
        <v>0.27918750000000003</v>
      </c>
      <c r="L18" s="176">
        <f ca="1">INDEX('ROTT TO SING'!$U$8:$AD$25,MATCH(MAIN!I18,'ROTT TO AG'!$L$6:$L$23,0),9)</f>
        <v>0.27918750000000003</v>
      </c>
      <c r="M18" s="155"/>
    </row>
    <row r="19" spans="1:13" hidden="1" outlineLevel="1" x14ac:dyDescent="0.25">
      <c r="A19" s="155"/>
      <c r="B19" s="255" t="s">
        <v>59</v>
      </c>
      <c r="C19" s="175">
        <f ca="1">INDEX('ROTT TO SING'!$A$8:$H$25,MATCH(MAIN!B19,'ROTT TO SING'!$A$8:$A$25,0),5)</f>
        <v>1.15425</v>
      </c>
      <c r="D19" s="176">
        <f ca="1">INDEX('ROTT TO SING'!$A$8:$H$25,MATCH(MAIN!B19,'ROTT TO SING'!$A$8:$A$25,0),7)</f>
        <v>1.15425</v>
      </c>
      <c r="E19" s="177" t="s">
        <v>59</v>
      </c>
      <c r="F19" s="175">
        <f ca="1">INDEX('ROTT TO SING'!$J$8:$S$25,MATCH(MAIN!E19,'ROTT TO SING'!$J$8:$J$25,0),5)</f>
        <v>1.1685000000000001</v>
      </c>
      <c r="G19" s="178">
        <f ca="1">INDEX('ROTT TO SING'!$J$8:$S$25,MATCH(MAIN!E19,'ROTT TO SING'!$J$8:$J$25,0),7)</f>
        <v>1.15425</v>
      </c>
      <c r="H19" s="176">
        <f ca="1">INDEX('ROTT TO SING'!$J$8:$S$25,MATCH(MAIN!E19,'ROTT TO SING'!$J$8:$J$25,0),9)</f>
        <v>1.15425</v>
      </c>
      <c r="I19" s="179" t="s">
        <v>59</v>
      </c>
      <c r="J19" s="178">
        <f ca="1">INDEX('ROTT TO SING'!$U$8:$AD$25,MATCH(MAIN!I19,'ROTT TO AG'!$L$6:$L$23,0),5)</f>
        <v>1.1685000000000001</v>
      </c>
      <c r="K19" s="178">
        <f ca="1">INDEX('ROTT TO SING'!$U$8:$AD$25,MATCH(MAIN!I19,'ROTT TO AG'!$L$6:$L$23,0),7)</f>
        <v>1.15425</v>
      </c>
      <c r="L19" s="176">
        <f ca="1">INDEX('ROTT TO SING'!$U$8:$AD$25,MATCH(MAIN!I19,'ROTT TO AG'!$L$6:$L$23,0),9)</f>
        <v>1.15425</v>
      </c>
      <c r="M19" s="155"/>
    </row>
    <row r="20" spans="1:13" hidden="1" outlineLevel="1" x14ac:dyDescent="0.25">
      <c r="A20" s="155"/>
      <c r="B20" s="255" t="s">
        <v>60</v>
      </c>
      <c r="C20" s="175">
        <f>INDEX('ROTT TO SING'!$A$8:$H$25,MATCH(MAIN!B20,'ROTT TO SING'!$A$8:$A$25,0),5)</f>
        <v>4.6296296296296294E-2</v>
      </c>
      <c r="D20" s="176">
        <f>INDEX('ROTT TO SING'!$A$8:$H$25,MATCH(MAIN!B20,'ROTT TO SING'!$A$8:$A$25,0),7)</f>
        <v>4.6296296296296294E-2</v>
      </c>
      <c r="E20" s="177" t="s">
        <v>60</v>
      </c>
      <c r="F20" s="175">
        <f>INDEX('ROTT TO SING'!$J$8:$S$25,MATCH(MAIN!E20,'ROTT TO SING'!$J$8:$J$25,0),5)</f>
        <v>8.3333333333333329E-2</v>
      </c>
      <c r="G20" s="178">
        <f>INDEX('ROTT TO SING'!$J$8:$S$25,MATCH(MAIN!E20,'ROTT TO SING'!$J$8:$J$25,0),7)</f>
        <v>8.3333333333333329E-2</v>
      </c>
      <c r="H20" s="176">
        <f>INDEX('ROTT TO SING'!$J$8:$S$25,MATCH(MAIN!E20,'ROTT TO SING'!$J$8:$J$25,0),9)</f>
        <v>8.3333333333333329E-2</v>
      </c>
      <c r="I20" s="179" t="s">
        <v>60</v>
      </c>
      <c r="J20" s="178">
        <f>INDEX('ROTT TO SING'!$U$8:$AD$25,MATCH(MAIN!I20,'ROTT TO AG'!$L$6:$L$23,0),5)</f>
        <v>0.12755102040816327</v>
      </c>
      <c r="K20" s="178">
        <f>INDEX('ROTT TO SING'!$U$8:$AD$25,MATCH(MAIN!I20,'ROTT TO AG'!$L$6:$L$23,0),7)</f>
        <v>0.12755102040816327</v>
      </c>
      <c r="L20" s="176">
        <f>INDEX('ROTT TO SING'!$U$8:$AD$25,MATCH(MAIN!I20,'ROTT TO AG'!$L$6:$L$23,0),9)</f>
        <v>0.12755102040816327</v>
      </c>
      <c r="M20" s="155"/>
    </row>
    <row r="21" spans="1:13" hidden="1" outlineLevel="1" x14ac:dyDescent="0.25">
      <c r="A21" s="155"/>
      <c r="B21" s="255" t="s">
        <v>61</v>
      </c>
      <c r="C21" s="175">
        <f>INDEX('ROTT TO SING'!$A$8:$H$25,MATCH(MAIN!B21,'ROTT TO SING'!$A$8:$A$25,0),5)</f>
        <v>4.6296296296296294E-3</v>
      </c>
      <c r="D21" s="176">
        <f>INDEX('ROTT TO SING'!$A$8:$H$25,MATCH(MAIN!B21,'ROTT TO SING'!$A$8:$A$25,0),7)</f>
        <v>4.6296296296296294E-3</v>
      </c>
      <c r="E21" s="177" t="s">
        <v>61</v>
      </c>
      <c r="F21" s="175">
        <f>INDEX('ROTT TO SING'!$J$8:$S$25,MATCH(MAIN!E21,'ROTT TO SING'!$J$8:$J$25,0),5)</f>
        <v>8.3333333333333332E-3</v>
      </c>
      <c r="G21" s="178">
        <f>INDEX('ROTT TO SING'!$J$8:$S$25,MATCH(MAIN!E21,'ROTT TO SING'!$J$8:$J$25,0),7)</f>
        <v>8.3333333333333332E-3</v>
      </c>
      <c r="H21" s="176">
        <f>INDEX('ROTT TO SING'!$J$8:$S$25,MATCH(MAIN!E21,'ROTT TO SING'!$J$8:$J$25,0),9)</f>
        <v>8.3333333333333332E-3</v>
      </c>
      <c r="I21" s="179" t="s">
        <v>61</v>
      </c>
      <c r="J21" s="178">
        <f>INDEX('ROTT TO SING'!$U$8:$AD$25,MATCH(MAIN!I21,'ROTT TO AG'!$L$6:$L$23,0),5)</f>
        <v>1.2755102040816327E-2</v>
      </c>
      <c r="K21" s="178">
        <f>INDEX('ROTT TO SING'!$U$8:$AD$25,MATCH(MAIN!I21,'ROTT TO AG'!$L$6:$L$23,0),7)</f>
        <v>1.2755102040816327E-2</v>
      </c>
      <c r="L21" s="176">
        <f>INDEX('ROTT TO SING'!$U$8:$AD$25,MATCH(MAIN!I21,'ROTT TO AG'!$L$6:$L$23,0),9)</f>
        <v>1.2755102040816327E-2</v>
      </c>
      <c r="M21" s="155"/>
    </row>
    <row r="22" spans="1:13" hidden="1" outlineLevel="1" x14ac:dyDescent="0.25">
      <c r="A22" s="155"/>
      <c r="B22" s="255" t="s">
        <v>62</v>
      </c>
      <c r="C22" s="175">
        <f>INDEX('ROTT TO SING'!$A$8:$H$25,MATCH(MAIN!B22,'ROTT TO SING'!$A$8:$A$25,0),5)</f>
        <v>4.6296296296296294E-3</v>
      </c>
      <c r="D22" s="176">
        <f>INDEX('ROTT TO SING'!$A$8:$H$25,MATCH(MAIN!B22,'ROTT TO SING'!$A$8:$A$25,0),7)</f>
        <v>4.6296296296296294E-3</v>
      </c>
      <c r="E22" s="177" t="s">
        <v>62</v>
      </c>
      <c r="F22" s="175">
        <f>INDEX('ROTT TO SING'!$J$8:$S$25,MATCH(MAIN!E22,'ROTT TO SING'!$J$8:$J$25,0),5)</f>
        <v>8.3333333333333332E-3</v>
      </c>
      <c r="G22" s="178">
        <f>INDEX('ROTT TO SING'!$J$8:$S$25,MATCH(MAIN!E22,'ROTT TO SING'!$J$8:$J$25,0),7)</f>
        <v>8.3333333333333332E-3</v>
      </c>
      <c r="H22" s="176">
        <f>INDEX('ROTT TO SING'!$J$8:$S$25,MATCH(MAIN!E22,'ROTT TO SING'!$J$8:$J$25,0),9)</f>
        <v>8.3333333333333332E-3</v>
      </c>
      <c r="I22" s="179" t="s">
        <v>62</v>
      </c>
      <c r="J22" s="178">
        <f>INDEX('ROTT TO SING'!$U$8:$AD$25,MATCH(MAIN!I22,'ROTT TO AG'!$L$6:$L$23,0),5)</f>
        <v>1.2755102040816327E-2</v>
      </c>
      <c r="K22" s="178">
        <f>INDEX('ROTT TO SING'!$U$8:$AD$25,MATCH(MAIN!I22,'ROTT TO AG'!$L$6:$L$23,0),7)</f>
        <v>1.2755102040816327E-2</v>
      </c>
      <c r="L22" s="176">
        <f>INDEX('ROTT TO SING'!$U$8:$AD$25,MATCH(MAIN!I22,'ROTT TO AG'!$L$6:$L$23,0),9)</f>
        <v>1.2755102040816327E-2</v>
      </c>
      <c r="M22" s="155"/>
    </row>
    <row r="23" spans="1:13" hidden="1" outlineLevel="1" x14ac:dyDescent="0.25">
      <c r="A23" s="155"/>
      <c r="B23" s="255" t="s">
        <v>63</v>
      </c>
      <c r="C23" s="175">
        <f>INDEX('ROTT TO SING'!$A$8:$H$25,MATCH(MAIN!B23,'ROTT TO SING'!$A$8:$A$25,0),5)</f>
        <v>7.407407407407407E-2</v>
      </c>
      <c r="D23" s="176">
        <f>INDEX('ROTT TO SING'!$A$8:$H$25,MATCH(MAIN!B23,'ROTT TO SING'!$A$8:$A$25,0),7)</f>
        <v>7.407407407407407E-2</v>
      </c>
      <c r="E23" s="177" t="s">
        <v>63</v>
      </c>
      <c r="F23" s="175">
        <f>INDEX('ROTT TO SING'!$J$8:$S$25,MATCH(MAIN!E23,'ROTT TO SING'!$J$8:$J$25,0),5)</f>
        <v>0.1</v>
      </c>
      <c r="G23" s="178">
        <f>INDEX('ROTT TO SING'!$J$8:$S$25,MATCH(MAIN!E23,'ROTT TO SING'!$J$8:$J$25,0),7)</f>
        <v>0.1</v>
      </c>
      <c r="H23" s="176">
        <f>INDEX('ROTT TO SING'!$J$8:$S$25,MATCH(MAIN!E23,'ROTT TO SING'!$J$8:$J$25,0),9)</f>
        <v>0.1</v>
      </c>
      <c r="I23" s="179" t="s">
        <v>63</v>
      </c>
      <c r="J23" s="178">
        <f>INDEX('ROTT TO SING'!$U$8:$AD$25,MATCH(MAIN!I23,'ROTT TO AG'!$L$6:$L$23,0),5)</f>
        <v>0.15306122448979592</v>
      </c>
      <c r="K23" s="178">
        <f>INDEX('ROTT TO SING'!$U$8:$AD$25,MATCH(MAIN!I23,'ROTT TO AG'!$L$6:$L$23,0),7)</f>
        <v>0.15306122448979592</v>
      </c>
      <c r="L23" s="176">
        <f>INDEX('ROTT TO SING'!$U$8:$AD$25,MATCH(MAIN!I23,'ROTT TO AG'!$L$6:$L$23,0),9)</f>
        <v>0.15306122448979592</v>
      </c>
      <c r="M23" s="155"/>
    </row>
    <row r="24" spans="1:13" hidden="1" outlineLevel="1" x14ac:dyDescent="0.25">
      <c r="A24" s="155"/>
      <c r="B24" s="255" t="s">
        <v>64</v>
      </c>
      <c r="C24" s="175">
        <f>INDEX('ROTT TO SING'!$A$8:$H$25,MATCH(MAIN!B24,'ROTT TO SING'!$A$8:$A$25,0),5)</f>
        <v>3.7037037037037035E-2</v>
      </c>
      <c r="D24" s="176">
        <f>INDEX('ROTT TO SING'!$A$8:$H$25,MATCH(MAIN!B24,'ROTT TO SING'!$A$8:$A$25,0),7)</f>
        <v>3.7037037037037035E-2</v>
      </c>
      <c r="E24" s="177" t="s">
        <v>64</v>
      </c>
      <c r="F24" s="175">
        <f>INDEX('ROTT TO SING'!$J$8:$S$25,MATCH(MAIN!E24,'ROTT TO SING'!$J$8:$J$25,0),5)</f>
        <v>6.6666666666666666E-2</v>
      </c>
      <c r="G24" s="178">
        <f>INDEX('ROTT TO SING'!$J$8:$S$25,MATCH(MAIN!E24,'ROTT TO SING'!$J$8:$J$25,0),7)</f>
        <v>6.6666666666666666E-2</v>
      </c>
      <c r="H24" s="176">
        <f>INDEX('ROTT TO SING'!$J$8:$S$25,MATCH(MAIN!E24,'ROTT TO SING'!$J$8:$J$25,0),9)</f>
        <v>6.6666666666666666E-2</v>
      </c>
      <c r="I24" s="179" t="s">
        <v>64</v>
      </c>
      <c r="J24" s="178">
        <f>INDEX('ROTT TO SING'!$U$8:$AD$25,MATCH(MAIN!I24,'ROTT TO AG'!$L$6:$L$23,0),5)</f>
        <v>0.10204081632653061</v>
      </c>
      <c r="K24" s="178">
        <f>INDEX('ROTT TO SING'!$U$8:$AD$25,MATCH(MAIN!I24,'ROTT TO AG'!$L$6:$L$23,0),7)</f>
        <v>0.10204081632653061</v>
      </c>
      <c r="L24" s="176">
        <f>INDEX('ROTT TO SING'!$U$8:$AD$25,MATCH(MAIN!I24,'ROTT TO AG'!$L$6:$L$23,0),9)</f>
        <v>0.10204081632653061</v>
      </c>
      <c r="M24" s="155"/>
    </row>
    <row r="25" spans="1:13" hidden="1" outlineLevel="1" x14ac:dyDescent="0.25">
      <c r="A25" s="155"/>
      <c r="B25" s="255" t="s">
        <v>100</v>
      </c>
      <c r="C25" s="175">
        <f ca="1">INDEX('ROTT TO SING'!$A$8:$H$25,MATCH(MAIN!B25,'ROTT TO SING'!$A$8:$A$25,0),5)</f>
        <v>27.97478320015221</v>
      </c>
      <c r="D25" s="176">
        <f ca="1">INDEX('ROTT TO SING'!$A$8:$H$25,MATCH(MAIN!B25,'ROTT TO SING'!$A$8:$A$25,0),7)</f>
        <v>27.960096556316593</v>
      </c>
      <c r="E25" s="177" t="s">
        <v>100</v>
      </c>
      <c r="F25" s="175">
        <f ca="1">INDEX('ROTT TO SING'!$J$8:$S$25,MATCH(MAIN!E25,'ROTT TO SING'!$J$8:$J$25,0),5)</f>
        <v>42.167922089041092</v>
      </c>
      <c r="G25" s="178">
        <f ca="1">INDEX('ROTT TO SING'!$J$8:$S$25,MATCH(MAIN!E25,'ROTT TO SING'!$J$8:$J$25,0),7)</f>
        <v>42.138985445205471</v>
      </c>
      <c r="H25" s="176">
        <f ca="1">INDEX('ROTT TO SING'!$J$8:$S$25,MATCH(MAIN!E25,'ROTT TO SING'!$J$8:$J$25,0),9)</f>
        <v>42.138985445205471</v>
      </c>
      <c r="I25" s="179" t="s">
        <v>100</v>
      </c>
      <c r="J25" s="178">
        <f ca="1">INDEX('ROTT TO SING'!$U$8:$AD$25,MATCH(MAIN!I25,'ROTT TO AG'!$L$6:$L$23,0),5)</f>
        <v>54.940166987000268</v>
      </c>
      <c r="K25" s="178">
        <f ca="1">INDEX('ROTT TO SING'!$U$8:$AD$25,MATCH(MAIN!I25,'ROTT TO AG'!$L$6:$L$23,0),7)</f>
        <v>54.911230343164647</v>
      </c>
      <c r="L25" s="176">
        <f ca="1">INDEX('ROTT TO SING'!$U$8:$AD$25,MATCH(MAIN!I25,'ROTT TO AG'!$L$6:$L$23,0),9)</f>
        <v>54.911230343164647</v>
      </c>
      <c r="M25" s="155"/>
    </row>
    <row r="26" spans="1:13" hidden="1" outlineLevel="1" x14ac:dyDescent="0.25">
      <c r="A26" s="155"/>
      <c r="B26" s="255" t="s">
        <v>101</v>
      </c>
      <c r="C26" s="175">
        <f ca="1">INDEX('ROTT TO SING'!$A$8:$H$25,MATCH(MAIN!B26,'ROTT TO SING'!$A$8:$A$25,0),5)</f>
        <v>12.964285714285714</v>
      </c>
      <c r="D26" s="176">
        <f ca="1">INDEX('ROTT TO SING'!$A$8:$H$25,MATCH(MAIN!B26,'ROTT TO SING'!$A$8:$A$25,0),7)</f>
        <v>12.5</v>
      </c>
      <c r="E26" s="177" t="s">
        <v>101</v>
      </c>
      <c r="F26" s="175">
        <f ca="1">INDEX('ROTT TO SING'!$J$8:$S$25,MATCH(MAIN!E26,'ROTT TO SING'!$J$8:$J$25,0),5)</f>
        <v>13.583333333333334</v>
      </c>
      <c r="G26" s="178">
        <f ca="1">INDEX('ROTT TO SING'!$J$8:$S$25,MATCH(MAIN!E26,'ROTT TO SING'!$J$8:$J$25,0),7)</f>
        <v>12.5</v>
      </c>
      <c r="H26" s="176">
        <f ca="1">INDEX('ROTT TO SING'!$J$8:$S$25,MATCH(MAIN!E26,'ROTT TO SING'!$J$8:$J$25,0),9)</f>
        <v>12.5</v>
      </c>
      <c r="I26" s="179" t="s">
        <v>101</v>
      </c>
      <c r="J26" s="178">
        <f ca="1">INDEX('ROTT TO SING'!$U$8:$AD$25,MATCH(MAIN!I26,'ROTT TO AG'!$L$6:$L$23,0),5)</f>
        <v>13.583333333333334</v>
      </c>
      <c r="K26" s="178">
        <f ca="1">INDEX('ROTT TO SING'!$U$8:$AD$25,MATCH(MAIN!I26,'ROTT TO AG'!$L$6:$L$23,0),7)</f>
        <v>12.5</v>
      </c>
      <c r="L26" s="176">
        <f ca="1">INDEX('ROTT TO SING'!$U$8:$AD$25,MATCH(MAIN!I26,'ROTT TO AG'!$L$6:$L$23,0),9)</f>
        <v>12.5</v>
      </c>
      <c r="M26" s="155"/>
    </row>
    <row r="27" spans="1:13" hidden="1" outlineLevel="1" x14ac:dyDescent="0.25">
      <c r="A27" s="155"/>
      <c r="B27" s="255" t="s">
        <v>113</v>
      </c>
      <c r="C27" s="175">
        <f ca="1">INDEX('ROTT TO SING'!$A$8:$H$25,MATCH(MAIN!B27,'ROTT TO SING'!$A$8:$A$25,0),5)</f>
        <v>-15.010497485866496</v>
      </c>
      <c r="D27" s="176">
        <f ca="1">INDEX('ROTT TO SING'!$A$8:$H$25,MATCH(MAIN!B27,'ROTT TO SING'!$A$8:$A$25,0),7)</f>
        <v>-15.460096556316593</v>
      </c>
      <c r="E27" s="177" t="s">
        <v>113</v>
      </c>
      <c r="F27" s="175">
        <f ca="1">INDEX('ROTT TO SING'!$J$8:$S$25,MATCH(MAIN!E27,'ROTT TO SING'!$J$8:$J$25,0),5)</f>
        <v>-28.584588755707756</v>
      </c>
      <c r="G27" s="178">
        <f ca="1">INDEX('ROTT TO SING'!$J$8:$S$25,MATCH(MAIN!E27,'ROTT TO SING'!$J$8:$J$25,0),7)</f>
        <v>-29.638985445205471</v>
      </c>
      <c r="H27" s="176">
        <f ca="1">INDEX('ROTT TO SING'!$J$8:$S$25,MATCH(MAIN!E27,'ROTT TO SING'!$J$8:$J$25,0),9)</f>
        <v>-29.638985445205471</v>
      </c>
      <c r="I27" s="179" t="s">
        <v>113</v>
      </c>
      <c r="J27" s="178">
        <f ca="1">INDEX('ROTT TO SING'!$U$8:$AD$25,MATCH(MAIN!I27,'ROTT TO AG'!$L$6:$L$23,0),5)</f>
        <v>-41.356833653666932</v>
      </c>
      <c r="K27" s="178">
        <f ca="1">INDEX('ROTT TO SING'!$U$8:$AD$25,MATCH(MAIN!I27,'ROTT TO AG'!$L$6:$L$23,0),7)</f>
        <v>-42.411230343164647</v>
      </c>
      <c r="L27" s="176">
        <f ca="1">INDEX('ROTT TO SING'!$U$8:$AD$25,MATCH(MAIN!I27,'ROTT TO AG'!$L$6:$L$23,0),9)</f>
        <v>-42.411230343164647</v>
      </c>
      <c r="M27" s="155"/>
    </row>
    <row r="28" spans="1:13" hidden="1" outlineLevel="1" x14ac:dyDescent="0.25">
      <c r="A28" s="155"/>
      <c r="B28" s="256" t="s">
        <v>126</v>
      </c>
      <c r="C28" s="201">
        <f ca="1">'ROTT TO SING'!E5</f>
        <v>45925</v>
      </c>
      <c r="D28" s="191">
        <f ca="1">'ROTT TO SING'!G5</f>
        <v>45939</v>
      </c>
      <c r="E28" s="177" t="s">
        <v>126</v>
      </c>
      <c r="F28" s="201">
        <f ca="1">'ROTT TO SING'!N5</f>
        <v>45918</v>
      </c>
      <c r="G28" s="202">
        <f ca="1">'ROTT TO SING'!P5</f>
        <v>45932</v>
      </c>
      <c r="H28" s="203">
        <f ca="1">'ROTT TO SING'!R5</f>
        <v>45946</v>
      </c>
      <c r="I28" s="179" t="s">
        <v>126</v>
      </c>
      <c r="J28" s="202">
        <f ca="1">'ROTT TO SING'!Y5</f>
        <v>45918</v>
      </c>
      <c r="K28" s="202">
        <f ca="1">'ROTT TO SING'!AA26</f>
        <v>45970</v>
      </c>
      <c r="L28" s="203">
        <f ca="1">'ROTT TO SING'!AC26</f>
        <v>45984</v>
      </c>
      <c r="M28" s="155"/>
    </row>
    <row r="29" spans="1:13" hidden="1" collapsed="1" x14ac:dyDescent="0.25">
      <c r="A29" s="199" t="s">
        <v>39</v>
      </c>
      <c r="B29" s="168"/>
      <c r="C29" s="159" t="e">
        <f ca="1">C49+C30-C31</f>
        <v>#N/A</v>
      </c>
      <c r="D29" s="161" t="e">
        <f ca="1">D49+D30-D31</f>
        <v>#N/A</v>
      </c>
      <c r="E29" s="10"/>
      <c r="F29" s="159" t="e">
        <f ca="1">F49+F30-F31</f>
        <v>#N/A</v>
      </c>
      <c r="G29" s="160" t="e">
        <f ca="1">G49+G30-G31</f>
        <v>#N/A</v>
      </c>
      <c r="H29" s="161" t="e">
        <f ca="1">H49+H30-H31</f>
        <v>#N/A</v>
      </c>
      <c r="I29" s="165"/>
      <c r="J29" s="160" t="e">
        <f ca="1">J49+J30-J31</f>
        <v>#N/A</v>
      </c>
      <c r="K29" s="160" t="e">
        <f ca="1">K49+K30-K31</f>
        <v>#N/A</v>
      </c>
      <c r="L29" s="161" t="e">
        <f ca="1">L49+L30-L31</f>
        <v>#N/A</v>
      </c>
      <c r="M29" s="155"/>
    </row>
    <row r="30" spans="1:13" hidden="1" x14ac:dyDescent="0.25">
      <c r="A30" s="155"/>
      <c r="B30" s="169" t="s">
        <v>128</v>
      </c>
      <c r="C30" s="175" t="e">
        <f ca="1">INDEX(Premium!$A$2:$D$12,MATCH(MAIN!$A29,Premium!$A$2:$A$12,0),MATCH(EOMONTH(MAIN!C6,-1)+1,Premium!$A$2:$D$2,0))</f>
        <v>#N/A</v>
      </c>
      <c r="D30" s="176" t="e">
        <f ca="1">INDEX(Premium!$A$2:$D$12,MATCH(MAIN!$A29,Premium!$A$2:$A$12,0),MATCH(EOMONTH(MAIN!D6,-1)+1,Premium!$A$2:$D$2,0))</f>
        <v>#N/A</v>
      </c>
      <c r="E30" s="177" t="s">
        <v>128</v>
      </c>
      <c r="F30" s="175" t="e">
        <f ca="1">INDEX(Premium!$A$2:$D$12,MATCH(MAIN!$A29,Premium!$A$2:$A$12,0),MATCH(EOMONTH(MAIN!F6,-1)+1,Premium!$A$2:$D$2,0))</f>
        <v>#N/A</v>
      </c>
      <c r="G30" s="178" t="e">
        <f ca="1">INDEX(Premium!$A$2:$D$12,MATCH(MAIN!$A29,Premium!$A$2:$A$12,0),MATCH(EOMONTH(MAIN!G6,-1)+1,Premium!$A$2:$D$2,0))</f>
        <v>#N/A</v>
      </c>
      <c r="H30" s="176" t="e">
        <f ca="1">INDEX(Premium!$A$2:$D$12,MATCH(MAIN!$A29,Premium!$A$2:$A$12,0),MATCH(EOMONTH(MAIN!H6,-1)+1,Premium!$A$2:$D$2,0))</f>
        <v>#N/A</v>
      </c>
      <c r="I30" s="179" t="s">
        <v>128</v>
      </c>
      <c r="J30" s="178" t="e">
        <f ca="1">INDEX(Premium!$A$2:$D$12,MATCH(MAIN!$A29,Premium!$A$2:$A$12,0),MATCH(EOMONTH(MAIN!J6,-1)+1,Premium!$A$2:$D$2,0))</f>
        <v>#N/A</v>
      </c>
      <c r="K30" s="178" t="e">
        <f ca="1">INDEX(Premium!$A$2:$D$12,MATCH(MAIN!$A29,Premium!$A$2:$A$12,0),MATCH(EOMONTH(MAIN!K6,-1)+1,Premium!$A$2:$D$2,0))</f>
        <v>#N/A</v>
      </c>
      <c r="L30" s="176" t="e">
        <f ca="1">INDEX(Premium!$A$2:$D$12,MATCH(MAIN!$A29,Premium!$A$2:$A$12,0),MATCH(EOMONTH(MAIN!L6,-1)+1,Premium!$A$2:$D$2,0))</f>
        <v>#N/A</v>
      </c>
      <c r="M30" s="155"/>
    </row>
    <row r="31" spans="1:13" hidden="1" x14ac:dyDescent="0.25">
      <c r="B31" s="170" t="s">
        <v>132</v>
      </c>
      <c r="C31" s="175" t="e">
        <f ca="1">INDEX(Premium!$A$21:$D$29,MATCH(MAIN!$A29,Premium!$A$21:$A$29,0),MATCH(EOMONTH(MAIN!C50,-1)+1,Premium!$A$21:$D$21,0))</f>
        <v>#N/A</v>
      </c>
      <c r="D31" s="176" t="e">
        <f ca="1">INDEX(Premium!$A$21:$D$29,MATCH(MAIN!$A29,Premium!$A$21:$A$29,0),MATCH(EOMONTH(MAIN!D50,-1)+1,Premium!$A$21:$D$21,0))</f>
        <v>#N/A</v>
      </c>
      <c r="E31" s="177" t="s">
        <v>127</v>
      </c>
      <c r="F31" s="175" t="e">
        <f ca="1">INDEX(Premium!$A$21:$D$29,MATCH(MAIN!$A29,Premium!$A$21:$A$29,0),MATCH(EOMONTH(MAIN!F50,-1)+1,Premium!$A$21:$D$21,0))</f>
        <v>#N/A</v>
      </c>
      <c r="G31" s="178" t="e">
        <f ca="1">INDEX(Premium!$A$21:$D$29,MATCH(MAIN!$A29,Premium!$A$21:$A$29,0),MATCH(EOMONTH(MAIN!G50,-1)+1,Premium!$A$21:$D$21,0))</f>
        <v>#N/A</v>
      </c>
      <c r="H31" s="176" t="e">
        <f ca="1">INDEX(Premium!$A$21:$D$29,MATCH(MAIN!$A29,Premium!$A$21:$A$29,0),MATCH(EOMONTH(MAIN!H50,-1)+1,Premium!$A$21:$D$21,0))</f>
        <v>#N/A</v>
      </c>
      <c r="I31" s="179" t="s">
        <v>127</v>
      </c>
      <c r="J31" s="178" t="e">
        <f ca="1">INDEX(Premium!$A$21:$D$29,MATCH(MAIN!$A29,Premium!$A$21:$A$29,0),MATCH(EOMONTH(MAIN!J50,-1)+1,Premium!$A$21:$D$21,0))</f>
        <v>#N/A</v>
      </c>
      <c r="K31" s="178" t="e">
        <f ca="1">INDEX(Premium!$A$21:$D$29,MATCH(MAIN!$A29,Premium!$A$21:$A$29,0),MATCH(EOMONTH(MAIN!K50,-1)+1,Premium!$A$21:$D$21,0))</f>
        <v>#N/A</v>
      </c>
      <c r="L31" s="176" t="e">
        <f ca="1">INDEX(Premium!$A$21:$D$29,MATCH(MAIN!$A29,Premium!$A$21:$A$29,0),MATCH(EOMONTH(MAIN!L50,-1)+1,Premium!$A$21:$D$21,0))</f>
        <v>#N/A</v>
      </c>
      <c r="M31" s="155"/>
    </row>
    <row r="32" spans="1:13" hidden="1" outlineLevel="1" x14ac:dyDescent="0.25">
      <c r="A32" s="155"/>
      <c r="B32" s="231" t="s">
        <v>53</v>
      </c>
      <c r="C32" s="234">
        <f>INDEX('ROTT TO SING'!$A$8:$H$25,MATCH(MAIN!B32,'ROTT TO SING'!$A$8:$A$25,0),5)</f>
        <v>20.74074074074074</v>
      </c>
      <c r="D32" s="235">
        <f>INDEX('ROTT TO SING'!$A$8:$H$25,MATCH(MAIN!B32,'ROTT TO SING'!$A$8:$A$25,0),7)</f>
        <v>20.74074074074074</v>
      </c>
      <c r="E32" s="237" t="s">
        <v>53</v>
      </c>
      <c r="F32" s="234">
        <f>INDEX('ROTT TO SING'!$J$8:$S$25,MATCH(MAIN!E32,'ROTT TO SING'!$J$8:$J$25,0),5)</f>
        <v>34</v>
      </c>
      <c r="G32" s="235">
        <f>INDEX('ROTT TO SING'!$J$8:$S$25,MATCH(MAIN!E32,'ROTT TO SING'!$J$8:$J$25,0),7)</f>
        <v>34</v>
      </c>
      <c r="H32" s="236">
        <f>INDEX('ROTT TO SING'!$J$8:$S$25,MATCH(MAIN!E32,'ROTT TO SING'!$J$8:$J$25,0),9)</f>
        <v>34</v>
      </c>
      <c r="I32" s="239" t="s">
        <v>53</v>
      </c>
      <c r="J32" s="235">
        <f>INDEX('ROTT TO SING'!$U$8:$AD$25,MATCH(MAIN!I32,'ROTT TO AG'!$L$6:$L$23,0),5)</f>
        <v>46.938775510204081</v>
      </c>
      <c r="K32" s="235">
        <f>INDEX('ROTT TO SING'!$U$8:$AD$25,MATCH(MAIN!I32,'ROTT TO AG'!$L$6:$L$23,0),7)</f>
        <v>46.938775510204081</v>
      </c>
      <c r="L32" s="236">
        <f>INDEX('ROTT TO SING'!$U$8:$AD$25,MATCH(MAIN!I32,'ROTT TO AG'!$L$6:$L$23,0),9)</f>
        <v>46.938775510204081</v>
      </c>
      <c r="M32" s="155"/>
    </row>
    <row r="33" spans="1:13" hidden="1" outlineLevel="1" x14ac:dyDescent="0.25">
      <c r="A33" s="155"/>
      <c r="B33" s="169" t="s">
        <v>54</v>
      </c>
      <c r="C33" s="175">
        <f>INDEX('ROTT TO SING'!$A$8:$H$25,MATCH(MAIN!B33,'ROTT TO SING'!$A$8:$A$25,0),5)</f>
        <v>0</v>
      </c>
      <c r="D33" s="178">
        <f>INDEX('ROTT TO SING'!$A$8:$H$25,MATCH(MAIN!B33,'ROTT TO SING'!$A$8:$A$25,0),7)</f>
        <v>0</v>
      </c>
      <c r="E33" s="169" t="s">
        <v>54</v>
      </c>
      <c r="F33" s="175">
        <f>INDEX('ROTT TO SING'!$J$8:$S$25,MATCH(MAIN!E33,'ROTT TO SING'!$J$8:$J$25,0),5)</f>
        <v>0</v>
      </c>
      <c r="G33" s="178">
        <f>INDEX('ROTT TO SING'!$J$8:$S$25,MATCH(MAIN!E33,'ROTT TO SING'!$J$8:$J$25,0),7)</f>
        <v>0</v>
      </c>
      <c r="H33" s="176">
        <f>INDEX('ROTT TO SING'!$J$8:$S$25,MATCH(MAIN!E33,'ROTT TO SING'!$J$8:$J$25,0),9)</f>
        <v>0</v>
      </c>
      <c r="I33" s="179" t="s">
        <v>54</v>
      </c>
      <c r="J33" s="178">
        <f>INDEX('ROTT TO SING'!$U$8:$AD$25,MATCH(MAIN!I33,'ROTT TO AG'!$L$6:$L$23,0),5)</f>
        <v>0</v>
      </c>
      <c r="K33" s="178">
        <f>INDEX('ROTT TO SING'!$U$8:$AD$25,MATCH(MAIN!I33,'ROTT TO AG'!$L$6:$L$23,0),7)</f>
        <v>0</v>
      </c>
      <c r="L33" s="176">
        <f>INDEX('ROTT TO SING'!$U$8:$AD$25,MATCH(MAIN!I33,'ROTT TO AG'!$L$6:$L$23,0),9)</f>
        <v>0</v>
      </c>
      <c r="M33" s="155"/>
    </row>
    <row r="34" spans="1:13" hidden="1" outlineLevel="1" x14ac:dyDescent="0.25">
      <c r="A34" s="155"/>
      <c r="B34" s="169" t="s">
        <v>55</v>
      </c>
      <c r="C34" s="175">
        <f>INDEX('ROTT TO SING'!$A$8:$H$25,MATCH(MAIN!B34,'ROTT TO SING'!$A$8:$A$25,0),5)</f>
        <v>2.0370370370370372</v>
      </c>
      <c r="D34" s="178">
        <f>INDEX('ROTT TO SING'!$A$8:$H$25,MATCH(MAIN!B34,'ROTT TO SING'!$A$8:$A$25,0),7)</f>
        <v>2.0370370370370372</v>
      </c>
      <c r="E34" s="169" t="s">
        <v>55</v>
      </c>
      <c r="F34" s="175">
        <f>INDEX('ROTT TO SING'!$J$8:$S$25,MATCH(MAIN!E34,'ROTT TO SING'!$J$8:$J$25,0),5)</f>
        <v>2.6833333333333331</v>
      </c>
      <c r="G34" s="178">
        <f>INDEX('ROTT TO SING'!$J$8:$S$25,MATCH(MAIN!E34,'ROTT TO SING'!$J$8:$J$25,0),7)</f>
        <v>2.6833333333333331</v>
      </c>
      <c r="H34" s="176">
        <f>INDEX('ROTT TO SING'!$J$8:$S$25,MATCH(MAIN!E34,'ROTT TO SING'!$J$8:$J$25,0),9)</f>
        <v>2.6833333333333331</v>
      </c>
      <c r="I34" s="179" t="s">
        <v>55</v>
      </c>
      <c r="J34" s="178">
        <f>INDEX('ROTT TO SING'!$U$8:$AD$25,MATCH(MAIN!I34,'ROTT TO AG'!$L$6:$L$23,0),5)</f>
        <v>2.1683673469387754</v>
      </c>
      <c r="K34" s="178">
        <f>INDEX('ROTT TO SING'!$U$8:$AD$25,MATCH(MAIN!I34,'ROTT TO AG'!$L$6:$L$23,0),7)</f>
        <v>2.1683673469387754</v>
      </c>
      <c r="L34" s="176">
        <f>INDEX('ROTT TO SING'!$U$8:$AD$25,MATCH(MAIN!I34,'ROTT TO AG'!$L$6:$L$23,0),9)</f>
        <v>2.1683673469387754</v>
      </c>
      <c r="M34" s="155"/>
    </row>
    <row r="35" spans="1:13" hidden="1" outlineLevel="1" x14ac:dyDescent="0.25">
      <c r="A35" s="155"/>
      <c r="B35" s="169" t="s">
        <v>56</v>
      </c>
      <c r="C35" s="175">
        <f>INDEX('ROTT TO SING'!$A$8:$H$25,MATCH(MAIN!B35,'ROTT TO SING'!$A$8:$A$25,0),5)</f>
        <v>3.1481481481481478E-2</v>
      </c>
      <c r="D35" s="178">
        <f>INDEX('ROTT TO SING'!$A$8:$H$25,MATCH(MAIN!B35,'ROTT TO SING'!$A$8:$A$25,0),7)</f>
        <v>3.1481481481481478E-2</v>
      </c>
      <c r="E35" s="169" t="s">
        <v>56</v>
      </c>
      <c r="F35" s="175">
        <f>INDEX('ROTT TO SING'!$J$8:$S$25,MATCH(MAIN!E35,'ROTT TO SING'!$J$8:$J$25,0),5)</f>
        <v>5.6666666666666664E-2</v>
      </c>
      <c r="G35" s="178">
        <f>INDEX('ROTT TO SING'!$J$8:$S$25,MATCH(MAIN!E35,'ROTT TO SING'!$J$8:$J$25,0),7)</f>
        <v>5.6666666666666664E-2</v>
      </c>
      <c r="H35" s="176">
        <f>INDEX('ROTT TO SING'!$J$8:$S$25,MATCH(MAIN!E35,'ROTT TO SING'!$J$8:$J$25,0),9)</f>
        <v>5.6666666666666664E-2</v>
      </c>
      <c r="I35" s="179" t="s">
        <v>56</v>
      </c>
      <c r="J35" s="178">
        <f>INDEX('ROTT TO SING'!$U$8:$AD$25,MATCH(MAIN!I35,'ROTT TO AG'!$L$6:$L$23,0),5)</f>
        <v>8.673469387755102E-2</v>
      </c>
      <c r="K35" s="178">
        <f>INDEX('ROTT TO SING'!$U$8:$AD$25,MATCH(MAIN!I35,'ROTT TO AG'!$L$6:$L$23,0),7)</f>
        <v>8.673469387755102E-2</v>
      </c>
      <c r="L35" s="176">
        <f>INDEX('ROTT TO SING'!$U$8:$AD$25,MATCH(MAIN!I35,'ROTT TO AG'!$L$6:$L$23,0),9)</f>
        <v>8.673469387755102E-2</v>
      </c>
      <c r="M35" s="155"/>
    </row>
    <row r="36" spans="1:13" hidden="1" outlineLevel="1" x14ac:dyDescent="0.25">
      <c r="A36" s="155"/>
      <c r="B36" s="169" t="s">
        <v>124</v>
      </c>
      <c r="C36" s="175">
        <f>INDEX('ROTT TO SING'!$A$8:$H$25,MATCH(MAIN!B36,'ROTT TO SING'!$A$8:$A$25,0),5)</f>
        <v>9.2592592592592587E-2</v>
      </c>
      <c r="D36" s="178">
        <f>INDEX('ROTT TO SING'!$A$8:$H$25,MATCH(MAIN!B36,'ROTT TO SING'!$A$8:$A$25,0),7)</f>
        <v>9.2592592592592587E-2</v>
      </c>
      <c r="E36" s="169" t="s">
        <v>124</v>
      </c>
      <c r="F36" s="175">
        <f>INDEX('ROTT TO SING'!$J$8:$S$25,MATCH(MAIN!E36,'ROTT TO SING'!$J$8:$J$25,0),5)</f>
        <v>0.16666666666666666</v>
      </c>
      <c r="G36" s="178">
        <f>INDEX('ROTT TO SING'!$J$8:$S$25,MATCH(MAIN!E36,'ROTT TO SING'!$J$8:$J$25,0),7)</f>
        <v>0.16666666666666666</v>
      </c>
      <c r="H36" s="176">
        <f>INDEX('ROTT TO SING'!$J$8:$S$25,MATCH(MAIN!E36,'ROTT TO SING'!$J$8:$J$25,0),9)</f>
        <v>0.16666666666666666</v>
      </c>
      <c r="I36" s="179" t="s">
        <v>124</v>
      </c>
      <c r="J36" s="178">
        <f>INDEX('ROTT TO SING'!$U$8:$AD$25,MATCH(MAIN!I36,'ROTT TO AG'!$L$6:$L$23,0),5)</f>
        <v>0.25510204081632654</v>
      </c>
      <c r="K36" s="178">
        <f>INDEX('ROTT TO SING'!$U$8:$AD$25,MATCH(MAIN!I36,'ROTT TO AG'!$L$6:$L$23,0),7)</f>
        <v>0.25510204081632654</v>
      </c>
      <c r="L36" s="176">
        <f>INDEX('ROTT TO SING'!$U$8:$AD$25,MATCH(MAIN!I36,'ROTT TO AG'!$L$6:$L$23,0),9)</f>
        <v>0.25510204081632654</v>
      </c>
      <c r="M36" s="155"/>
    </row>
    <row r="37" spans="1:13" hidden="1" outlineLevel="1" x14ac:dyDescent="0.25">
      <c r="A37" s="155"/>
      <c r="B37" s="169" t="s">
        <v>125</v>
      </c>
      <c r="C37" s="175">
        <f>INDEX('ROTT TO SING'!$A$8:$H$25,MATCH(MAIN!B37,'ROTT TO SING'!$A$8:$A$25,0),5)</f>
        <v>9.2592592592592587E-2</v>
      </c>
      <c r="D37" s="178">
        <f>INDEX('ROTT TO SING'!$A$8:$H$25,MATCH(MAIN!B37,'ROTT TO SING'!$A$8:$A$25,0),7)</f>
        <v>9.2592592592592587E-2</v>
      </c>
      <c r="E37" s="169" t="s">
        <v>125</v>
      </c>
      <c r="F37" s="175">
        <f>INDEX('ROTT TO SING'!$J$8:$S$25,MATCH(MAIN!E37,'ROTT TO SING'!$J$8:$J$25,0),5)</f>
        <v>0.16666666666666666</v>
      </c>
      <c r="G37" s="178">
        <f>INDEX('ROTT TO SING'!$J$8:$S$25,MATCH(MAIN!E37,'ROTT TO SING'!$J$8:$J$25,0),7)</f>
        <v>0.16666666666666666</v>
      </c>
      <c r="H37" s="176">
        <f>INDEX('ROTT TO SING'!$J$8:$S$25,MATCH(MAIN!E37,'ROTT TO SING'!$J$8:$J$25,0),9)</f>
        <v>0.16666666666666666</v>
      </c>
      <c r="I37" s="179" t="s">
        <v>125</v>
      </c>
      <c r="J37" s="178">
        <f>INDEX('ROTT TO SING'!$U$8:$AD$25,MATCH(MAIN!I37,'ROTT TO AG'!$L$6:$L$23,0),5)</f>
        <v>0.25510204081632654</v>
      </c>
      <c r="K37" s="178">
        <f>INDEX('ROTT TO SING'!$U$8:$AD$25,MATCH(MAIN!I37,'ROTT TO AG'!$L$6:$L$23,0),7)</f>
        <v>0.25510204081632654</v>
      </c>
      <c r="L37" s="176">
        <f>INDEX('ROTT TO SING'!$U$8:$AD$25,MATCH(MAIN!I37,'ROTT TO AG'!$L$6:$L$23,0),9)</f>
        <v>0.25510204081632654</v>
      </c>
      <c r="M37" s="155"/>
    </row>
    <row r="38" spans="1:13" hidden="1" outlineLevel="1" x14ac:dyDescent="0.25">
      <c r="A38" s="155"/>
      <c r="B38" s="169" t="s">
        <v>81</v>
      </c>
      <c r="C38" s="175">
        <f ca="1">INDEX('ROTT TO SING'!$A$8:$H$25,MATCH(MAIN!B38,'ROTT TO SING'!$A$8:$A$25,0),5)</f>
        <v>3.379109589041096</v>
      </c>
      <c r="D38" s="178">
        <f ca="1">INDEX('ROTT TO SING'!$A$8:$H$25,MATCH(MAIN!B38,'ROTT TO SING'!$A$8:$A$25,0),7)</f>
        <v>3.3655479452054795</v>
      </c>
      <c r="E38" s="169" t="s">
        <v>81</v>
      </c>
      <c r="F38" s="175">
        <f ca="1">INDEX('ROTT TO SING'!$J$8:$S$25,MATCH(MAIN!E38,'ROTT TO SING'!$J$8:$J$25,0),5)</f>
        <v>3.379109589041096</v>
      </c>
      <c r="G38" s="178">
        <f ca="1">INDEX('ROTT TO SING'!$J$8:$S$25,MATCH(MAIN!E38,'ROTT TO SING'!$J$8:$J$25,0),7)</f>
        <v>3.3655479452054795</v>
      </c>
      <c r="H38" s="176">
        <f ca="1">INDEX('ROTT TO SING'!$J$8:$S$25,MATCH(MAIN!E38,'ROTT TO SING'!$J$8:$J$25,0),9)</f>
        <v>3.3655479452054795</v>
      </c>
      <c r="I38" s="179" t="s">
        <v>81</v>
      </c>
      <c r="J38" s="178">
        <f ca="1">INDEX('ROTT TO SING'!$U$8:$AD$25,MATCH(MAIN!I38,'ROTT TO AG'!$L$6:$L$23,0),5)</f>
        <v>3.379109589041096</v>
      </c>
      <c r="K38" s="178">
        <f ca="1">INDEX('ROTT TO SING'!$U$8:$AD$25,MATCH(MAIN!I38,'ROTT TO AG'!$L$6:$L$23,0),7)</f>
        <v>3.3655479452054795</v>
      </c>
      <c r="L38" s="176">
        <f ca="1">INDEX('ROTT TO SING'!$U$8:$AD$25,MATCH(MAIN!I38,'ROTT TO AG'!$L$6:$L$23,0),9)</f>
        <v>3.3655479452054795</v>
      </c>
      <c r="M38" s="155"/>
    </row>
    <row r="39" spans="1:13" hidden="1" outlineLevel="1" x14ac:dyDescent="0.25">
      <c r="A39" s="155"/>
      <c r="B39" s="169" t="s">
        <v>57</v>
      </c>
      <c r="C39" s="175">
        <f>INDEX('ROTT TO SING'!$A$8:$H$25,MATCH(MAIN!B39,'ROTT TO SING'!$A$8:$A$25,0),5)</f>
        <v>0</v>
      </c>
      <c r="D39" s="178">
        <f>INDEX('ROTT TO SING'!$A$8:$H$25,MATCH(MAIN!B39,'ROTT TO SING'!$A$8:$A$25,0),7)</f>
        <v>0</v>
      </c>
      <c r="E39" s="169" t="s">
        <v>57</v>
      </c>
      <c r="F39" s="175">
        <f>INDEX('ROTT TO SING'!$J$8:$S$25,MATCH(MAIN!E39,'ROTT TO SING'!$J$8:$J$25,0),5)</f>
        <v>0</v>
      </c>
      <c r="G39" s="178">
        <f>INDEX('ROTT TO SING'!$J$8:$S$25,MATCH(MAIN!E39,'ROTT TO SING'!$J$8:$J$25,0),7)</f>
        <v>0</v>
      </c>
      <c r="H39" s="176">
        <f>INDEX('ROTT TO SING'!$J$8:$S$25,MATCH(MAIN!E39,'ROTT TO SING'!$J$8:$J$25,0),9)</f>
        <v>0</v>
      </c>
      <c r="I39" s="179" t="s">
        <v>57</v>
      </c>
      <c r="J39" s="178">
        <f>INDEX('ROTT TO SING'!$U$8:$AD$25,MATCH(MAIN!I39,'ROTT TO AG'!$L$6:$L$23,0),5)</f>
        <v>0</v>
      </c>
      <c r="K39" s="178">
        <f>INDEX('ROTT TO SING'!$U$8:$AD$25,MATCH(MAIN!I39,'ROTT TO AG'!$L$6:$L$23,0),7)</f>
        <v>0</v>
      </c>
      <c r="L39" s="176">
        <f>INDEX('ROTT TO SING'!$U$8:$AD$25,MATCH(MAIN!I39,'ROTT TO AG'!$L$6:$L$23,0),9)</f>
        <v>0</v>
      </c>
      <c r="M39" s="155"/>
    </row>
    <row r="40" spans="1:13" hidden="1" outlineLevel="1" x14ac:dyDescent="0.25">
      <c r="A40" s="155"/>
      <c r="B40" s="169" t="s">
        <v>58</v>
      </c>
      <c r="C40" s="175">
        <f ca="1">INDEX('ROTT TO SING'!$A$8:$H$25,MATCH(MAIN!B40,'ROTT TO SING'!$A$8:$A$25,0),5)</f>
        <v>0.28031250000000002</v>
      </c>
      <c r="D40" s="178">
        <f ca="1">INDEX('ROTT TO SING'!$A$8:$H$25,MATCH(MAIN!B40,'ROTT TO SING'!$A$8:$A$25,0),7)</f>
        <v>0.27918750000000003</v>
      </c>
      <c r="E40" s="169" t="s">
        <v>58</v>
      </c>
      <c r="F40" s="175">
        <f ca="1">INDEX('ROTT TO SING'!$J$8:$S$25,MATCH(MAIN!E40,'ROTT TO SING'!$J$8:$J$25,0),5)</f>
        <v>0.28031250000000002</v>
      </c>
      <c r="G40" s="178">
        <f ca="1">INDEX('ROTT TO SING'!$J$8:$S$25,MATCH(MAIN!E40,'ROTT TO SING'!$J$8:$J$25,0),7)</f>
        <v>0.27918750000000003</v>
      </c>
      <c r="H40" s="176">
        <f ca="1">INDEX('ROTT TO SING'!$J$8:$S$25,MATCH(MAIN!E40,'ROTT TO SING'!$J$8:$J$25,0),9)</f>
        <v>0.27918750000000003</v>
      </c>
      <c r="I40" s="179" t="s">
        <v>58</v>
      </c>
      <c r="J40" s="178">
        <f ca="1">INDEX('ROTT TO SING'!$U$8:$AD$25,MATCH(MAIN!I40,'ROTT TO AG'!$L$6:$L$23,0),5)</f>
        <v>0.28031250000000002</v>
      </c>
      <c r="K40" s="178">
        <f ca="1">INDEX('ROTT TO SING'!$U$8:$AD$25,MATCH(MAIN!I40,'ROTT TO AG'!$L$6:$L$23,0),7)</f>
        <v>0.27918750000000003</v>
      </c>
      <c r="L40" s="176">
        <f ca="1">INDEX('ROTT TO SING'!$U$8:$AD$25,MATCH(MAIN!I40,'ROTT TO AG'!$L$6:$L$23,0),9)</f>
        <v>0.27918750000000003</v>
      </c>
      <c r="M40" s="155"/>
    </row>
    <row r="41" spans="1:13" hidden="1" outlineLevel="1" x14ac:dyDescent="0.25">
      <c r="A41" s="155"/>
      <c r="B41" s="169" t="s">
        <v>59</v>
      </c>
      <c r="C41" s="175">
        <f ca="1">INDEX('ROTT TO SING'!$A$8:$H$25,MATCH(MAIN!B41,'ROTT TO SING'!$A$8:$A$25,0),5)</f>
        <v>1.15425</v>
      </c>
      <c r="D41" s="178">
        <f ca="1">INDEX('ROTT TO SING'!$A$8:$H$25,MATCH(MAIN!B41,'ROTT TO SING'!$A$8:$A$25,0),7)</f>
        <v>1.15425</v>
      </c>
      <c r="E41" s="169" t="s">
        <v>59</v>
      </c>
      <c r="F41" s="175">
        <f ca="1">INDEX('ROTT TO SING'!$J$8:$S$25,MATCH(MAIN!E41,'ROTT TO SING'!$J$8:$J$25,0),5)</f>
        <v>1.1685000000000001</v>
      </c>
      <c r="G41" s="178">
        <f ca="1">INDEX('ROTT TO SING'!$J$8:$S$25,MATCH(MAIN!E41,'ROTT TO SING'!$J$8:$J$25,0),7)</f>
        <v>1.15425</v>
      </c>
      <c r="H41" s="176">
        <f ca="1">INDEX('ROTT TO SING'!$J$8:$S$25,MATCH(MAIN!E41,'ROTT TO SING'!$J$8:$J$25,0),9)</f>
        <v>1.15425</v>
      </c>
      <c r="I41" s="179" t="s">
        <v>59</v>
      </c>
      <c r="J41" s="178">
        <f ca="1">INDEX('ROTT TO SING'!$U$8:$AD$25,MATCH(MAIN!I41,'ROTT TO AG'!$L$6:$L$23,0),5)</f>
        <v>1.1685000000000001</v>
      </c>
      <c r="K41" s="178">
        <f ca="1">INDEX('ROTT TO SING'!$U$8:$AD$25,MATCH(MAIN!I41,'ROTT TO AG'!$L$6:$L$23,0),7)</f>
        <v>1.15425</v>
      </c>
      <c r="L41" s="176">
        <f ca="1">INDEX('ROTT TO SING'!$U$8:$AD$25,MATCH(MAIN!I41,'ROTT TO AG'!$L$6:$L$23,0),9)</f>
        <v>1.15425</v>
      </c>
      <c r="M41" s="155"/>
    </row>
    <row r="42" spans="1:13" hidden="1" outlineLevel="1" x14ac:dyDescent="0.25">
      <c r="A42" s="155"/>
      <c r="B42" s="169" t="s">
        <v>60</v>
      </c>
      <c r="C42" s="175">
        <f>INDEX('ROTT TO SING'!$A$8:$H$25,MATCH(MAIN!B42,'ROTT TO SING'!$A$8:$A$25,0),5)</f>
        <v>4.6296296296296294E-2</v>
      </c>
      <c r="D42" s="178">
        <f>INDEX('ROTT TO SING'!$A$8:$H$25,MATCH(MAIN!B42,'ROTT TO SING'!$A$8:$A$25,0),7)</f>
        <v>4.6296296296296294E-2</v>
      </c>
      <c r="E42" s="169" t="s">
        <v>60</v>
      </c>
      <c r="F42" s="175">
        <f>INDEX('ROTT TO SING'!$J$8:$S$25,MATCH(MAIN!E42,'ROTT TO SING'!$J$8:$J$25,0),5)</f>
        <v>8.3333333333333329E-2</v>
      </c>
      <c r="G42" s="178">
        <f>INDEX('ROTT TO SING'!$J$8:$S$25,MATCH(MAIN!E42,'ROTT TO SING'!$J$8:$J$25,0),7)</f>
        <v>8.3333333333333329E-2</v>
      </c>
      <c r="H42" s="176">
        <f>INDEX('ROTT TO SING'!$J$8:$S$25,MATCH(MAIN!E42,'ROTT TO SING'!$J$8:$J$25,0),9)</f>
        <v>8.3333333333333329E-2</v>
      </c>
      <c r="I42" s="179" t="s">
        <v>60</v>
      </c>
      <c r="J42" s="178">
        <f>INDEX('ROTT TO SING'!$U$8:$AD$25,MATCH(MAIN!I42,'ROTT TO AG'!$L$6:$L$23,0),5)</f>
        <v>0.12755102040816327</v>
      </c>
      <c r="K42" s="178">
        <f>INDEX('ROTT TO SING'!$U$8:$AD$25,MATCH(MAIN!I42,'ROTT TO AG'!$L$6:$L$23,0),7)</f>
        <v>0.12755102040816327</v>
      </c>
      <c r="L42" s="176">
        <f>INDEX('ROTT TO SING'!$U$8:$AD$25,MATCH(MAIN!I42,'ROTT TO AG'!$L$6:$L$23,0),9)</f>
        <v>0.12755102040816327</v>
      </c>
      <c r="M42" s="155"/>
    </row>
    <row r="43" spans="1:13" hidden="1" outlineLevel="1" x14ac:dyDescent="0.25">
      <c r="A43" s="155"/>
      <c r="B43" s="169" t="s">
        <v>61</v>
      </c>
      <c r="C43" s="175">
        <f>INDEX('ROTT TO SING'!$A$8:$H$25,MATCH(MAIN!B43,'ROTT TO SING'!$A$8:$A$25,0),5)</f>
        <v>4.6296296296296294E-3</v>
      </c>
      <c r="D43" s="178">
        <f>INDEX('ROTT TO SING'!$A$8:$H$25,MATCH(MAIN!B43,'ROTT TO SING'!$A$8:$A$25,0),7)</f>
        <v>4.6296296296296294E-3</v>
      </c>
      <c r="E43" s="169" t="s">
        <v>61</v>
      </c>
      <c r="F43" s="175">
        <f>INDEX('ROTT TO SING'!$J$8:$S$25,MATCH(MAIN!E43,'ROTT TO SING'!$J$8:$J$25,0),5)</f>
        <v>8.3333333333333332E-3</v>
      </c>
      <c r="G43" s="178">
        <f>INDEX('ROTT TO SING'!$J$8:$S$25,MATCH(MAIN!E43,'ROTT TO SING'!$J$8:$J$25,0),7)</f>
        <v>8.3333333333333332E-3</v>
      </c>
      <c r="H43" s="176">
        <f>INDEX('ROTT TO SING'!$J$8:$S$25,MATCH(MAIN!E43,'ROTT TO SING'!$J$8:$J$25,0),9)</f>
        <v>8.3333333333333332E-3</v>
      </c>
      <c r="I43" s="179" t="s">
        <v>61</v>
      </c>
      <c r="J43" s="178">
        <f>INDEX('ROTT TO SING'!$U$8:$AD$25,MATCH(MAIN!I43,'ROTT TO AG'!$L$6:$L$23,0),5)</f>
        <v>1.2755102040816327E-2</v>
      </c>
      <c r="K43" s="178">
        <f>INDEX('ROTT TO SING'!$U$8:$AD$25,MATCH(MAIN!I43,'ROTT TO AG'!$L$6:$L$23,0),7)</f>
        <v>1.2755102040816327E-2</v>
      </c>
      <c r="L43" s="176">
        <f>INDEX('ROTT TO SING'!$U$8:$AD$25,MATCH(MAIN!I43,'ROTT TO AG'!$L$6:$L$23,0),9)</f>
        <v>1.2755102040816327E-2</v>
      </c>
      <c r="M43" s="155"/>
    </row>
    <row r="44" spans="1:13" hidden="1" outlineLevel="1" x14ac:dyDescent="0.25">
      <c r="A44" s="155"/>
      <c r="B44" s="169" t="s">
        <v>62</v>
      </c>
      <c r="C44" s="175">
        <f>INDEX('ROTT TO SING'!$A$8:$H$25,MATCH(MAIN!B44,'ROTT TO SING'!$A$8:$A$25,0),5)</f>
        <v>4.6296296296296294E-3</v>
      </c>
      <c r="D44" s="178">
        <f>INDEX('ROTT TO SING'!$A$8:$H$25,MATCH(MAIN!B44,'ROTT TO SING'!$A$8:$A$25,0),7)</f>
        <v>4.6296296296296294E-3</v>
      </c>
      <c r="E44" s="169" t="s">
        <v>62</v>
      </c>
      <c r="F44" s="175">
        <f>INDEX('ROTT TO SING'!$J$8:$S$25,MATCH(MAIN!E44,'ROTT TO SING'!$J$8:$J$25,0),5)</f>
        <v>8.3333333333333332E-3</v>
      </c>
      <c r="G44" s="178">
        <f>INDEX('ROTT TO SING'!$J$8:$S$25,MATCH(MAIN!E44,'ROTT TO SING'!$J$8:$J$25,0),7)</f>
        <v>8.3333333333333332E-3</v>
      </c>
      <c r="H44" s="176">
        <f>INDEX('ROTT TO SING'!$J$8:$S$25,MATCH(MAIN!E44,'ROTT TO SING'!$J$8:$J$25,0),9)</f>
        <v>8.3333333333333332E-3</v>
      </c>
      <c r="I44" s="179" t="s">
        <v>62</v>
      </c>
      <c r="J44" s="178">
        <f>INDEX('ROTT TO SING'!$U$8:$AD$25,MATCH(MAIN!I44,'ROTT TO AG'!$L$6:$L$23,0),5)</f>
        <v>1.2755102040816327E-2</v>
      </c>
      <c r="K44" s="178">
        <f>INDEX('ROTT TO SING'!$U$8:$AD$25,MATCH(MAIN!I44,'ROTT TO AG'!$L$6:$L$23,0),7)</f>
        <v>1.2755102040816327E-2</v>
      </c>
      <c r="L44" s="176">
        <f>INDEX('ROTT TO SING'!$U$8:$AD$25,MATCH(MAIN!I44,'ROTT TO AG'!$L$6:$L$23,0),9)</f>
        <v>1.2755102040816327E-2</v>
      </c>
      <c r="M44" s="155"/>
    </row>
    <row r="45" spans="1:13" hidden="1" outlineLevel="1" x14ac:dyDescent="0.25">
      <c r="A45" s="155"/>
      <c r="B45" s="169" t="s">
        <v>63</v>
      </c>
      <c r="C45" s="175">
        <f>INDEX('ROTT TO SING'!$A$8:$H$25,MATCH(MAIN!B45,'ROTT TO SING'!$A$8:$A$25,0),5)</f>
        <v>7.407407407407407E-2</v>
      </c>
      <c r="D45" s="178">
        <f>INDEX('ROTT TO SING'!$A$8:$H$25,MATCH(MAIN!B45,'ROTT TO SING'!$A$8:$A$25,0),7)</f>
        <v>7.407407407407407E-2</v>
      </c>
      <c r="E45" s="169" t="s">
        <v>63</v>
      </c>
      <c r="F45" s="175">
        <f>INDEX('ROTT TO SING'!$J$8:$S$25,MATCH(MAIN!E45,'ROTT TO SING'!$J$8:$J$25,0),5)</f>
        <v>0.1</v>
      </c>
      <c r="G45" s="178">
        <f>INDEX('ROTT TO SING'!$J$8:$S$25,MATCH(MAIN!E45,'ROTT TO SING'!$J$8:$J$25,0),7)</f>
        <v>0.1</v>
      </c>
      <c r="H45" s="176">
        <f>INDEX('ROTT TO SING'!$J$8:$S$25,MATCH(MAIN!E45,'ROTT TO SING'!$J$8:$J$25,0),9)</f>
        <v>0.1</v>
      </c>
      <c r="I45" s="179" t="s">
        <v>63</v>
      </c>
      <c r="J45" s="178">
        <f>INDEX('ROTT TO SING'!$U$8:$AD$25,MATCH(MAIN!I45,'ROTT TO AG'!$L$6:$L$23,0),5)</f>
        <v>0.15306122448979592</v>
      </c>
      <c r="K45" s="178">
        <f>INDEX('ROTT TO SING'!$U$8:$AD$25,MATCH(MAIN!I45,'ROTT TO AG'!$L$6:$L$23,0),7)</f>
        <v>0.15306122448979592</v>
      </c>
      <c r="L45" s="176">
        <f>INDEX('ROTT TO SING'!$U$8:$AD$25,MATCH(MAIN!I45,'ROTT TO AG'!$L$6:$L$23,0),9)</f>
        <v>0.15306122448979592</v>
      </c>
      <c r="M45" s="155"/>
    </row>
    <row r="46" spans="1:13" hidden="1" outlineLevel="1" x14ac:dyDescent="0.25">
      <c r="A46" s="155"/>
      <c r="B46" s="169" t="s">
        <v>64</v>
      </c>
      <c r="C46" s="175">
        <f>INDEX('ROTT TO SING'!$A$8:$H$25,MATCH(MAIN!B46,'ROTT TO SING'!$A$8:$A$25,0),5)</f>
        <v>3.7037037037037035E-2</v>
      </c>
      <c r="D46" s="178">
        <f>INDEX('ROTT TO SING'!$A$8:$H$25,MATCH(MAIN!B46,'ROTT TO SING'!$A$8:$A$25,0),7)</f>
        <v>3.7037037037037035E-2</v>
      </c>
      <c r="E46" s="169" t="s">
        <v>64</v>
      </c>
      <c r="F46" s="175">
        <f>INDEX('ROTT TO SING'!$J$8:$S$25,MATCH(MAIN!E46,'ROTT TO SING'!$J$8:$J$25,0),5)</f>
        <v>6.6666666666666666E-2</v>
      </c>
      <c r="G46" s="178">
        <f>INDEX('ROTT TO SING'!$J$8:$S$25,MATCH(MAIN!E46,'ROTT TO SING'!$J$8:$J$25,0),7)</f>
        <v>6.6666666666666666E-2</v>
      </c>
      <c r="H46" s="176">
        <f>INDEX('ROTT TO SING'!$J$8:$S$25,MATCH(MAIN!E46,'ROTT TO SING'!$J$8:$J$25,0),9)</f>
        <v>6.6666666666666666E-2</v>
      </c>
      <c r="I46" s="179" t="s">
        <v>64</v>
      </c>
      <c r="J46" s="178">
        <f>INDEX('ROTT TO SING'!$U$8:$AD$25,MATCH(MAIN!I46,'ROTT TO AG'!$L$6:$L$23,0),5)</f>
        <v>0.10204081632653061</v>
      </c>
      <c r="K46" s="178">
        <f>INDEX('ROTT TO SING'!$U$8:$AD$25,MATCH(MAIN!I46,'ROTT TO AG'!$L$6:$L$23,0),7)</f>
        <v>0.10204081632653061</v>
      </c>
      <c r="L46" s="176">
        <f>INDEX('ROTT TO SING'!$U$8:$AD$25,MATCH(MAIN!I46,'ROTT TO AG'!$L$6:$L$23,0),9)</f>
        <v>0.10204081632653061</v>
      </c>
      <c r="M46" s="155"/>
    </row>
    <row r="47" spans="1:13" hidden="1" outlineLevel="1" x14ac:dyDescent="0.25">
      <c r="A47" s="155"/>
      <c r="B47" s="169" t="s">
        <v>100</v>
      </c>
      <c r="C47" s="175">
        <f ca="1">INDEX('ROTT TO SING'!$A$8:$H$25,MATCH(MAIN!B47,'ROTT TO SING'!$A$8:$A$25,0),5)</f>
        <v>27.97478320015221</v>
      </c>
      <c r="D47" s="178">
        <f ca="1">INDEX('ROTT TO SING'!$A$8:$H$25,MATCH(MAIN!B47,'ROTT TO SING'!$A$8:$A$25,0),7)</f>
        <v>27.960096556316593</v>
      </c>
      <c r="E47" s="169" t="s">
        <v>100</v>
      </c>
      <c r="F47" s="175">
        <f ca="1">INDEX('ROTT TO SING'!$J$8:$S$25,MATCH(MAIN!E47,'ROTT TO SING'!$J$8:$J$25,0),5)</f>
        <v>42.167922089041092</v>
      </c>
      <c r="G47" s="178">
        <f ca="1">INDEX('ROTT TO SING'!$J$8:$S$25,MATCH(MAIN!E47,'ROTT TO SING'!$J$8:$J$25,0),7)</f>
        <v>42.138985445205471</v>
      </c>
      <c r="H47" s="176">
        <f ca="1">INDEX('ROTT TO SING'!$J$8:$S$25,MATCH(MAIN!E47,'ROTT TO SING'!$J$8:$J$25,0),9)</f>
        <v>42.138985445205471</v>
      </c>
      <c r="I47" s="179" t="s">
        <v>100</v>
      </c>
      <c r="J47" s="178">
        <f ca="1">INDEX('ROTT TO SING'!$U$8:$AD$25,MATCH(MAIN!I47,'ROTT TO AG'!$L$6:$L$23,0),5)</f>
        <v>54.940166987000268</v>
      </c>
      <c r="K47" s="178">
        <f ca="1">INDEX('ROTT TO SING'!$U$8:$AD$25,MATCH(MAIN!I47,'ROTT TO AG'!$L$6:$L$23,0),7)</f>
        <v>54.911230343164647</v>
      </c>
      <c r="L47" s="176">
        <f ca="1">INDEX('ROTT TO SING'!$U$8:$AD$25,MATCH(MAIN!I47,'ROTT TO AG'!$L$6:$L$23,0),9)</f>
        <v>54.911230343164647</v>
      </c>
      <c r="M47" s="155"/>
    </row>
    <row r="48" spans="1:13" hidden="1" outlineLevel="1" x14ac:dyDescent="0.25">
      <c r="A48" s="155"/>
      <c r="B48" s="169" t="s">
        <v>101</v>
      </c>
      <c r="C48" s="175">
        <f ca="1">INDEX('ROTT TO SING'!$A$8:$H$25,MATCH(MAIN!B48,'ROTT TO SING'!$A$8:$A$25,0),5)</f>
        <v>12.964285714285714</v>
      </c>
      <c r="D48" s="178">
        <f ca="1">INDEX('ROTT TO SING'!$A$8:$H$25,MATCH(MAIN!B48,'ROTT TO SING'!$A$8:$A$25,0),7)</f>
        <v>12.5</v>
      </c>
      <c r="E48" s="169" t="s">
        <v>101</v>
      </c>
      <c r="F48" s="175">
        <f ca="1">INDEX('ROTT TO SING'!$J$8:$S$25,MATCH(MAIN!E48,'ROTT TO SING'!$J$8:$J$25,0),5)</f>
        <v>13.583333333333334</v>
      </c>
      <c r="G48" s="178">
        <f ca="1">INDEX('ROTT TO SING'!$J$8:$S$25,MATCH(MAIN!E48,'ROTT TO SING'!$J$8:$J$25,0),7)</f>
        <v>12.5</v>
      </c>
      <c r="H48" s="176">
        <f ca="1">INDEX('ROTT TO SING'!$J$8:$S$25,MATCH(MAIN!E48,'ROTT TO SING'!$J$8:$J$25,0),9)</f>
        <v>12.5</v>
      </c>
      <c r="I48" s="179" t="s">
        <v>101</v>
      </c>
      <c r="J48" s="178">
        <f ca="1">INDEX('ROTT TO SING'!$U$8:$AD$25,MATCH(MAIN!I48,'ROTT TO AG'!$L$6:$L$23,0),5)</f>
        <v>13.583333333333334</v>
      </c>
      <c r="K48" s="178">
        <f ca="1">INDEX('ROTT TO SING'!$U$8:$AD$25,MATCH(MAIN!I48,'ROTT TO AG'!$L$6:$L$23,0),7)</f>
        <v>12.5</v>
      </c>
      <c r="L48" s="176">
        <f ca="1">INDEX('ROTT TO SING'!$U$8:$AD$25,MATCH(MAIN!I48,'ROTT TO AG'!$L$6:$L$23,0),9)</f>
        <v>12.5</v>
      </c>
      <c r="M48" s="155"/>
    </row>
    <row r="49" spans="1:13" hidden="1" outlineLevel="1" x14ac:dyDescent="0.25">
      <c r="A49" s="155"/>
      <c r="B49" s="169" t="s">
        <v>113</v>
      </c>
      <c r="C49" s="175">
        <f ca="1">INDEX('ROTT TO SING'!$A$8:$H$25,MATCH(MAIN!B49,'ROTT TO SING'!$A$8:$A$25,0),5)</f>
        <v>-15.010497485866496</v>
      </c>
      <c r="D49" s="178">
        <f ca="1">INDEX('ROTT TO SING'!$A$8:$H$25,MATCH(MAIN!B49,'ROTT TO SING'!$A$8:$A$25,0),7)</f>
        <v>-15.460096556316593</v>
      </c>
      <c r="E49" s="169" t="s">
        <v>113</v>
      </c>
      <c r="F49" s="175">
        <f ca="1">INDEX('ROTT TO SING'!$J$8:$S$25,MATCH(MAIN!E49,'ROTT TO SING'!$J$8:$J$25,0),5)</f>
        <v>-28.584588755707756</v>
      </c>
      <c r="G49" s="178">
        <f ca="1">INDEX('ROTT TO SING'!$J$8:$S$25,MATCH(MAIN!E49,'ROTT TO SING'!$J$8:$J$25,0),7)</f>
        <v>-29.638985445205471</v>
      </c>
      <c r="H49" s="176">
        <f ca="1">INDEX('ROTT TO SING'!$J$8:$S$25,MATCH(MAIN!E49,'ROTT TO SING'!$J$8:$J$25,0),9)</f>
        <v>-29.638985445205471</v>
      </c>
      <c r="I49" s="179" t="s">
        <v>113</v>
      </c>
      <c r="J49" s="178">
        <f ca="1">INDEX('ROTT TO SING'!$U$8:$AD$25,MATCH(MAIN!I49,'ROTT TO AG'!$L$6:$L$23,0),5)</f>
        <v>-41.356833653666932</v>
      </c>
      <c r="K49" s="178">
        <f ca="1">INDEX('ROTT TO SING'!$U$8:$AD$25,MATCH(MAIN!I49,'ROTT TO AG'!$L$6:$L$23,0),7)</f>
        <v>-42.411230343164647</v>
      </c>
      <c r="L49" s="176">
        <f ca="1">INDEX('ROTT TO SING'!$U$8:$AD$25,MATCH(MAIN!I49,'ROTT TO AG'!$L$6:$L$23,0),9)</f>
        <v>-42.411230343164647</v>
      </c>
      <c r="M49" s="155"/>
    </row>
    <row r="50" spans="1:13" ht="15.75" hidden="1" outlineLevel="1" thickBot="1" x14ac:dyDescent="0.3">
      <c r="A50" s="155"/>
      <c r="B50" s="169" t="s">
        <v>126</v>
      </c>
      <c r="C50" s="217">
        <f ca="1">C28</f>
        <v>45925</v>
      </c>
      <c r="D50" s="218">
        <f ca="1">D28</f>
        <v>45939</v>
      </c>
      <c r="E50" s="238" t="s">
        <v>126</v>
      </c>
      <c r="F50" s="217">
        <f ca="1">F28</f>
        <v>45918</v>
      </c>
      <c r="G50" s="218">
        <f ca="1">G28</f>
        <v>45932</v>
      </c>
      <c r="H50" s="219">
        <f ca="1">H28</f>
        <v>45946</v>
      </c>
      <c r="I50" s="220" t="s">
        <v>126</v>
      </c>
      <c r="J50" s="218">
        <f ca="1">J28</f>
        <v>45918</v>
      </c>
      <c r="K50" s="218">
        <f ca="1">K28</f>
        <v>45970</v>
      </c>
      <c r="L50" s="219">
        <f ca="1">L28</f>
        <v>45984</v>
      </c>
      <c r="M50" s="155"/>
    </row>
    <row r="51" spans="1:13" ht="15.75" hidden="1" collapsed="1" thickBot="1" x14ac:dyDescent="0.3">
      <c r="A51" s="155"/>
      <c r="B51" s="172"/>
      <c r="C51" s="156"/>
      <c r="D51" s="156"/>
      <c r="E51" s="155"/>
      <c r="F51" s="156"/>
      <c r="G51" s="156"/>
      <c r="H51" s="156"/>
      <c r="I51" s="155"/>
      <c r="J51" s="156"/>
      <c r="K51" s="156"/>
      <c r="L51" s="156"/>
      <c r="M51" s="155"/>
    </row>
    <row r="52" spans="1:13" ht="15.75" hidden="1" thickBot="1" x14ac:dyDescent="0.3">
      <c r="A52" s="155"/>
      <c r="B52" s="171" t="s">
        <v>134</v>
      </c>
      <c r="C52" s="211" t="str">
        <f ca="1">IF(DAY(C$6)&lt;15,"1H-"&amp;VLOOKUP(MONTH(C$6),Mapping!$A$1:$B$12,2,0),"2H-"&amp;VLOOKUP(MONTH(C$6),Mapping!$A$1:$B$12,2,0))</f>
        <v>1H-NOV</v>
      </c>
      <c r="D52" s="185" t="str">
        <f ca="1">IF(DAY(D$6)&lt;15,"1H-"&amp;VLOOKUP(MONTH(D$6),Mapping!$A$1:$B$12,2,0),"2H-"&amp;VLOOKUP(MONTH(D$6),Mapping!$A$1:$B$12,2,0))</f>
        <v>2H-NOV</v>
      </c>
      <c r="E52" s="9"/>
      <c r="F52" s="211" t="str">
        <f ca="1">IF(DAY(F$6)&lt;15,"1H-"&amp;VLOOKUP(MONTH(F$6),Mapping!$A$1:$B$12,2,0),"2H-"&amp;VLOOKUP(MONTH(F$6),Mapping!$A$1:$B$12,2,0))</f>
        <v>2H-OCT</v>
      </c>
      <c r="G52" s="186" t="str">
        <f ca="1">IF(DAY(G$6)&lt;15,"1H-"&amp;VLOOKUP(MONTH(G$6),Mapping!$A$1:$B$12,2,0),"2H-"&amp;VLOOKUP(MONTH(G$6),Mapping!$A$1:$B$12,2,0))</f>
        <v>1H-NOV</v>
      </c>
      <c r="H52" s="212" t="str">
        <f ca="1">IF(DAY(H$6)&lt;15,"1H-"&amp;VLOOKUP(MONTH(H$6),Mapping!$A$1:$B$12,2,0),"2H-"&amp;VLOOKUP(MONTH(H$6),Mapping!$A$1:$B$12,2,0))</f>
        <v>2H-NOV</v>
      </c>
      <c r="I52" s="9"/>
      <c r="J52" s="211" t="str">
        <f ca="1">IF(DAY(J$6)&lt;15,"1H-"&amp;VLOOKUP(MONTH(J$6),Mapping!$A$1:$B$12,2,0),"2H-"&amp;VLOOKUP(MONTH(J$6),Mapping!$A$1:$B$12,2,0))</f>
        <v>2H-OCT</v>
      </c>
      <c r="K52" s="186" t="str">
        <f ca="1">IF(DAY(K$6)&lt;15,"1H-"&amp;VLOOKUP(MONTH(K$6),Mapping!$A$1:$B$12,2,0),"2H-"&amp;VLOOKUP(MONTH(K$6),Mapping!$A$1:$B$12,2,0))</f>
        <v>1H-NOV</v>
      </c>
      <c r="L52" s="212" t="str">
        <f ca="1">IF(DAY(L$6)&lt;15,"1H-"&amp;VLOOKUP(MONTH(L$6),Mapping!$A$1:$B$12,2,0),"2H-"&amp;VLOOKUP(MONTH(L$6),Mapping!$A$1:$B$12,2,0))</f>
        <v>2H-NOV</v>
      </c>
      <c r="M52" s="155"/>
    </row>
    <row r="53" spans="1:13" hidden="1" x14ac:dyDescent="0.25">
      <c r="C53" s="158">
        <f ca="1">C6</f>
        <v>45964</v>
      </c>
      <c r="D53" s="166">
        <f t="shared" ref="D53:L53" ca="1" si="0">D6</f>
        <v>45978</v>
      </c>
      <c r="E53" s="6">
        <f t="shared" si="0"/>
        <v>0</v>
      </c>
      <c r="F53" s="158">
        <f t="shared" ca="1" si="0"/>
        <v>45956</v>
      </c>
      <c r="G53" s="194">
        <f t="shared" ca="1" si="0"/>
        <v>45970</v>
      </c>
      <c r="H53" s="195">
        <f t="shared" ca="1" si="0"/>
        <v>45984</v>
      </c>
      <c r="I53" s="164">
        <f t="shared" si="0"/>
        <v>0</v>
      </c>
      <c r="J53" s="194">
        <f t="shared" ca="1" si="0"/>
        <v>45956</v>
      </c>
      <c r="K53" s="194">
        <f t="shared" ca="1" si="0"/>
        <v>45970</v>
      </c>
      <c r="L53" s="195">
        <f t="shared" ca="1" si="0"/>
        <v>45984</v>
      </c>
      <c r="M53" s="155"/>
    </row>
    <row r="54" spans="1:13" hidden="1" x14ac:dyDescent="0.25">
      <c r="A54" s="154" t="s">
        <v>41</v>
      </c>
      <c r="B54" s="171"/>
      <c r="C54" s="159" t="e">
        <f ca="1">C74+C55-C56</f>
        <v>#N/A</v>
      </c>
      <c r="D54" s="161" t="e">
        <f ca="1">D74+D55-D56</f>
        <v>#N/A</v>
      </c>
      <c r="E54" s="10"/>
      <c r="F54" s="159" t="e">
        <f ca="1">F74+F55-F56</f>
        <v>#N/A</v>
      </c>
      <c r="G54" s="160" t="e">
        <f ca="1">G74+G55-G56</f>
        <v>#N/A</v>
      </c>
      <c r="H54" s="161" t="e">
        <f ca="1">H74+H55-H56</f>
        <v>#N/A</v>
      </c>
      <c r="I54" s="165"/>
      <c r="J54" s="160" t="e">
        <f ca="1">J74+J55-J56</f>
        <v>#N/A</v>
      </c>
      <c r="K54" s="160" t="e">
        <f ca="1">K74+K55-K56</f>
        <v>#N/A</v>
      </c>
      <c r="L54" s="161" t="e">
        <f ca="1">L74+L55-L56</f>
        <v>#N/A</v>
      </c>
      <c r="M54" s="155"/>
    </row>
    <row r="55" spans="1:13" hidden="1" x14ac:dyDescent="0.25">
      <c r="A55" s="155"/>
      <c r="B55" s="167" t="s">
        <v>128</v>
      </c>
      <c r="C55" s="175" t="e">
        <f ca="1">INDEX(Premium!$A$2:$D$12,MATCH(MAIN!$A54,Premium!$A$2:$A$12,0),MATCH(EOMONTH(MAIN!C53,-1)+1,Premium!$A$2:$D$2,0))</f>
        <v>#N/A</v>
      </c>
      <c r="D55" s="176" t="e">
        <f ca="1">INDEX(Premium!$A$2:$D$12,MATCH(MAIN!$A54,Premium!$A$2:$A$12,0),MATCH(EOMONTH(MAIN!D53,-1)+1,Premium!$A$2:$D$2,0))</f>
        <v>#N/A</v>
      </c>
      <c r="E55" s="177" t="e">
        <f>INDEX(Premium!$A$2:$D$12,MATCH(MAIN!$A54,Premium!$A$2:$A$12,0),MATCH(EOMONTH(MAIN!E53,-1)+1,Premium!$A$2:$D$2,0))</f>
        <v>#N/A</v>
      </c>
      <c r="F55" s="175" t="e">
        <f ca="1">INDEX(Premium!$A$2:$D$12,MATCH(MAIN!$A54,Premium!$A$2:$A$12,0),MATCH(EOMONTH(MAIN!F53,-1)+1,Premium!$A$2:$D$2,0))</f>
        <v>#N/A</v>
      </c>
      <c r="G55" s="178" t="e">
        <f ca="1">INDEX(Premium!$A$2:$D$12,MATCH(MAIN!$A54,Premium!$A$2:$A$12,0),MATCH(EOMONTH(MAIN!G53,-1)+1,Premium!$A$2:$D$2,0))</f>
        <v>#N/A</v>
      </c>
      <c r="H55" s="176" t="e">
        <f ca="1">INDEX(Premium!$A$2:$D$12,MATCH(MAIN!$A54,Premium!$A$2:$A$12,0),MATCH(EOMONTH(MAIN!H53,-1)+1,Premium!$A$2:$D$2,0))</f>
        <v>#N/A</v>
      </c>
      <c r="I55" s="179" t="e">
        <f>INDEX(Premium!$A$2:$D$12,MATCH(MAIN!$A54,Premium!$A$2:$A$12,0),MATCH(EOMONTH(MAIN!I53,-1)+1,Premium!$A$2:$D$2,0))</f>
        <v>#N/A</v>
      </c>
      <c r="J55" s="178" t="e">
        <f ca="1">INDEX(Premium!$A$2:$D$12,MATCH(MAIN!$A54,Premium!$A$2:$A$12,0),MATCH(EOMONTH(MAIN!J53,-1)+1,Premium!$A$2:$D$2,0))</f>
        <v>#N/A</v>
      </c>
      <c r="K55" s="178" t="e">
        <f ca="1">INDEX(Premium!$A$2:$D$12,MATCH(MAIN!$A54,Premium!$A$2:$A$12,0),MATCH(EOMONTH(MAIN!K53,-1)+1,Premium!$A$2:$D$2,0))</f>
        <v>#N/A</v>
      </c>
      <c r="L55" s="176" t="e">
        <f ca="1">INDEX(Premium!$A$2:$D$12,MATCH(MAIN!$A54,Premium!$A$2:$A$12,0),MATCH(EOMONTH(MAIN!L53,-1)+1,Premium!$A$2:$D$2,0))</f>
        <v>#N/A</v>
      </c>
      <c r="M55" s="155"/>
    </row>
    <row r="56" spans="1:13" ht="15.75" hidden="1" thickBot="1" x14ac:dyDescent="0.3">
      <c r="A56" s="155"/>
      <c r="B56" s="256" t="s">
        <v>127</v>
      </c>
      <c r="C56" s="180" t="e">
        <f ca="1">INDEX(Premium!$A$21:$D$29,MATCH(MAIN!$A54,Premium!$A$21:$A$29,0),MATCH(EOMONTH(MAIN!C75,-1)+1,Premium!$A$21:$D$21,0))</f>
        <v>#N/A</v>
      </c>
      <c r="D56" s="181" t="e">
        <f ca="1">INDEX(Premium!$A$21:$D$29,MATCH(MAIN!$A54,Premium!$A$21:$A$29,0),MATCH(EOMONTH(MAIN!D75,-1)+1,Premium!$A$21:$D$21,0))</f>
        <v>#N/A</v>
      </c>
      <c r="E56" s="233" t="s">
        <v>127</v>
      </c>
      <c r="F56" s="180" t="e">
        <f ca="1">INDEX(Premium!$A$21:$D$29,MATCH(MAIN!$A54,Premium!$A$21:$A$29,0),MATCH(EOMONTH(MAIN!F75,-1)+1,Premium!$A$21:$D$21,0))</f>
        <v>#N/A</v>
      </c>
      <c r="G56" s="182" t="e">
        <f ca="1">INDEX(Premium!$A$21:$D$29,MATCH(MAIN!$A54,Premium!$A$21:$A$29,0),MATCH(EOMONTH(MAIN!G75,-1)+1,Premium!$A$21:$D$21,0))</f>
        <v>#N/A</v>
      </c>
      <c r="H56" s="181" t="e">
        <f ca="1">INDEX(Premium!$A$21:$D$29,MATCH(MAIN!$A54,Premium!$A$21:$A$29,0),MATCH(EOMONTH(MAIN!H75,-1)+1,Premium!$A$21:$D$21,0))</f>
        <v>#N/A</v>
      </c>
      <c r="I56" s="220" t="s">
        <v>127</v>
      </c>
      <c r="J56" s="182" t="e">
        <f ca="1">INDEX(Premium!$A$21:$D$29,MATCH(MAIN!$A54,Premium!$A$21:$A$29,0),MATCH(EOMONTH(MAIN!J75,-1)+1,Premium!$A$21:$D$21,0))</f>
        <v>#N/A</v>
      </c>
      <c r="K56" s="182" t="e">
        <f ca="1">INDEX(Premium!$A$21:$D$29,MATCH(MAIN!$A54,Premium!$A$21:$A$29,0),MATCH(EOMONTH(MAIN!K75,-1)+1,Premium!$A$21:$D$21,0))</f>
        <v>#N/A</v>
      </c>
      <c r="L56" s="181" t="e">
        <f ca="1">INDEX(Premium!$A$21:$D$29,MATCH(MAIN!$A54,Premium!$A$21:$A$29,0),MATCH(EOMONTH(MAIN!L75,-1)+1,Premium!$A$21:$D$21,0))</f>
        <v>#N/A</v>
      </c>
      <c r="M56" s="155"/>
    </row>
    <row r="57" spans="1:13" hidden="1" outlineLevel="1" x14ac:dyDescent="0.25">
      <c r="B57" s="167" t="s">
        <v>53</v>
      </c>
      <c r="C57" s="175">
        <f>INDEX('ROTT TO SING'!$A$8:$H$25,MATCH(MAIN!B57,'ROTT TO SING'!$A$8:$A$25,0),6)</f>
        <v>20.74074074074074</v>
      </c>
      <c r="D57" s="176">
        <f>INDEX('ROTT TO SING'!$A$8:$H$25,MATCH(MAIN!B57,'ROTT TO SING'!$A$8:$A$25,0),8)</f>
        <v>20.74074074074074</v>
      </c>
      <c r="E57" s="177" t="s">
        <v>53</v>
      </c>
      <c r="F57" s="175">
        <f>INDEX('ROTT TO SING'!$J$8:$S$25,MATCH(MAIN!E57,'ROTT TO SING'!$J$8:$J$25,0),6)</f>
        <v>34</v>
      </c>
      <c r="G57" s="178">
        <f>INDEX('ROTT TO SING'!$J$8:$S$25,MATCH(MAIN!E57,'ROTT TO SING'!$J$8:$J$25,0),8)</f>
        <v>34</v>
      </c>
      <c r="H57" s="176">
        <f>INDEX('ROTT TO SING'!$J$8:$S$25,MATCH(MAIN!E57,'ROTT TO SING'!$J$8:$J$25,0),10)</f>
        <v>34</v>
      </c>
      <c r="I57" s="179" t="s">
        <v>53</v>
      </c>
      <c r="J57" s="178">
        <f>INDEX('ROTT TO SING'!$U$8:$AD$25,MATCH(MAIN!I57,'ROTT TO AG'!$L$6:$L$23,0),6)</f>
        <v>46.938775510204081</v>
      </c>
      <c r="K57" s="178">
        <f>INDEX('ROTT TO SING'!$U$8:$AD$25,MATCH(MAIN!I57,'ROTT TO AG'!$L$6:$L$23,0),8)</f>
        <v>46.938775510204081</v>
      </c>
      <c r="L57" s="176">
        <f>INDEX('ROTT TO SING'!$U$8:$AD$25,MATCH(MAIN!I57,'ROTT TO AG'!$L$6:$L$23,0),10)</f>
        <v>46.938775510204081</v>
      </c>
      <c r="M57" s="155"/>
    </row>
    <row r="58" spans="1:13" hidden="1" outlineLevel="1" x14ac:dyDescent="0.25">
      <c r="A58" s="155"/>
      <c r="B58" s="167" t="s">
        <v>54</v>
      </c>
      <c r="C58" s="175">
        <f>INDEX('ROTT TO SING'!$A$8:$H$25,MATCH(MAIN!B58,'ROTT TO SING'!$A$8:$A$25,0),6)</f>
        <v>0</v>
      </c>
      <c r="D58" s="176">
        <f>INDEX('ROTT TO SING'!$A$8:$H$25,MATCH(MAIN!B58,'ROTT TO SING'!$A$8:$A$25,0),8)</f>
        <v>0</v>
      </c>
      <c r="E58" s="177" t="s">
        <v>54</v>
      </c>
      <c r="F58" s="175">
        <f>INDEX('ROTT TO SING'!$J$8:$S$25,MATCH(MAIN!E58,'ROTT TO SING'!$J$8:$J$25,0),6)</f>
        <v>0</v>
      </c>
      <c r="G58" s="178">
        <f>INDEX('ROTT TO SING'!$J$8:$S$25,MATCH(MAIN!E58,'ROTT TO SING'!$J$8:$J$25,0),8)</f>
        <v>0</v>
      </c>
      <c r="H58" s="176">
        <f>INDEX('ROTT TO SING'!$J$8:$S$25,MATCH(MAIN!E58,'ROTT TO SING'!$J$8:$J$25,0),10)</f>
        <v>0</v>
      </c>
      <c r="I58" s="179" t="s">
        <v>54</v>
      </c>
      <c r="J58" s="178">
        <f>INDEX('ROTT TO SING'!$U$8:$AD$25,MATCH(MAIN!I58,'ROTT TO AG'!$L$6:$L$23,0),6)</f>
        <v>0</v>
      </c>
      <c r="K58" s="178">
        <f>INDEX('ROTT TO SING'!$U$8:$AD$25,MATCH(MAIN!I58,'ROTT TO AG'!$L$6:$L$23,0),8)</f>
        <v>0</v>
      </c>
      <c r="L58" s="176">
        <f>INDEX('ROTT TO SING'!$U$8:$AD$25,MATCH(MAIN!I58,'ROTT TO AG'!$L$6:$L$23,0),10)</f>
        <v>0</v>
      </c>
      <c r="M58" s="155"/>
    </row>
    <row r="59" spans="1:13" hidden="1" outlineLevel="1" x14ac:dyDescent="0.25">
      <c r="A59" s="155"/>
      <c r="B59" s="167" t="s">
        <v>55</v>
      </c>
      <c r="C59" s="175">
        <f>INDEX('ROTT TO SING'!$A$8:$H$25,MATCH(MAIN!B59,'ROTT TO SING'!$A$8:$A$25,0),6)</f>
        <v>2.0370370370370372</v>
      </c>
      <c r="D59" s="176">
        <f>INDEX('ROTT TO SING'!$A$8:$H$25,MATCH(MAIN!B59,'ROTT TO SING'!$A$8:$A$25,0),8)</f>
        <v>2.0370370370370372</v>
      </c>
      <c r="E59" s="177" t="s">
        <v>55</v>
      </c>
      <c r="F59" s="175">
        <f>INDEX('ROTT TO SING'!$J$8:$S$25,MATCH(MAIN!E59,'ROTT TO SING'!$J$8:$J$25,0),6)</f>
        <v>2.6833333333333331</v>
      </c>
      <c r="G59" s="178">
        <f>INDEX('ROTT TO SING'!$J$8:$S$25,MATCH(MAIN!E59,'ROTT TO SING'!$J$8:$J$25,0),8)</f>
        <v>2.6833333333333331</v>
      </c>
      <c r="H59" s="176">
        <f>INDEX('ROTT TO SING'!$J$8:$S$25,MATCH(MAIN!E59,'ROTT TO SING'!$J$8:$J$25,0),10)</f>
        <v>2.6833333333333331</v>
      </c>
      <c r="I59" s="179" t="s">
        <v>55</v>
      </c>
      <c r="J59" s="178">
        <f>INDEX('ROTT TO SING'!$U$8:$AD$25,MATCH(MAIN!I59,'ROTT TO AG'!$L$6:$L$23,0),6)</f>
        <v>2.1683673469387754</v>
      </c>
      <c r="K59" s="178">
        <f>INDEX('ROTT TO SING'!$U$8:$AD$25,MATCH(MAIN!I59,'ROTT TO AG'!$L$6:$L$23,0),8)</f>
        <v>2.1683673469387754</v>
      </c>
      <c r="L59" s="176">
        <f>INDEX('ROTT TO SING'!$U$8:$AD$25,MATCH(MAIN!I59,'ROTT TO AG'!$L$6:$L$23,0),10)</f>
        <v>2.1683673469387754</v>
      </c>
      <c r="M59" s="155"/>
    </row>
    <row r="60" spans="1:13" hidden="1" outlineLevel="1" x14ac:dyDescent="0.25">
      <c r="A60" s="155"/>
      <c r="B60" s="167" t="s">
        <v>56</v>
      </c>
      <c r="C60" s="175">
        <f>INDEX('ROTT TO SING'!$A$8:$H$25,MATCH(MAIN!B60,'ROTT TO SING'!$A$8:$A$25,0),6)</f>
        <v>3.1481481481481478E-2</v>
      </c>
      <c r="D60" s="176">
        <f>INDEX('ROTT TO SING'!$A$8:$H$25,MATCH(MAIN!B60,'ROTT TO SING'!$A$8:$A$25,0),8)</f>
        <v>3.1481481481481478E-2</v>
      </c>
      <c r="E60" s="177" t="s">
        <v>56</v>
      </c>
      <c r="F60" s="175">
        <f>INDEX('ROTT TO SING'!$J$8:$S$25,MATCH(MAIN!E60,'ROTT TO SING'!$J$8:$J$25,0),6)</f>
        <v>5.6666666666666664E-2</v>
      </c>
      <c r="G60" s="178">
        <f>INDEX('ROTT TO SING'!$J$8:$S$25,MATCH(MAIN!E60,'ROTT TO SING'!$J$8:$J$25,0),8)</f>
        <v>5.6666666666666664E-2</v>
      </c>
      <c r="H60" s="176">
        <f>INDEX('ROTT TO SING'!$J$8:$S$25,MATCH(MAIN!E60,'ROTT TO SING'!$J$8:$J$25,0),10)</f>
        <v>5.6666666666666664E-2</v>
      </c>
      <c r="I60" s="179" t="s">
        <v>56</v>
      </c>
      <c r="J60" s="178">
        <f>INDEX('ROTT TO SING'!$U$8:$AD$25,MATCH(MAIN!I60,'ROTT TO AG'!$L$6:$L$23,0),6)</f>
        <v>8.673469387755102E-2</v>
      </c>
      <c r="K60" s="178">
        <f>INDEX('ROTT TO SING'!$U$8:$AD$25,MATCH(MAIN!I60,'ROTT TO AG'!$L$6:$L$23,0),8)</f>
        <v>8.673469387755102E-2</v>
      </c>
      <c r="L60" s="176">
        <f>INDEX('ROTT TO SING'!$U$8:$AD$25,MATCH(MAIN!I60,'ROTT TO AG'!$L$6:$L$23,0),10)</f>
        <v>8.673469387755102E-2</v>
      </c>
      <c r="M60" s="155"/>
    </row>
    <row r="61" spans="1:13" hidden="1" outlineLevel="1" x14ac:dyDescent="0.25">
      <c r="A61" s="155"/>
      <c r="B61" s="167" t="s">
        <v>124</v>
      </c>
      <c r="C61" s="175">
        <f>INDEX('ROTT TO SING'!$A$8:$H$25,MATCH(MAIN!B61,'ROTT TO SING'!$A$8:$A$25,0),6)</f>
        <v>9.2592592592592587E-2</v>
      </c>
      <c r="D61" s="176">
        <f>INDEX('ROTT TO SING'!$A$8:$H$25,MATCH(MAIN!B61,'ROTT TO SING'!$A$8:$A$25,0),8)</f>
        <v>9.2592592592592587E-2</v>
      </c>
      <c r="E61" s="177" t="s">
        <v>124</v>
      </c>
      <c r="F61" s="175">
        <f>INDEX('ROTT TO SING'!$J$8:$S$25,MATCH(MAIN!E61,'ROTT TO SING'!$J$8:$J$25,0),6)</f>
        <v>0.16666666666666666</v>
      </c>
      <c r="G61" s="178">
        <f>INDEX('ROTT TO SING'!$J$8:$S$25,MATCH(MAIN!E61,'ROTT TO SING'!$J$8:$J$25,0),8)</f>
        <v>0.16666666666666666</v>
      </c>
      <c r="H61" s="176">
        <f>INDEX('ROTT TO SING'!$J$8:$S$25,MATCH(MAIN!E61,'ROTT TO SING'!$J$8:$J$25,0),10)</f>
        <v>0.16666666666666666</v>
      </c>
      <c r="I61" s="179" t="s">
        <v>124</v>
      </c>
      <c r="J61" s="178">
        <f>INDEX('ROTT TO SING'!$U$8:$AD$25,MATCH(MAIN!I61,'ROTT TO AG'!$L$6:$L$23,0),6)</f>
        <v>0.25510204081632654</v>
      </c>
      <c r="K61" s="178">
        <f>INDEX('ROTT TO SING'!$U$8:$AD$25,MATCH(MAIN!I61,'ROTT TO AG'!$L$6:$L$23,0),8)</f>
        <v>0.25510204081632654</v>
      </c>
      <c r="L61" s="176">
        <f>INDEX('ROTT TO SING'!$U$8:$AD$25,MATCH(MAIN!I61,'ROTT TO AG'!$L$6:$L$23,0),10)</f>
        <v>0.25510204081632654</v>
      </c>
      <c r="M61" s="155"/>
    </row>
    <row r="62" spans="1:13" hidden="1" outlineLevel="1" x14ac:dyDescent="0.25">
      <c r="A62" s="155"/>
      <c r="B62" s="167" t="s">
        <v>125</v>
      </c>
      <c r="C62" s="175">
        <f>INDEX('ROTT TO SING'!$A$8:$H$25,MATCH(MAIN!B62,'ROTT TO SING'!$A$8:$A$25,0),6)</f>
        <v>9.2592592592592587E-2</v>
      </c>
      <c r="D62" s="176">
        <f>INDEX('ROTT TO SING'!$A$8:$H$25,MATCH(MAIN!B62,'ROTT TO SING'!$A$8:$A$25,0),8)</f>
        <v>9.2592592592592587E-2</v>
      </c>
      <c r="E62" s="177" t="s">
        <v>125</v>
      </c>
      <c r="F62" s="175">
        <f>INDEX('ROTT TO SING'!$J$8:$S$25,MATCH(MAIN!E62,'ROTT TO SING'!$J$8:$J$25,0),6)</f>
        <v>0.16666666666666666</v>
      </c>
      <c r="G62" s="178">
        <f>INDEX('ROTT TO SING'!$J$8:$S$25,MATCH(MAIN!E62,'ROTT TO SING'!$J$8:$J$25,0),8)</f>
        <v>0.16666666666666666</v>
      </c>
      <c r="H62" s="176">
        <f>INDEX('ROTT TO SING'!$J$8:$S$25,MATCH(MAIN!E62,'ROTT TO SING'!$J$8:$J$25,0),10)</f>
        <v>0.16666666666666666</v>
      </c>
      <c r="I62" s="179" t="s">
        <v>125</v>
      </c>
      <c r="J62" s="178">
        <f>INDEX('ROTT TO SING'!$U$8:$AD$25,MATCH(MAIN!I62,'ROTT TO AG'!$L$6:$L$23,0),6)</f>
        <v>0.25510204081632654</v>
      </c>
      <c r="K62" s="178">
        <f>INDEX('ROTT TO SING'!$U$8:$AD$25,MATCH(MAIN!I62,'ROTT TO AG'!$L$6:$L$23,0),8)</f>
        <v>0.25510204081632654</v>
      </c>
      <c r="L62" s="176">
        <f>INDEX('ROTT TO SING'!$U$8:$AD$25,MATCH(MAIN!I62,'ROTT TO AG'!$L$6:$L$23,0),10)</f>
        <v>0.25510204081632654</v>
      </c>
      <c r="M62" s="155"/>
    </row>
    <row r="63" spans="1:13" hidden="1" outlineLevel="1" x14ac:dyDescent="0.25">
      <c r="A63" s="155"/>
      <c r="B63" s="167" t="s">
        <v>81</v>
      </c>
      <c r="C63" s="175">
        <f ca="1">INDEX('ROTT TO SING'!$A$8:$H$25,MATCH(MAIN!B63,'ROTT TO SING'!$A$8:$A$25,0),6)</f>
        <v>4.005431998213222</v>
      </c>
      <c r="D63" s="176">
        <f ca="1">INDEX('ROTT TO SING'!$A$8:$H$25,MATCH(MAIN!B63,'ROTT TO SING'!$A$8:$A$25,0),8)</f>
        <v>3.9715278886241805</v>
      </c>
      <c r="E63" s="177" t="s">
        <v>81</v>
      </c>
      <c r="F63" s="175">
        <f ca="1">INDEX('ROTT TO SING'!$J$8:$S$25,MATCH(MAIN!E63,'ROTT TO SING'!$J$8:$J$25,0),6)</f>
        <v>4.005431998213222</v>
      </c>
      <c r="G63" s="178">
        <f ca="1">INDEX('ROTT TO SING'!$J$8:$S$25,MATCH(MAIN!E63,'ROTT TO SING'!$J$8:$J$25,0),8)</f>
        <v>3.9715278886241805</v>
      </c>
      <c r="H63" s="176">
        <f ca="1">INDEX('ROTT TO SING'!$J$8:$S$25,MATCH(MAIN!E63,'ROTT TO SING'!$J$8:$J$25,0),10)</f>
        <v>3.9715278886241805</v>
      </c>
      <c r="I63" s="179" t="s">
        <v>81</v>
      </c>
      <c r="J63" s="178">
        <f ca="1">INDEX('ROTT TO SING'!$U$8:$AD$25,MATCH(MAIN!I63,'ROTT TO AG'!$L$6:$L$23,0),6)</f>
        <v>4.005431998213222</v>
      </c>
      <c r="K63" s="178">
        <f ca="1">INDEX('ROTT TO SING'!$U$8:$AD$25,MATCH(MAIN!I63,'ROTT TO AG'!$L$6:$L$23,0),8)</f>
        <v>3.9715278886241805</v>
      </c>
      <c r="L63" s="176">
        <f ca="1">INDEX('ROTT TO SING'!$U$8:$AD$25,MATCH(MAIN!I63,'ROTT TO AG'!$L$6:$L$23,0),10)</f>
        <v>3.9715278886241805</v>
      </c>
      <c r="M63" s="155"/>
    </row>
    <row r="64" spans="1:13" hidden="1" outlineLevel="1" x14ac:dyDescent="0.25">
      <c r="A64" s="155"/>
      <c r="B64" s="167" t="s">
        <v>57</v>
      </c>
      <c r="C64" s="175">
        <f>INDEX('ROTT TO SING'!$A$8:$H$25,MATCH(MAIN!B64,'ROTT TO SING'!$A$8:$A$25,0),6)</f>
        <v>0</v>
      </c>
      <c r="D64" s="176">
        <f>INDEX('ROTT TO SING'!$A$8:$H$25,MATCH(MAIN!B64,'ROTT TO SING'!$A$8:$A$25,0),8)</f>
        <v>0</v>
      </c>
      <c r="E64" s="177" t="s">
        <v>57</v>
      </c>
      <c r="F64" s="175">
        <f>INDEX('ROTT TO SING'!$J$8:$S$25,MATCH(MAIN!E64,'ROTT TO SING'!$J$8:$J$25,0),6)</f>
        <v>0</v>
      </c>
      <c r="G64" s="178">
        <f>INDEX('ROTT TO SING'!$J$8:$S$25,MATCH(MAIN!E64,'ROTT TO SING'!$J$8:$J$25,0),8)</f>
        <v>0</v>
      </c>
      <c r="H64" s="176">
        <f>INDEX('ROTT TO SING'!$J$8:$S$25,MATCH(MAIN!E64,'ROTT TO SING'!$J$8:$J$25,0),10)</f>
        <v>0</v>
      </c>
      <c r="I64" s="179" t="s">
        <v>57</v>
      </c>
      <c r="J64" s="178">
        <f>INDEX('ROTT TO SING'!$U$8:$AD$25,MATCH(MAIN!I64,'ROTT TO AG'!$L$6:$L$23,0),6)</f>
        <v>0</v>
      </c>
      <c r="K64" s="178">
        <f>INDEX('ROTT TO SING'!$U$8:$AD$25,MATCH(MAIN!I64,'ROTT TO AG'!$L$6:$L$23,0),8)</f>
        <v>0</v>
      </c>
      <c r="L64" s="176">
        <f>INDEX('ROTT TO SING'!$U$8:$AD$25,MATCH(MAIN!I64,'ROTT TO AG'!$L$6:$L$23,0),10)</f>
        <v>0</v>
      </c>
      <c r="M64" s="155"/>
    </row>
    <row r="65" spans="1:13" hidden="1" outlineLevel="1" x14ac:dyDescent="0.25">
      <c r="A65" s="155"/>
      <c r="B65" s="167" t="s">
        <v>58</v>
      </c>
      <c r="C65" s="175">
        <f ca="1">INDEX('ROTT TO SING'!$A$8:$H$25,MATCH(MAIN!B65,'ROTT TO SING'!$A$8:$A$25,0),6)</f>
        <v>0.33226879076086951</v>
      </c>
      <c r="D65" s="176">
        <f ca="1">INDEX('ROTT TO SING'!$A$8:$H$25,MATCH(MAIN!B65,'ROTT TO SING'!$A$8:$A$25,0),8)</f>
        <v>0.32945629076086952</v>
      </c>
      <c r="E65" s="177" t="s">
        <v>58</v>
      </c>
      <c r="F65" s="175">
        <f ca="1">INDEX('ROTT TO SING'!$J$8:$S$25,MATCH(MAIN!E65,'ROTT TO SING'!$J$8:$J$25,0),6)</f>
        <v>0.33226879076086951</v>
      </c>
      <c r="G65" s="178">
        <f ca="1">INDEX('ROTT TO SING'!$J$8:$S$25,MATCH(MAIN!E65,'ROTT TO SING'!$J$8:$J$25,0),8)</f>
        <v>0.32945629076086952</v>
      </c>
      <c r="H65" s="176">
        <f ca="1">INDEX('ROTT TO SING'!$J$8:$S$25,MATCH(MAIN!E65,'ROTT TO SING'!$J$8:$J$25,0),10)</f>
        <v>0.32945629076086952</v>
      </c>
      <c r="I65" s="179" t="s">
        <v>58</v>
      </c>
      <c r="J65" s="178">
        <f ca="1">INDEX('ROTT TO SING'!$U$8:$AD$25,MATCH(MAIN!I65,'ROTT TO AG'!$L$6:$L$23,0),6)</f>
        <v>0.33226879076086951</v>
      </c>
      <c r="K65" s="178">
        <f ca="1">INDEX('ROTT TO SING'!$U$8:$AD$25,MATCH(MAIN!I65,'ROTT TO AG'!$L$6:$L$23,0),8)</f>
        <v>0.32945629076086952</v>
      </c>
      <c r="L65" s="176">
        <f ca="1">INDEX('ROTT TO SING'!$U$8:$AD$25,MATCH(MAIN!I65,'ROTT TO AG'!$L$6:$L$23,0),10)</f>
        <v>0.32945629076086952</v>
      </c>
      <c r="M65" s="155"/>
    </row>
    <row r="66" spans="1:13" hidden="1" outlineLevel="1" x14ac:dyDescent="0.25">
      <c r="A66" s="155"/>
      <c r="B66" s="167" t="s">
        <v>59</v>
      </c>
      <c r="C66" s="175">
        <f ca="1">INDEX('ROTT TO SING'!$A$8:$H$25,MATCH(MAIN!B66,'ROTT TO SING'!$A$8:$A$25,0),6)</f>
        <v>1.15425</v>
      </c>
      <c r="D66" s="176">
        <f ca="1">INDEX('ROTT TO SING'!$A$8:$H$25,MATCH(MAIN!B66,'ROTT TO SING'!$A$8:$A$25,0),8)</f>
        <v>1.15425</v>
      </c>
      <c r="E66" s="177" t="s">
        <v>59</v>
      </c>
      <c r="F66" s="175">
        <f ca="1">INDEX('ROTT TO SING'!$J$8:$S$25,MATCH(MAIN!E66,'ROTT TO SING'!$J$8:$J$25,0),6)</f>
        <v>1.1685000000000001</v>
      </c>
      <c r="G66" s="178">
        <f ca="1">INDEX('ROTT TO SING'!$J$8:$S$25,MATCH(MAIN!E66,'ROTT TO SING'!$J$8:$J$25,0),8)</f>
        <v>1.15425</v>
      </c>
      <c r="H66" s="176">
        <f ca="1">INDEX('ROTT TO SING'!$J$8:$S$25,MATCH(MAIN!E66,'ROTT TO SING'!$J$8:$J$25,0),10)</f>
        <v>1.15425</v>
      </c>
      <c r="I66" s="179" t="s">
        <v>59</v>
      </c>
      <c r="J66" s="178">
        <f ca="1">INDEX('ROTT TO SING'!$U$8:$AD$25,MATCH(MAIN!I66,'ROTT TO AG'!$L$6:$L$23,0),6)</f>
        <v>1.1685000000000001</v>
      </c>
      <c r="K66" s="178">
        <f ca="1">INDEX('ROTT TO SING'!$U$8:$AD$25,MATCH(MAIN!I66,'ROTT TO AG'!$L$6:$L$23,0),8)</f>
        <v>1.15425</v>
      </c>
      <c r="L66" s="176">
        <f ca="1">INDEX('ROTT TO SING'!$U$8:$AD$25,MATCH(MAIN!I66,'ROTT TO AG'!$L$6:$L$23,0),10)</f>
        <v>1.15425</v>
      </c>
      <c r="M66" s="155"/>
    </row>
    <row r="67" spans="1:13" hidden="1" outlineLevel="1" x14ac:dyDescent="0.25">
      <c r="A67" s="155"/>
      <c r="B67" s="167" t="s">
        <v>60</v>
      </c>
      <c r="C67" s="175">
        <f>INDEX('ROTT TO SING'!$A$8:$H$25,MATCH(MAIN!B67,'ROTT TO SING'!$A$8:$A$25,0),6)</f>
        <v>4.6296296296296294E-2</v>
      </c>
      <c r="D67" s="176">
        <f>INDEX('ROTT TO SING'!$A$8:$H$25,MATCH(MAIN!B67,'ROTT TO SING'!$A$8:$A$25,0),8)</f>
        <v>4.6296296296296294E-2</v>
      </c>
      <c r="E67" s="177" t="s">
        <v>60</v>
      </c>
      <c r="F67" s="175">
        <f>INDEX('ROTT TO SING'!$J$8:$S$25,MATCH(MAIN!E67,'ROTT TO SING'!$J$8:$J$25,0),6)</f>
        <v>8.3333333333333329E-2</v>
      </c>
      <c r="G67" s="178">
        <f>INDEX('ROTT TO SING'!$J$8:$S$25,MATCH(MAIN!E67,'ROTT TO SING'!$J$8:$J$25,0),8)</f>
        <v>8.3333333333333329E-2</v>
      </c>
      <c r="H67" s="176">
        <f>INDEX('ROTT TO SING'!$J$8:$S$25,MATCH(MAIN!E67,'ROTT TO SING'!$J$8:$J$25,0),10)</f>
        <v>8.3333333333333329E-2</v>
      </c>
      <c r="I67" s="179" t="s">
        <v>60</v>
      </c>
      <c r="J67" s="178">
        <f>INDEX('ROTT TO SING'!$U$8:$AD$25,MATCH(MAIN!I67,'ROTT TO AG'!$L$6:$L$23,0),6)</f>
        <v>0.12755102040816327</v>
      </c>
      <c r="K67" s="178">
        <f>INDEX('ROTT TO SING'!$U$8:$AD$25,MATCH(MAIN!I67,'ROTT TO AG'!$L$6:$L$23,0),8)</f>
        <v>0.12755102040816327</v>
      </c>
      <c r="L67" s="176">
        <f>INDEX('ROTT TO SING'!$U$8:$AD$25,MATCH(MAIN!I67,'ROTT TO AG'!$L$6:$L$23,0),10)</f>
        <v>0.12755102040816327</v>
      </c>
      <c r="M67" s="155"/>
    </row>
    <row r="68" spans="1:13" hidden="1" outlineLevel="1" x14ac:dyDescent="0.25">
      <c r="A68" s="155"/>
      <c r="B68" s="167" t="s">
        <v>61</v>
      </c>
      <c r="C68" s="175">
        <f>INDEX('ROTT TO SING'!$A$8:$H$25,MATCH(MAIN!B68,'ROTT TO SING'!$A$8:$A$25,0),6)</f>
        <v>4.6296296296296294E-3</v>
      </c>
      <c r="D68" s="176">
        <f>INDEX('ROTT TO SING'!$A$8:$H$25,MATCH(MAIN!B68,'ROTT TO SING'!$A$8:$A$25,0),8)</f>
        <v>4.6296296296296294E-3</v>
      </c>
      <c r="E68" s="177" t="s">
        <v>61</v>
      </c>
      <c r="F68" s="175">
        <f>INDEX('ROTT TO SING'!$J$8:$S$25,MATCH(MAIN!E68,'ROTT TO SING'!$J$8:$J$25,0),6)</f>
        <v>8.3333333333333332E-3</v>
      </c>
      <c r="G68" s="178">
        <f>INDEX('ROTT TO SING'!$J$8:$S$25,MATCH(MAIN!E68,'ROTT TO SING'!$J$8:$J$25,0),8)</f>
        <v>8.3333333333333332E-3</v>
      </c>
      <c r="H68" s="176">
        <f>INDEX('ROTT TO SING'!$J$8:$S$25,MATCH(MAIN!E68,'ROTT TO SING'!$J$8:$J$25,0),10)</f>
        <v>8.3333333333333332E-3</v>
      </c>
      <c r="I68" s="179" t="s">
        <v>61</v>
      </c>
      <c r="J68" s="178">
        <f>INDEX('ROTT TO SING'!$U$8:$AD$25,MATCH(MAIN!I68,'ROTT TO AG'!$L$6:$L$23,0),6)</f>
        <v>1.2755102040816327E-2</v>
      </c>
      <c r="K68" s="178">
        <f>INDEX('ROTT TO SING'!$U$8:$AD$25,MATCH(MAIN!I68,'ROTT TO AG'!$L$6:$L$23,0),8)</f>
        <v>1.2755102040816327E-2</v>
      </c>
      <c r="L68" s="176">
        <f>INDEX('ROTT TO SING'!$U$8:$AD$25,MATCH(MAIN!I68,'ROTT TO AG'!$L$6:$L$23,0),10)</f>
        <v>1.2755102040816327E-2</v>
      </c>
      <c r="M68" s="155"/>
    </row>
    <row r="69" spans="1:13" hidden="1" outlineLevel="1" x14ac:dyDescent="0.25">
      <c r="A69" s="155"/>
      <c r="B69" s="167" t="s">
        <v>62</v>
      </c>
      <c r="C69" s="175">
        <f>INDEX('ROTT TO SING'!$A$8:$H$25,MATCH(MAIN!B69,'ROTT TO SING'!$A$8:$A$25,0),6)</f>
        <v>4.6296296296296294E-3</v>
      </c>
      <c r="D69" s="176">
        <f>INDEX('ROTT TO SING'!$A$8:$H$25,MATCH(MAIN!B69,'ROTT TO SING'!$A$8:$A$25,0),8)</f>
        <v>4.6296296296296294E-3</v>
      </c>
      <c r="E69" s="177" t="s">
        <v>62</v>
      </c>
      <c r="F69" s="175">
        <f>INDEX('ROTT TO SING'!$J$8:$S$25,MATCH(MAIN!E69,'ROTT TO SING'!$J$8:$J$25,0),6)</f>
        <v>8.3333333333333332E-3</v>
      </c>
      <c r="G69" s="178">
        <f>INDEX('ROTT TO SING'!$J$8:$S$25,MATCH(MAIN!E69,'ROTT TO SING'!$J$8:$J$25,0),8)</f>
        <v>8.3333333333333332E-3</v>
      </c>
      <c r="H69" s="176">
        <f>INDEX('ROTT TO SING'!$J$8:$S$25,MATCH(MAIN!E69,'ROTT TO SING'!$J$8:$J$25,0),10)</f>
        <v>8.3333333333333332E-3</v>
      </c>
      <c r="I69" s="179" t="s">
        <v>62</v>
      </c>
      <c r="J69" s="178">
        <f>INDEX('ROTT TO SING'!$U$8:$AD$25,MATCH(MAIN!I69,'ROTT TO AG'!$L$6:$L$23,0),6)</f>
        <v>1.2755102040816327E-2</v>
      </c>
      <c r="K69" s="178">
        <f>INDEX('ROTT TO SING'!$U$8:$AD$25,MATCH(MAIN!I69,'ROTT TO AG'!$L$6:$L$23,0),8)</f>
        <v>1.2755102040816327E-2</v>
      </c>
      <c r="L69" s="176">
        <f>INDEX('ROTT TO SING'!$U$8:$AD$25,MATCH(MAIN!I69,'ROTT TO AG'!$L$6:$L$23,0),10)</f>
        <v>1.2755102040816327E-2</v>
      </c>
      <c r="M69" s="155"/>
    </row>
    <row r="70" spans="1:13" hidden="1" outlineLevel="1" x14ac:dyDescent="0.25">
      <c r="A70" s="155"/>
      <c r="B70" s="167" t="s">
        <v>63</v>
      </c>
      <c r="C70" s="175">
        <f>INDEX('ROTT TO SING'!$A$8:$H$25,MATCH(MAIN!B70,'ROTT TO SING'!$A$8:$A$25,0),6)</f>
        <v>7.407407407407407E-2</v>
      </c>
      <c r="D70" s="176">
        <f>INDEX('ROTT TO SING'!$A$8:$H$25,MATCH(MAIN!B70,'ROTT TO SING'!$A$8:$A$25,0),8)</f>
        <v>7.407407407407407E-2</v>
      </c>
      <c r="E70" s="177" t="s">
        <v>63</v>
      </c>
      <c r="F70" s="175">
        <f>INDEX('ROTT TO SING'!$J$8:$S$25,MATCH(MAIN!E70,'ROTT TO SING'!$J$8:$J$25,0),6)</f>
        <v>0.1</v>
      </c>
      <c r="G70" s="178">
        <f>INDEX('ROTT TO SING'!$J$8:$S$25,MATCH(MAIN!E70,'ROTT TO SING'!$J$8:$J$25,0),8)</f>
        <v>0.1</v>
      </c>
      <c r="H70" s="176">
        <f>INDEX('ROTT TO SING'!$J$8:$S$25,MATCH(MAIN!E70,'ROTT TO SING'!$J$8:$J$25,0),10)</f>
        <v>0.1</v>
      </c>
      <c r="I70" s="179" t="s">
        <v>63</v>
      </c>
      <c r="J70" s="178">
        <f>INDEX('ROTT TO SING'!$U$8:$AD$25,MATCH(MAIN!I70,'ROTT TO AG'!$L$6:$L$23,0),6)</f>
        <v>0.15306122448979592</v>
      </c>
      <c r="K70" s="178">
        <f>INDEX('ROTT TO SING'!$U$8:$AD$25,MATCH(MAIN!I70,'ROTT TO AG'!$L$6:$L$23,0),8)</f>
        <v>0.15306122448979592</v>
      </c>
      <c r="L70" s="176">
        <f>INDEX('ROTT TO SING'!$U$8:$AD$25,MATCH(MAIN!I70,'ROTT TO AG'!$L$6:$L$23,0),10)</f>
        <v>0.15306122448979592</v>
      </c>
      <c r="M70" s="155"/>
    </row>
    <row r="71" spans="1:13" hidden="1" outlineLevel="1" x14ac:dyDescent="0.25">
      <c r="A71" s="155"/>
      <c r="B71" s="167" t="s">
        <v>64</v>
      </c>
      <c r="C71" s="175">
        <f>INDEX('ROTT TO SING'!$A$8:$H$25,MATCH(MAIN!B71,'ROTT TO SING'!$A$8:$A$25,0),6)</f>
        <v>3.7037037037037035E-2</v>
      </c>
      <c r="D71" s="176">
        <f>INDEX('ROTT TO SING'!$A$8:$H$25,MATCH(MAIN!B71,'ROTT TO SING'!$A$8:$A$25,0),8)</f>
        <v>3.7037037037037035E-2</v>
      </c>
      <c r="E71" s="177" t="s">
        <v>64</v>
      </c>
      <c r="F71" s="175">
        <f>INDEX('ROTT TO SING'!$J$8:$S$25,MATCH(MAIN!E71,'ROTT TO SING'!$J$8:$J$25,0),6)</f>
        <v>6.6666666666666666E-2</v>
      </c>
      <c r="G71" s="178">
        <f>INDEX('ROTT TO SING'!$J$8:$S$25,MATCH(MAIN!E71,'ROTT TO SING'!$J$8:$J$25,0),8)</f>
        <v>6.6666666666666666E-2</v>
      </c>
      <c r="H71" s="176">
        <f>INDEX('ROTT TO SING'!$J$8:$S$25,MATCH(MAIN!E71,'ROTT TO SING'!$J$8:$J$25,0),10)</f>
        <v>6.6666666666666666E-2</v>
      </c>
      <c r="I71" s="179" t="s">
        <v>64</v>
      </c>
      <c r="J71" s="178">
        <f>INDEX('ROTT TO SING'!$U$8:$AD$25,MATCH(MAIN!I71,'ROTT TO AG'!$L$6:$L$23,0),6)</f>
        <v>0.10204081632653061</v>
      </c>
      <c r="K71" s="178">
        <f>INDEX('ROTT TO SING'!$U$8:$AD$25,MATCH(MAIN!I71,'ROTT TO AG'!$L$6:$L$23,0),8)</f>
        <v>0.10204081632653061</v>
      </c>
      <c r="L71" s="176">
        <f>INDEX('ROTT TO SING'!$U$8:$AD$25,MATCH(MAIN!I71,'ROTT TO AG'!$L$6:$L$23,0),10)</f>
        <v>0.10204081632653061</v>
      </c>
      <c r="M71" s="155"/>
    </row>
    <row r="72" spans="1:13" hidden="1" outlineLevel="1" x14ac:dyDescent="0.25">
      <c r="A72" s="155"/>
      <c r="B72" s="167" t="s">
        <v>100</v>
      </c>
      <c r="C72" s="175">
        <f ca="1">INDEX('ROTT TO SING'!$A$8:$H$25,MATCH(MAIN!B72,'ROTT TO SING'!$A$8:$A$25,0),6)</f>
        <v>28.653061900085206</v>
      </c>
      <c r="D72" s="176">
        <f ca="1">INDEX('ROTT TO SING'!$A$8:$H$25,MATCH(MAIN!B72,'ROTT TO SING'!$A$8:$A$25,0),8)</f>
        <v>28.616345290496163</v>
      </c>
      <c r="E72" s="177" t="s">
        <v>100</v>
      </c>
      <c r="F72" s="175">
        <f ca="1">INDEX('ROTT TO SING'!$J$8:$S$25,MATCH(MAIN!E72,'ROTT TO SING'!$J$8:$J$25,0),6)</f>
        <v>42.846200788974095</v>
      </c>
      <c r="G72" s="178">
        <f ca="1">INDEX('ROTT TO SING'!$J$8:$S$25,MATCH(MAIN!E72,'ROTT TO SING'!$J$8:$J$25,0),8)</f>
        <v>42.795234179385041</v>
      </c>
      <c r="H72" s="176">
        <f ca="1">INDEX('ROTT TO SING'!$J$8:$S$25,MATCH(MAIN!E72,'ROTT TO SING'!$J$8:$J$25,0),10)</f>
        <v>42.795234179385041</v>
      </c>
      <c r="I72" s="179" t="s">
        <v>100</v>
      </c>
      <c r="J72" s="178">
        <f ca="1">INDEX('ROTT TO SING'!$U$8:$AD$25,MATCH(MAIN!I72,'ROTT TO AG'!$L$6:$L$23,0),6)</f>
        <v>55.618445686933271</v>
      </c>
      <c r="K72" s="178">
        <f ca="1">INDEX('ROTT TO SING'!$U$8:$AD$25,MATCH(MAIN!I72,'ROTT TO AG'!$L$6:$L$23,0),8)</f>
        <v>55.567479077344217</v>
      </c>
      <c r="L72" s="176">
        <f ca="1">INDEX('ROTT TO SING'!$U$8:$AD$25,MATCH(MAIN!I72,'ROTT TO AG'!$L$6:$L$23,0),10)</f>
        <v>55.567479077344217</v>
      </c>
      <c r="M72" s="155"/>
    </row>
    <row r="73" spans="1:13" hidden="1" outlineLevel="1" x14ac:dyDescent="0.25">
      <c r="A73" s="155"/>
      <c r="B73" s="167" t="s">
        <v>101</v>
      </c>
      <c r="C73" s="175">
        <f ca="1">INDEX('ROTT TO SING'!$A$8:$H$25,MATCH(MAIN!B73,'ROTT TO SING'!$A$8:$A$25,0),6)</f>
        <v>27.906428571428648</v>
      </c>
      <c r="D73" s="176">
        <f ca="1">INDEX('ROTT TO SING'!$A$8:$H$25,MATCH(MAIN!B73,'ROTT TO SING'!$A$8:$A$25,0),8)</f>
        <v>29.192142857142933</v>
      </c>
      <c r="E73" s="177" t="s">
        <v>101</v>
      </c>
      <c r="F73" s="175">
        <f ca="1">INDEX('ROTT TO SING'!$J$8:$S$25,MATCH(MAIN!E73,'ROTT TO SING'!$J$8:$J$25,0),6)</f>
        <v>27.293333333333411</v>
      </c>
      <c r="G73" s="178">
        <f ca="1">INDEX('ROTT TO SING'!$J$8:$S$25,MATCH(MAIN!E73,'ROTT TO SING'!$J$8:$J$25,0),8)</f>
        <v>28.672962962963041</v>
      </c>
      <c r="H73" s="176">
        <f ca="1">INDEX('ROTT TO SING'!$J$8:$S$25,MATCH(MAIN!E73,'ROTT TO SING'!$J$8:$J$25,0),10)</f>
        <v>29.598888888888968</v>
      </c>
      <c r="I73" s="179" t="s">
        <v>101</v>
      </c>
      <c r="J73" s="178">
        <f ca="1">INDEX('ROTT TO SING'!$U$8:$AD$25,MATCH(MAIN!I73,'ROTT TO AG'!$L$6:$L$23,0),6)</f>
        <v>27.293333333333411</v>
      </c>
      <c r="K73" s="178">
        <f ca="1">INDEX('ROTT TO SING'!$U$8:$AD$25,MATCH(MAIN!I73,'ROTT TO AG'!$L$6:$L$23,0),8)</f>
        <v>28.672962962963041</v>
      </c>
      <c r="L73" s="176">
        <f ca="1">INDEX('ROTT TO SING'!$U$8:$AD$25,MATCH(MAIN!I73,'ROTT TO AG'!$L$6:$L$23,0),10)</f>
        <v>29.598888888888968</v>
      </c>
      <c r="M73" s="155"/>
    </row>
    <row r="74" spans="1:13" hidden="1" outlineLevel="1" x14ac:dyDescent="0.25">
      <c r="A74" s="155"/>
      <c r="B74" s="167" t="s">
        <v>113</v>
      </c>
      <c r="C74" s="175">
        <f ca="1">INDEX('ROTT TO SING'!$A$8:$H$25,MATCH(MAIN!B74,'ROTT TO SING'!$A$8:$A$25,0),6)</f>
        <v>-0.74663332865655718</v>
      </c>
      <c r="D74" s="176">
        <f ca="1">INDEX('ROTT TO SING'!$A$8:$H$25,MATCH(MAIN!B74,'ROTT TO SING'!$A$8:$A$25,0),8)</f>
        <v>0.57579756664677006</v>
      </c>
      <c r="E74" s="177" t="s">
        <v>113</v>
      </c>
      <c r="F74" s="175">
        <f ca="1">INDEX('ROTT TO SING'!$J$8:$S$25,MATCH(MAIN!E74,'ROTT TO SING'!$J$8:$J$25,0),6)</f>
        <v>-15.552867455640683</v>
      </c>
      <c r="G74" s="178">
        <f ca="1">INDEX('ROTT TO SING'!$J$8:$S$25,MATCH(MAIN!E74,'ROTT TO SING'!$J$8:$J$25,0),8)</f>
        <v>-14.122271216422</v>
      </c>
      <c r="H74" s="176">
        <f ca="1">INDEX('ROTT TO SING'!$J$8:$S$25,MATCH(MAIN!E74,'ROTT TO SING'!$J$8:$J$25,0),10)</f>
        <v>-13.196345290496073</v>
      </c>
      <c r="I74" s="179" t="s">
        <v>113</v>
      </c>
      <c r="J74" s="178">
        <f ca="1">INDEX('ROTT TO SING'!$U$8:$AD$25,MATCH(MAIN!I74,'ROTT TO AG'!$L$6:$L$23,0),6)</f>
        <v>-28.325112353599859</v>
      </c>
      <c r="K74" s="178">
        <f ca="1">INDEX('ROTT TO SING'!$U$8:$AD$25,MATCH(MAIN!I74,'ROTT TO AG'!$L$6:$L$23,0),8)</f>
        <v>-26.894516114381176</v>
      </c>
      <c r="L74" s="176">
        <f ca="1">INDEX('ROTT TO SING'!$U$8:$AD$25,MATCH(MAIN!I74,'ROTT TO AG'!$L$6:$L$23,0),10)</f>
        <v>-25.968590188455249</v>
      </c>
      <c r="M74" s="155"/>
    </row>
    <row r="75" spans="1:13" hidden="1" outlineLevel="1" x14ac:dyDescent="0.25">
      <c r="B75" s="167" t="s">
        <v>126</v>
      </c>
      <c r="C75" s="201">
        <f ca="1">C50</f>
        <v>45925</v>
      </c>
      <c r="D75" s="191">
        <f ca="1">D50</f>
        <v>45939</v>
      </c>
      <c r="E75" s="177" t="s">
        <v>126</v>
      </c>
      <c r="F75" s="201">
        <f ca="1">F50</f>
        <v>45918</v>
      </c>
      <c r="G75" s="202">
        <f ca="1">G50</f>
        <v>45932</v>
      </c>
      <c r="H75" s="203">
        <f ca="1">H50</f>
        <v>45946</v>
      </c>
      <c r="I75" s="179" t="s">
        <v>126</v>
      </c>
      <c r="J75" s="202">
        <f ca="1">J50</f>
        <v>45918</v>
      </c>
      <c r="K75" s="202">
        <f ca="1">K50</f>
        <v>45970</v>
      </c>
      <c r="L75" s="203">
        <f ca="1">L50</f>
        <v>45984</v>
      </c>
      <c r="M75" s="155"/>
    </row>
    <row r="76" spans="1:13" collapsed="1" x14ac:dyDescent="0.25">
      <c r="A76" s="366" t="s">
        <v>284</v>
      </c>
      <c r="B76" s="171"/>
      <c r="C76" s="159">
        <f ca="1">C96+C77-C78</f>
        <v>-0.74663332865655718</v>
      </c>
      <c r="D76" s="161">
        <f ca="1">D96+D77-D78</f>
        <v>0.57579756664677006</v>
      </c>
      <c r="E76" s="366"/>
      <c r="F76" s="159">
        <f ca="1">F96+F77-F78</f>
        <v>-18.072867455640683</v>
      </c>
      <c r="G76" s="160">
        <f ca="1">G96+G77-G78</f>
        <v>-16.642271216421999</v>
      </c>
      <c r="H76" s="161">
        <f ca="1">H96+H77-H78</f>
        <v>-15.716345290496072</v>
      </c>
      <c r="I76" s="165"/>
      <c r="J76" s="160">
        <f ca="1">J96+J77-J78</f>
        <v>-30.845112353599859</v>
      </c>
      <c r="K76" s="160">
        <f ca="1">K96+K77-K78</f>
        <v>-29.414516114381176</v>
      </c>
      <c r="L76" s="161">
        <f ca="1">L96+L77-L78</f>
        <v>-28.488590188455248</v>
      </c>
      <c r="M76" s="155"/>
    </row>
    <row r="77" spans="1:13" x14ac:dyDescent="0.25">
      <c r="A77" s="155"/>
      <c r="B77" s="167" t="s">
        <v>128</v>
      </c>
      <c r="C77" s="175">
        <f ca="1">INDEX(Premium!$A$2:$D$12,MATCH(MAIN!$A76,Premium!$A$2:$A$12,0),MATCH(EOMONTH(MAIN!C53,-1)+1,Premium!$A$2:$D$2,0))</f>
        <v>-1.75</v>
      </c>
      <c r="D77" s="176">
        <f ca="1">INDEX(Premium!$A$2:$D$12,MATCH(MAIN!$A76,Premium!$A$2:$A$12,0),MATCH(EOMONTH(MAIN!D53,-1)+1,Premium!$A$2:$D$2,0))</f>
        <v>-1.75</v>
      </c>
      <c r="E77" s="177" t="s">
        <v>128</v>
      </c>
      <c r="F77" s="175">
        <f ca="1">INDEX(Premium!$A$2:$D$12,MATCH(MAIN!$A76,Premium!$A$2:$A$12,0),MATCH(EOMONTH(MAIN!F53,-1)+1,Premium!$A$2:$D$2,0))</f>
        <v>-1.75</v>
      </c>
      <c r="G77" s="178">
        <f ca="1">INDEX(Premium!$A$2:$D$12,MATCH(MAIN!$A76,Premium!$A$2:$A$12,0),MATCH(EOMONTH(MAIN!G53,-1)+1,Premium!$A$2:$D$2,0))</f>
        <v>-1.75</v>
      </c>
      <c r="H77" s="176">
        <f ca="1">INDEX(Premium!$A$2:$D$12,MATCH(MAIN!$A76,Premium!$A$2:$A$12,0),MATCH(EOMONTH(MAIN!H53,-1)+1,Premium!$A$2:$D$2,0))</f>
        <v>-1.75</v>
      </c>
      <c r="I77" s="179" t="e">
        <f>INDEX(Premium!$A$2:$D$12,MATCH(MAIN!$A76,Premium!$A$2:$A$12,0),MATCH(EOMONTH(MAIN!I53,-1)+1,Premium!$A$2:$D$2,0))</f>
        <v>#NUM!</v>
      </c>
      <c r="J77" s="178">
        <f ca="1">INDEX(Premium!$A$2:$D$12,MATCH(MAIN!$A76,Premium!$A$2:$A$12,0),MATCH(EOMONTH(MAIN!J53,-1)+1,Premium!$A$2:$D$2,0))</f>
        <v>-1.75</v>
      </c>
      <c r="K77" s="178">
        <f ca="1">INDEX(Premium!$A$2:$D$12,MATCH(MAIN!$A76,Premium!$A$2:$A$12,0),MATCH(EOMONTH(MAIN!K53,-1)+1,Premium!$A$2:$D$2,0))</f>
        <v>-1.75</v>
      </c>
      <c r="L77" s="176">
        <f ca="1">INDEX(Premium!$A$2:$D$12,MATCH(MAIN!$A76,Premium!$A$2:$A$12,0),MATCH(EOMONTH(MAIN!L53,-1)+1,Premium!$A$2:$D$2,0))</f>
        <v>-1.75</v>
      </c>
      <c r="M77" s="155"/>
    </row>
    <row r="78" spans="1:13" ht="15.75" thickBot="1" x14ac:dyDescent="0.3">
      <c r="A78" s="155"/>
      <c r="B78" s="172" t="s">
        <v>127</v>
      </c>
      <c r="C78" s="180">
        <f ca="1">INDEX(Premium!$A$21:$D$29,MATCH(MAIN!$A76,Premium!$A$21:$A$29,0),MATCH(EOMONTH(MAIN!C97,-1)+1,Premium!$A$21:$D$21,0))</f>
        <v>-1.75</v>
      </c>
      <c r="D78" s="181">
        <f ca="1">INDEX(Premium!$A$21:$D$29,MATCH(MAIN!$A76,Premium!$A$21:$A$29,0),MATCH(EOMONTH(MAIN!D97,-1)+1,Premium!$A$21:$D$21,0))</f>
        <v>-1.75</v>
      </c>
      <c r="E78" s="177" t="s">
        <v>273</v>
      </c>
      <c r="F78" s="180">
        <f ca="1">INDEX(Premium!$A$21:$D$29,MATCH(MAIN!$A362,Premium!$A$21:$A$29,0),MATCH(EOMONTH(MAIN!F97,-1)+1,Premium!$A$21:$D$21,0))</f>
        <v>0.77</v>
      </c>
      <c r="G78" s="180">
        <f ca="1">INDEX(Premium!$A$21:$D$29,MATCH(MAIN!$A362,Premium!$A$21:$A$29,0),MATCH(EOMONTH(MAIN!G97,-1)+1,Premium!$A$21:$D$21,0))</f>
        <v>0.77</v>
      </c>
      <c r="H78" s="180">
        <f ca="1">INDEX(Premium!$A$21:$D$29,MATCH(MAIN!$A362,Premium!$A$21:$A$29,0),MATCH(EOMONTH(MAIN!H97,-1)+1,Premium!$A$21:$D$21,0))</f>
        <v>0.77</v>
      </c>
      <c r="I78" s="180" t="e">
        <f>INDEX(Premium!$A$21:$D$29,MATCH(MAIN!$A362,Premium!$A$21:$A$29,0),MATCH(EOMONTH(MAIN!I97,-1)+1,Premium!$A$21:$D$21,0))</f>
        <v>#VALUE!</v>
      </c>
      <c r="J78" s="180">
        <f ca="1">INDEX(Premium!$A$21:$D$29,MATCH(MAIN!$A362,Premium!$A$21:$A$29,0),MATCH(EOMONTH(MAIN!J97,-1)+1,Premium!$A$21:$D$21,0))</f>
        <v>0.77</v>
      </c>
      <c r="K78" s="180">
        <f ca="1">INDEX(Premium!$A$21:$D$29,MATCH(MAIN!$A362,Premium!$A$21:$A$29,0),MATCH(EOMONTH(MAIN!K97,-1)+1,Premium!$A$21:$D$21,0))</f>
        <v>0.77</v>
      </c>
      <c r="L78" s="180">
        <f ca="1">INDEX(Premium!$A$21:$D$29,MATCH(MAIN!$A362,Premium!$A$21:$A$29,0),MATCH(EOMONTH(MAIN!L97,-1)+1,Premium!$A$21:$D$21,0))</f>
        <v>0.77</v>
      </c>
      <c r="M78" s="155"/>
    </row>
    <row r="79" spans="1:13" hidden="1" outlineLevel="1" x14ac:dyDescent="0.25">
      <c r="A79" s="155"/>
      <c r="B79" s="155" t="s">
        <v>53</v>
      </c>
      <c r="C79" s="142">
        <f>INDEX('ROTT TO SING'!$A$8:$H$25,MATCH(MAIN!B79,'ROTT TO SING'!$A$8:$A$25,0),6)</f>
        <v>20.74074074074074</v>
      </c>
      <c r="D79" s="142">
        <f>INDEX('ROTT TO SING'!$A$8:$H$25,MATCH(MAIN!B79,'ROTT TO SING'!$A$8:$A$25,0),8)</f>
        <v>20.74074074074074</v>
      </c>
      <c r="E79" t="s">
        <v>53</v>
      </c>
      <c r="F79" s="142">
        <f>INDEX('ROTT TO SING'!$J$8:$S$25,MATCH(MAIN!E79,'ROTT TO SING'!$J$8:$J$25,0),6)</f>
        <v>34</v>
      </c>
      <c r="G79" s="142">
        <f>INDEX('ROTT TO SING'!$J$8:$S$25,MATCH(MAIN!E79,'ROTT TO SING'!$J$8:$J$25,0),8)</f>
        <v>34</v>
      </c>
      <c r="H79" s="142">
        <f>INDEX('ROTT TO SING'!$J$8:$S$25,MATCH(MAIN!E79,'ROTT TO SING'!$J$8:$J$25,0),10)</f>
        <v>34</v>
      </c>
      <c r="I79" t="s">
        <v>53</v>
      </c>
      <c r="J79" s="142">
        <f>INDEX('ROTT TO SING'!$U$8:$AD$25,MATCH(MAIN!I79,'ROTT TO AG'!$L$6:$L$23,0),6)</f>
        <v>46.938775510204081</v>
      </c>
      <c r="K79" s="142">
        <f>INDEX('ROTT TO SING'!$U$8:$AD$25,MATCH(MAIN!I79,'ROTT TO AG'!$L$6:$L$23,0),8)</f>
        <v>46.938775510204081</v>
      </c>
      <c r="L79" s="142">
        <f>INDEX('ROTT TO SING'!$U$8:$AD$25,MATCH(MAIN!I79,'ROTT TO AG'!$L$6:$L$23,0),10)</f>
        <v>46.938775510204081</v>
      </c>
      <c r="M79" s="155"/>
    </row>
    <row r="80" spans="1:13" hidden="1" outlineLevel="1" x14ac:dyDescent="0.25">
      <c r="A80" s="155"/>
      <c r="B80" s="155" t="s">
        <v>54</v>
      </c>
      <c r="C80" s="142">
        <f>INDEX('ROTT TO SING'!$A$8:$H$25,MATCH(MAIN!B80,'ROTT TO SING'!$A$8:$A$25,0),6)</f>
        <v>0</v>
      </c>
      <c r="D80" s="142">
        <f>INDEX('ROTT TO SING'!$A$8:$H$25,MATCH(MAIN!B80,'ROTT TO SING'!$A$8:$A$25,0),8)</f>
        <v>0</v>
      </c>
      <c r="E80" t="s">
        <v>54</v>
      </c>
      <c r="F80" s="142">
        <f>INDEX('ROTT TO SING'!$J$8:$S$25,MATCH(MAIN!E80,'ROTT TO SING'!$J$8:$J$25,0),6)</f>
        <v>0</v>
      </c>
      <c r="G80" s="142">
        <f>INDEX('ROTT TO SING'!$J$8:$S$25,MATCH(MAIN!E80,'ROTT TO SING'!$J$8:$J$25,0),8)</f>
        <v>0</v>
      </c>
      <c r="H80" s="142">
        <f>INDEX('ROTT TO SING'!$J$8:$S$25,MATCH(MAIN!E80,'ROTT TO SING'!$J$8:$J$25,0),10)</f>
        <v>0</v>
      </c>
      <c r="I80" t="s">
        <v>54</v>
      </c>
      <c r="J80" s="142">
        <f>INDEX('ROTT TO SING'!$U$8:$AD$25,MATCH(MAIN!I80,'ROTT TO AG'!$L$6:$L$23,0),6)</f>
        <v>0</v>
      </c>
      <c r="K80" s="142">
        <f>INDEX('ROTT TO SING'!$U$8:$AD$25,MATCH(MAIN!I80,'ROTT TO AG'!$L$6:$L$23,0),8)</f>
        <v>0</v>
      </c>
      <c r="L80" s="142">
        <f>INDEX('ROTT TO SING'!$U$8:$AD$25,MATCH(MAIN!I80,'ROTT TO AG'!$L$6:$L$23,0),10)</f>
        <v>0</v>
      </c>
      <c r="M80" s="155"/>
    </row>
    <row r="81" spans="1:13" hidden="1" outlineLevel="1" x14ac:dyDescent="0.25">
      <c r="A81" s="155"/>
      <c r="B81" s="155" t="s">
        <v>55</v>
      </c>
      <c r="C81" s="142">
        <f>INDEX('ROTT TO SING'!$A$8:$H$25,MATCH(MAIN!B81,'ROTT TO SING'!$A$8:$A$25,0),6)</f>
        <v>2.0370370370370372</v>
      </c>
      <c r="D81" s="142">
        <f>INDEX('ROTT TO SING'!$A$8:$H$25,MATCH(MAIN!B81,'ROTT TO SING'!$A$8:$A$25,0),8)</f>
        <v>2.0370370370370372</v>
      </c>
      <c r="E81" t="s">
        <v>55</v>
      </c>
      <c r="F81" s="142">
        <f>INDEX('ROTT TO SING'!$J$8:$S$25,MATCH(MAIN!E81,'ROTT TO SING'!$J$8:$J$25,0),6)</f>
        <v>2.6833333333333331</v>
      </c>
      <c r="G81" s="142">
        <f>INDEX('ROTT TO SING'!$J$8:$S$25,MATCH(MAIN!E81,'ROTT TO SING'!$J$8:$J$25,0),8)</f>
        <v>2.6833333333333331</v>
      </c>
      <c r="H81" s="142">
        <f>INDEX('ROTT TO SING'!$J$8:$S$25,MATCH(MAIN!E81,'ROTT TO SING'!$J$8:$J$25,0),10)</f>
        <v>2.6833333333333331</v>
      </c>
      <c r="I81" t="s">
        <v>55</v>
      </c>
      <c r="J81" s="142">
        <f>INDEX('ROTT TO SING'!$U$8:$AD$25,MATCH(MAIN!I81,'ROTT TO AG'!$L$6:$L$23,0),6)</f>
        <v>2.1683673469387754</v>
      </c>
      <c r="K81" s="142">
        <f>INDEX('ROTT TO SING'!$U$8:$AD$25,MATCH(MAIN!I81,'ROTT TO AG'!$L$6:$L$23,0),8)</f>
        <v>2.1683673469387754</v>
      </c>
      <c r="L81" s="142">
        <f>INDEX('ROTT TO SING'!$U$8:$AD$25,MATCH(MAIN!I81,'ROTT TO AG'!$L$6:$L$23,0),10)</f>
        <v>2.1683673469387754</v>
      </c>
      <c r="M81" s="155"/>
    </row>
    <row r="82" spans="1:13" hidden="1" outlineLevel="1" x14ac:dyDescent="0.25">
      <c r="A82" s="155"/>
      <c r="B82" s="155" t="s">
        <v>56</v>
      </c>
      <c r="C82" s="142">
        <f>INDEX('ROTT TO SING'!$A$8:$H$25,MATCH(MAIN!B82,'ROTT TO SING'!$A$8:$A$25,0),6)</f>
        <v>3.1481481481481478E-2</v>
      </c>
      <c r="D82" s="142">
        <f>INDEX('ROTT TO SING'!$A$8:$H$25,MATCH(MAIN!B82,'ROTT TO SING'!$A$8:$A$25,0),8)</f>
        <v>3.1481481481481478E-2</v>
      </c>
      <c r="E82" t="s">
        <v>56</v>
      </c>
      <c r="F82" s="142">
        <f>INDEX('ROTT TO SING'!$J$8:$S$25,MATCH(MAIN!E82,'ROTT TO SING'!$J$8:$J$25,0),6)</f>
        <v>5.6666666666666664E-2</v>
      </c>
      <c r="G82" s="142">
        <f>INDEX('ROTT TO SING'!$J$8:$S$25,MATCH(MAIN!E82,'ROTT TO SING'!$J$8:$J$25,0),8)</f>
        <v>5.6666666666666664E-2</v>
      </c>
      <c r="H82" s="142">
        <f>INDEX('ROTT TO SING'!$J$8:$S$25,MATCH(MAIN!E82,'ROTT TO SING'!$J$8:$J$25,0),10)</f>
        <v>5.6666666666666664E-2</v>
      </c>
      <c r="I82" t="s">
        <v>56</v>
      </c>
      <c r="J82" s="142">
        <f>INDEX('ROTT TO SING'!$U$8:$AD$25,MATCH(MAIN!I82,'ROTT TO AG'!$L$6:$L$23,0),6)</f>
        <v>8.673469387755102E-2</v>
      </c>
      <c r="K82" s="142">
        <f>INDEX('ROTT TO SING'!$U$8:$AD$25,MATCH(MAIN!I82,'ROTT TO AG'!$L$6:$L$23,0),8)</f>
        <v>8.673469387755102E-2</v>
      </c>
      <c r="L82" s="142">
        <f>INDEX('ROTT TO SING'!$U$8:$AD$25,MATCH(MAIN!I82,'ROTT TO AG'!$L$6:$L$23,0),10)</f>
        <v>8.673469387755102E-2</v>
      </c>
      <c r="M82" s="155"/>
    </row>
    <row r="83" spans="1:13" hidden="1" outlineLevel="1" x14ac:dyDescent="0.25">
      <c r="A83" s="155"/>
      <c r="B83" s="155" t="s">
        <v>124</v>
      </c>
      <c r="C83" s="142">
        <f>INDEX('ROTT TO SING'!$A$8:$H$25,MATCH(MAIN!B83,'ROTT TO SING'!$A$8:$A$25,0),6)</f>
        <v>9.2592592592592587E-2</v>
      </c>
      <c r="D83" s="142">
        <f>INDEX('ROTT TO SING'!$A$8:$H$25,MATCH(MAIN!B83,'ROTT TO SING'!$A$8:$A$25,0),8)</f>
        <v>9.2592592592592587E-2</v>
      </c>
      <c r="E83" t="s">
        <v>124</v>
      </c>
      <c r="F83" s="142">
        <f>INDEX('ROTT TO SING'!$J$8:$S$25,MATCH(MAIN!E83,'ROTT TO SING'!$J$8:$J$25,0),6)</f>
        <v>0.16666666666666666</v>
      </c>
      <c r="G83" s="142">
        <f>INDEX('ROTT TO SING'!$J$8:$S$25,MATCH(MAIN!E83,'ROTT TO SING'!$J$8:$J$25,0),8)</f>
        <v>0.16666666666666666</v>
      </c>
      <c r="H83" s="142">
        <f>INDEX('ROTT TO SING'!$J$8:$S$25,MATCH(MAIN!E83,'ROTT TO SING'!$J$8:$J$25,0),10)</f>
        <v>0.16666666666666666</v>
      </c>
      <c r="I83" t="s">
        <v>124</v>
      </c>
      <c r="J83" s="142">
        <f>INDEX('ROTT TO SING'!$U$8:$AD$25,MATCH(MAIN!I83,'ROTT TO AG'!$L$6:$L$23,0),6)</f>
        <v>0.25510204081632654</v>
      </c>
      <c r="K83" s="142">
        <f>INDEX('ROTT TO SING'!$U$8:$AD$25,MATCH(MAIN!I83,'ROTT TO AG'!$L$6:$L$23,0),8)</f>
        <v>0.25510204081632654</v>
      </c>
      <c r="L83" s="142">
        <f>INDEX('ROTT TO SING'!$U$8:$AD$25,MATCH(MAIN!I83,'ROTT TO AG'!$L$6:$L$23,0),10)</f>
        <v>0.25510204081632654</v>
      </c>
      <c r="M83" s="155"/>
    </row>
    <row r="84" spans="1:13" hidden="1" outlineLevel="1" x14ac:dyDescent="0.25">
      <c r="A84" s="155"/>
      <c r="B84" s="155" t="s">
        <v>125</v>
      </c>
      <c r="C84" s="142">
        <f>INDEX('ROTT TO SING'!$A$8:$H$25,MATCH(MAIN!B84,'ROTT TO SING'!$A$8:$A$25,0),6)</f>
        <v>9.2592592592592587E-2</v>
      </c>
      <c r="D84" s="142">
        <f>INDEX('ROTT TO SING'!$A$8:$H$25,MATCH(MAIN!B84,'ROTT TO SING'!$A$8:$A$25,0),8)</f>
        <v>9.2592592592592587E-2</v>
      </c>
      <c r="E84" t="s">
        <v>125</v>
      </c>
      <c r="F84" s="142">
        <f>INDEX('ROTT TO SING'!$J$8:$S$25,MATCH(MAIN!E84,'ROTT TO SING'!$J$8:$J$25,0),6)</f>
        <v>0.16666666666666666</v>
      </c>
      <c r="G84" s="142">
        <f>INDEX('ROTT TO SING'!$J$8:$S$25,MATCH(MAIN!E84,'ROTT TO SING'!$J$8:$J$25,0),8)</f>
        <v>0.16666666666666666</v>
      </c>
      <c r="H84" s="142">
        <f>INDEX('ROTT TO SING'!$J$8:$S$25,MATCH(MAIN!E84,'ROTT TO SING'!$J$8:$J$25,0),10)</f>
        <v>0.16666666666666666</v>
      </c>
      <c r="I84" t="s">
        <v>125</v>
      </c>
      <c r="J84" s="142">
        <f>INDEX('ROTT TO SING'!$U$8:$AD$25,MATCH(MAIN!I84,'ROTT TO AG'!$L$6:$L$23,0),6)</f>
        <v>0.25510204081632654</v>
      </c>
      <c r="K84" s="142">
        <f>INDEX('ROTT TO SING'!$U$8:$AD$25,MATCH(MAIN!I84,'ROTT TO AG'!$L$6:$L$23,0),8)</f>
        <v>0.25510204081632654</v>
      </c>
      <c r="L84" s="142">
        <f>INDEX('ROTT TO SING'!$U$8:$AD$25,MATCH(MAIN!I84,'ROTT TO AG'!$L$6:$L$23,0),10)</f>
        <v>0.25510204081632654</v>
      </c>
      <c r="M84" s="155"/>
    </row>
    <row r="85" spans="1:13" hidden="1" outlineLevel="1" x14ac:dyDescent="0.25">
      <c r="A85" s="155"/>
      <c r="B85" s="155" t="s">
        <v>81</v>
      </c>
      <c r="C85" s="142">
        <f ca="1">INDEX('ROTT TO SING'!$A$8:$H$25,MATCH(MAIN!B85,'ROTT TO SING'!$A$8:$A$25,0),6)</f>
        <v>4.005431998213222</v>
      </c>
      <c r="D85" s="142">
        <f ca="1">INDEX('ROTT TO SING'!$A$8:$H$25,MATCH(MAIN!B85,'ROTT TO SING'!$A$8:$A$25,0),8)</f>
        <v>3.9715278886241805</v>
      </c>
      <c r="E85" t="s">
        <v>81</v>
      </c>
      <c r="F85" s="142">
        <f ca="1">INDEX('ROTT TO SING'!$J$8:$S$25,MATCH(MAIN!E85,'ROTT TO SING'!$J$8:$J$25,0),6)</f>
        <v>4.005431998213222</v>
      </c>
      <c r="G85" s="142">
        <f ca="1">INDEX('ROTT TO SING'!$J$8:$S$25,MATCH(MAIN!E85,'ROTT TO SING'!$J$8:$J$25,0),8)</f>
        <v>3.9715278886241805</v>
      </c>
      <c r="H85" s="142">
        <f ca="1">INDEX('ROTT TO SING'!$J$8:$S$25,MATCH(MAIN!E85,'ROTT TO SING'!$J$8:$J$25,0),10)</f>
        <v>3.9715278886241805</v>
      </c>
      <c r="I85" t="s">
        <v>81</v>
      </c>
      <c r="J85" s="142">
        <f ca="1">INDEX('ROTT TO SING'!$U$8:$AD$25,MATCH(MAIN!I85,'ROTT TO AG'!$L$6:$L$23,0),6)</f>
        <v>4.005431998213222</v>
      </c>
      <c r="K85" s="142">
        <f ca="1">INDEX('ROTT TO SING'!$U$8:$AD$25,MATCH(MAIN!I85,'ROTT TO AG'!$L$6:$L$23,0),8)</f>
        <v>3.9715278886241805</v>
      </c>
      <c r="L85" s="142">
        <f ca="1">INDEX('ROTT TO SING'!$U$8:$AD$25,MATCH(MAIN!I85,'ROTT TO AG'!$L$6:$L$23,0),10)</f>
        <v>3.9715278886241805</v>
      </c>
      <c r="M85" s="155"/>
    </row>
    <row r="86" spans="1:13" hidden="1" outlineLevel="1" x14ac:dyDescent="0.25">
      <c r="A86" s="155"/>
      <c r="B86" s="155" t="s">
        <v>57</v>
      </c>
      <c r="C86" s="142">
        <f>INDEX('ROTT TO SING'!$A$8:$H$25,MATCH(MAIN!B86,'ROTT TO SING'!$A$8:$A$25,0),6)</f>
        <v>0</v>
      </c>
      <c r="D86" s="142">
        <f>INDEX('ROTT TO SING'!$A$8:$H$25,MATCH(MAIN!B86,'ROTT TO SING'!$A$8:$A$25,0),8)</f>
        <v>0</v>
      </c>
      <c r="E86" t="s">
        <v>57</v>
      </c>
      <c r="F86" s="142">
        <f>INDEX('ROTT TO SING'!$J$8:$S$25,MATCH(MAIN!E86,'ROTT TO SING'!$J$8:$J$25,0),6)</f>
        <v>0</v>
      </c>
      <c r="G86" s="142">
        <f>INDEX('ROTT TO SING'!$J$8:$S$25,MATCH(MAIN!E86,'ROTT TO SING'!$J$8:$J$25,0),8)</f>
        <v>0</v>
      </c>
      <c r="H86" s="142">
        <f>INDEX('ROTT TO SING'!$J$8:$S$25,MATCH(MAIN!E86,'ROTT TO SING'!$J$8:$J$25,0),10)</f>
        <v>0</v>
      </c>
      <c r="I86" t="s">
        <v>57</v>
      </c>
      <c r="J86" s="142">
        <f>INDEX('ROTT TO SING'!$U$8:$AD$25,MATCH(MAIN!I86,'ROTT TO AG'!$L$6:$L$23,0),6)</f>
        <v>0</v>
      </c>
      <c r="K86" s="142">
        <f>INDEX('ROTT TO SING'!$U$8:$AD$25,MATCH(MAIN!I86,'ROTT TO AG'!$L$6:$L$23,0),8)</f>
        <v>0</v>
      </c>
      <c r="L86" s="142">
        <f>INDEX('ROTT TO SING'!$U$8:$AD$25,MATCH(MAIN!I86,'ROTT TO AG'!$L$6:$L$23,0),10)</f>
        <v>0</v>
      </c>
      <c r="M86" s="155"/>
    </row>
    <row r="87" spans="1:13" hidden="1" outlineLevel="1" x14ac:dyDescent="0.25">
      <c r="A87" s="155"/>
      <c r="B87" s="155" t="s">
        <v>58</v>
      </c>
      <c r="C87" s="142">
        <f ca="1">INDEX('ROTT TO SING'!$A$8:$H$25,MATCH(MAIN!B87,'ROTT TO SING'!$A$8:$A$25,0),6)</f>
        <v>0.33226879076086951</v>
      </c>
      <c r="D87" s="142">
        <f ca="1">INDEX('ROTT TO SING'!$A$8:$H$25,MATCH(MAIN!B87,'ROTT TO SING'!$A$8:$A$25,0),8)</f>
        <v>0.32945629076086952</v>
      </c>
      <c r="E87" t="s">
        <v>58</v>
      </c>
      <c r="F87" s="142">
        <f ca="1">INDEX('ROTT TO SING'!$J$8:$S$25,MATCH(MAIN!E87,'ROTT TO SING'!$J$8:$J$25,0),6)</f>
        <v>0.33226879076086951</v>
      </c>
      <c r="G87" s="142">
        <f ca="1">INDEX('ROTT TO SING'!$J$8:$S$25,MATCH(MAIN!E87,'ROTT TO SING'!$J$8:$J$25,0),8)</f>
        <v>0.32945629076086952</v>
      </c>
      <c r="H87" s="142">
        <f ca="1">INDEX('ROTT TO SING'!$J$8:$S$25,MATCH(MAIN!E87,'ROTT TO SING'!$J$8:$J$25,0),10)</f>
        <v>0.32945629076086952</v>
      </c>
      <c r="I87" t="s">
        <v>58</v>
      </c>
      <c r="J87" s="142">
        <f ca="1">INDEX('ROTT TO SING'!$U$8:$AD$25,MATCH(MAIN!I87,'ROTT TO AG'!$L$6:$L$23,0),6)</f>
        <v>0.33226879076086951</v>
      </c>
      <c r="K87" s="142">
        <f ca="1">INDEX('ROTT TO SING'!$U$8:$AD$25,MATCH(MAIN!I87,'ROTT TO AG'!$L$6:$L$23,0),8)</f>
        <v>0.32945629076086952</v>
      </c>
      <c r="L87" s="142">
        <f ca="1">INDEX('ROTT TO SING'!$U$8:$AD$25,MATCH(MAIN!I87,'ROTT TO AG'!$L$6:$L$23,0),10)</f>
        <v>0.32945629076086952</v>
      </c>
      <c r="M87" s="155"/>
    </row>
    <row r="88" spans="1:13" hidden="1" outlineLevel="1" x14ac:dyDescent="0.25">
      <c r="A88" s="155"/>
      <c r="B88" s="155" t="s">
        <v>59</v>
      </c>
      <c r="C88" s="142">
        <f ca="1">INDEX('ROTT TO SING'!$A$8:$H$25,MATCH(MAIN!B88,'ROTT TO SING'!$A$8:$A$25,0),6)</f>
        <v>1.15425</v>
      </c>
      <c r="D88" s="142">
        <f ca="1">INDEX('ROTT TO SING'!$A$8:$H$25,MATCH(MAIN!B88,'ROTT TO SING'!$A$8:$A$25,0),8)</f>
        <v>1.15425</v>
      </c>
      <c r="E88" t="s">
        <v>59</v>
      </c>
      <c r="F88" s="142">
        <f ca="1">INDEX('ROTT TO SING'!$J$8:$S$25,MATCH(MAIN!E88,'ROTT TO SING'!$J$8:$J$25,0),6)</f>
        <v>1.1685000000000001</v>
      </c>
      <c r="G88" s="142">
        <f ca="1">INDEX('ROTT TO SING'!$J$8:$S$25,MATCH(MAIN!E88,'ROTT TO SING'!$J$8:$J$25,0),8)</f>
        <v>1.15425</v>
      </c>
      <c r="H88" s="142">
        <f ca="1">INDEX('ROTT TO SING'!$J$8:$S$25,MATCH(MAIN!E88,'ROTT TO SING'!$J$8:$J$25,0),10)</f>
        <v>1.15425</v>
      </c>
      <c r="I88" t="s">
        <v>59</v>
      </c>
      <c r="J88" s="142">
        <f ca="1">INDEX('ROTT TO SING'!$U$8:$AD$25,MATCH(MAIN!I88,'ROTT TO AG'!$L$6:$L$23,0),6)</f>
        <v>1.1685000000000001</v>
      </c>
      <c r="K88" s="142">
        <f ca="1">INDEX('ROTT TO SING'!$U$8:$AD$25,MATCH(MAIN!I88,'ROTT TO AG'!$L$6:$L$23,0),8)</f>
        <v>1.15425</v>
      </c>
      <c r="L88" s="142">
        <f ca="1">INDEX('ROTT TO SING'!$U$8:$AD$25,MATCH(MAIN!I88,'ROTT TO AG'!$L$6:$L$23,0),10)</f>
        <v>1.15425</v>
      </c>
      <c r="M88" s="155"/>
    </row>
    <row r="89" spans="1:13" hidden="1" outlineLevel="1" x14ac:dyDescent="0.25">
      <c r="A89" s="155"/>
      <c r="B89" s="155" t="s">
        <v>60</v>
      </c>
      <c r="C89" s="142">
        <f>INDEX('ROTT TO SING'!$A$8:$H$25,MATCH(MAIN!B89,'ROTT TO SING'!$A$8:$A$25,0),6)</f>
        <v>4.6296296296296294E-2</v>
      </c>
      <c r="D89" s="142">
        <f>INDEX('ROTT TO SING'!$A$8:$H$25,MATCH(MAIN!B89,'ROTT TO SING'!$A$8:$A$25,0),8)</f>
        <v>4.6296296296296294E-2</v>
      </c>
      <c r="E89" t="s">
        <v>60</v>
      </c>
      <c r="F89" s="142">
        <f>INDEX('ROTT TO SING'!$J$8:$S$25,MATCH(MAIN!E89,'ROTT TO SING'!$J$8:$J$25,0),6)</f>
        <v>8.3333333333333329E-2</v>
      </c>
      <c r="G89" s="142">
        <f>INDEX('ROTT TO SING'!$J$8:$S$25,MATCH(MAIN!E89,'ROTT TO SING'!$J$8:$J$25,0),8)</f>
        <v>8.3333333333333329E-2</v>
      </c>
      <c r="H89" s="142">
        <f>INDEX('ROTT TO SING'!$J$8:$S$25,MATCH(MAIN!E89,'ROTT TO SING'!$J$8:$J$25,0),10)</f>
        <v>8.3333333333333329E-2</v>
      </c>
      <c r="I89" t="s">
        <v>60</v>
      </c>
      <c r="J89" s="142">
        <f>INDEX('ROTT TO SING'!$U$8:$AD$25,MATCH(MAIN!I89,'ROTT TO AG'!$L$6:$L$23,0),6)</f>
        <v>0.12755102040816327</v>
      </c>
      <c r="K89" s="142">
        <f>INDEX('ROTT TO SING'!$U$8:$AD$25,MATCH(MAIN!I89,'ROTT TO AG'!$L$6:$L$23,0),8)</f>
        <v>0.12755102040816327</v>
      </c>
      <c r="L89" s="142">
        <f>INDEX('ROTT TO SING'!$U$8:$AD$25,MATCH(MAIN!I89,'ROTT TO AG'!$L$6:$L$23,0),10)</f>
        <v>0.12755102040816327</v>
      </c>
      <c r="M89" s="155"/>
    </row>
    <row r="90" spans="1:13" hidden="1" outlineLevel="1" x14ac:dyDescent="0.25">
      <c r="A90" s="155"/>
      <c r="B90" s="155" t="s">
        <v>61</v>
      </c>
      <c r="C90" s="142">
        <f>INDEX('ROTT TO SING'!$A$8:$H$25,MATCH(MAIN!B90,'ROTT TO SING'!$A$8:$A$25,0),6)</f>
        <v>4.6296296296296294E-3</v>
      </c>
      <c r="D90" s="142">
        <f>INDEX('ROTT TO SING'!$A$8:$H$25,MATCH(MAIN!B90,'ROTT TO SING'!$A$8:$A$25,0),8)</f>
        <v>4.6296296296296294E-3</v>
      </c>
      <c r="E90" t="s">
        <v>61</v>
      </c>
      <c r="F90" s="142">
        <f>INDEX('ROTT TO SING'!$J$8:$S$25,MATCH(MAIN!E90,'ROTT TO SING'!$J$8:$J$25,0),6)</f>
        <v>8.3333333333333332E-3</v>
      </c>
      <c r="G90" s="142">
        <f>INDEX('ROTT TO SING'!$J$8:$S$25,MATCH(MAIN!E90,'ROTT TO SING'!$J$8:$J$25,0),8)</f>
        <v>8.3333333333333332E-3</v>
      </c>
      <c r="H90" s="142">
        <f>INDEX('ROTT TO SING'!$J$8:$S$25,MATCH(MAIN!E90,'ROTT TO SING'!$J$8:$J$25,0),10)</f>
        <v>8.3333333333333332E-3</v>
      </c>
      <c r="I90" t="s">
        <v>61</v>
      </c>
      <c r="J90" s="142">
        <f>INDEX('ROTT TO SING'!$U$8:$AD$25,MATCH(MAIN!I90,'ROTT TO AG'!$L$6:$L$23,0),6)</f>
        <v>1.2755102040816327E-2</v>
      </c>
      <c r="K90" s="142">
        <f>INDEX('ROTT TO SING'!$U$8:$AD$25,MATCH(MAIN!I90,'ROTT TO AG'!$L$6:$L$23,0),8)</f>
        <v>1.2755102040816327E-2</v>
      </c>
      <c r="L90" s="142">
        <f>INDEX('ROTT TO SING'!$U$8:$AD$25,MATCH(MAIN!I90,'ROTT TO AG'!$L$6:$L$23,0),10)</f>
        <v>1.2755102040816327E-2</v>
      </c>
      <c r="M90" s="155"/>
    </row>
    <row r="91" spans="1:13" hidden="1" outlineLevel="1" x14ac:dyDescent="0.25">
      <c r="A91" s="155"/>
      <c r="B91" s="155" t="s">
        <v>62</v>
      </c>
      <c r="C91" s="142">
        <f>INDEX('ROTT TO SING'!$A$8:$H$25,MATCH(MAIN!B91,'ROTT TO SING'!$A$8:$A$25,0),6)</f>
        <v>4.6296296296296294E-3</v>
      </c>
      <c r="D91" s="142">
        <f>INDEX('ROTT TO SING'!$A$8:$H$25,MATCH(MAIN!B91,'ROTT TO SING'!$A$8:$A$25,0),8)</f>
        <v>4.6296296296296294E-3</v>
      </c>
      <c r="E91" t="s">
        <v>62</v>
      </c>
      <c r="F91" s="142">
        <f>INDEX('ROTT TO SING'!$J$8:$S$25,MATCH(MAIN!E91,'ROTT TO SING'!$J$8:$J$25,0),6)</f>
        <v>8.3333333333333332E-3</v>
      </c>
      <c r="G91" s="142">
        <f>INDEX('ROTT TO SING'!$J$8:$S$25,MATCH(MAIN!E91,'ROTT TO SING'!$J$8:$J$25,0),8)</f>
        <v>8.3333333333333332E-3</v>
      </c>
      <c r="H91" s="142">
        <f>INDEX('ROTT TO SING'!$J$8:$S$25,MATCH(MAIN!E91,'ROTT TO SING'!$J$8:$J$25,0),10)</f>
        <v>8.3333333333333332E-3</v>
      </c>
      <c r="I91" t="s">
        <v>62</v>
      </c>
      <c r="J91" s="142">
        <f>INDEX('ROTT TO SING'!$U$8:$AD$25,MATCH(MAIN!I91,'ROTT TO AG'!$L$6:$L$23,0),6)</f>
        <v>1.2755102040816327E-2</v>
      </c>
      <c r="K91" s="142">
        <f>INDEX('ROTT TO SING'!$U$8:$AD$25,MATCH(MAIN!I91,'ROTT TO AG'!$L$6:$L$23,0),8)</f>
        <v>1.2755102040816327E-2</v>
      </c>
      <c r="L91" s="142">
        <f>INDEX('ROTT TO SING'!$U$8:$AD$25,MATCH(MAIN!I91,'ROTT TO AG'!$L$6:$L$23,0),10)</f>
        <v>1.2755102040816327E-2</v>
      </c>
      <c r="M91" s="155"/>
    </row>
    <row r="92" spans="1:13" hidden="1" outlineLevel="1" x14ac:dyDescent="0.25">
      <c r="A92" s="155"/>
      <c r="B92" s="155" t="s">
        <v>63</v>
      </c>
      <c r="C92" s="142">
        <f>INDEX('ROTT TO SING'!$A$8:$H$25,MATCH(MAIN!B92,'ROTT TO SING'!$A$8:$A$25,0),6)</f>
        <v>7.407407407407407E-2</v>
      </c>
      <c r="D92" s="142">
        <f>INDEX('ROTT TO SING'!$A$8:$H$25,MATCH(MAIN!B92,'ROTT TO SING'!$A$8:$A$25,0),8)</f>
        <v>7.407407407407407E-2</v>
      </c>
      <c r="E92" t="s">
        <v>63</v>
      </c>
      <c r="F92" s="142">
        <f>INDEX('ROTT TO SING'!$J$8:$S$25,MATCH(MAIN!E92,'ROTT TO SING'!$J$8:$J$25,0),6)</f>
        <v>0.1</v>
      </c>
      <c r="G92" s="142">
        <f>INDEX('ROTT TO SING'!$J$8:$S$25,MATCH(MAIN!E92,'ROTT TO SING'!$J$8:$J$25,0),8)</f>
        <v>0.1</v>
      </c>
      <c r="H92" s="142">
        <f>INDEX('ROTT TO SING'!$J$8:$S$25,MATCH(MAIN!E92,'ROTT TO SING'!$J$8:$J$25,0),10)</f>
        <v>0.1</v>
      </c>
      <c r="I92" t="s">
        <v>63</v>
      </c>
      <c r="J92" s="142">
        <f>INDEX('ROTT TO SING'!$U$8:$AD$25,MATCH(MAIN!I92,'ROTT TO AG'!$L$6:$L$23,0),6)</f>
        <v>0.15306122448979592</v>
      </c>
      <c r="K92" s="142">
        <f>INDEX('ROTT TO SING'!$U$8:$AD$25,MATCH(MAIN!I92,'ROTT TO AG'!$L$6:$L$23,0),8)</f>
        <v>0.15306122448979592</v>
      </c>
      <c r="L92" s="142">
        <f>INDEX('ROTT TO SING'!$U$8:$AD$25,MATCH(MAIN!I92,'ROTT TO AG'!$L$6:$L$23,0),10)</f>
        <v>0.15306122448979592</v>
      </c>
      <c r="M92" s="155"/>
    </row>
    <row r="93" spans="1:13" hidden="1" outlineLevel="1" x14ac:dyDescent="0.25">
      <c r="A93" s="155"/>
      <c r="B93" s="155" t="s">
        <v>64</v>
      </c>
      <c r="C93" s="142">
        <f>INDEX('ROTT TO SING'!$A$8:$H$25,MATCH(MAIN!B93,'ROTT TO SING'!$A$8:$A$25,0),6)</f>
        <v>3.7037037037037035E-2</v>
      </c>
      <c r="D93" s="142">
        <f>INDEX('ROTT TO SING'!$A$8:$H$25,MATCH(MAIN!B93,'ROTT TO SING'!$A$8:$A$25,0),8)</f>
        <v>3.7037037037037035E-2</v>
      </c>
      <c r="E93" t="s">
        <v>64</v>
      </c>
      <c r="F93" s="142">
        <f>INDEX('ROTT TO SING'!$J$8:$S$25,MATCH(MAIN!E93,'ROTT TO SING'!$J$8:$J$25,0),6)</f>
        <v>6.6666666666666666E-2</v>
      </c>
      <c r="G93" s="142">
        <f>INDEX('ROTT TO SING'!$J$8:$S$25,MATCH(MAIN!E93,'ROTT TO SING'!$J$8:$J$25,0),8)</f>
        <v>6.6666666666666666E-2</v>
      </c>
      <c r="H93" s="142">
        <f>INDEX('ROTT TO SING'!$J$8:$S$25,MATCH(MAIN!E93,'ROTT TO SING'!$J$8:$J$25,0),10)</f>
        <v>6.6666666666666666E-2</v>
      </c>
      <c r="I93" t="s">
        <v>64</v>
      </c>
      <c r="J93" s="142">
        <f>INDEX('ROTT TO SING'!$U$8:$AD$25,MATCH(MAIN!I93,'ROTT TO AG'!$L$6:$L$23,0),6)</f>
        <v>0.10204081632653061</v>
      </c>
      <c r="K93" s="142">
        <f>INDEX('ROTT TO SING'!$U$8:$AD$25,MATCH(MAIN!I93,'ROTT TO AG'!$L$6:$L$23,0),8)</f>
        <v>0.10204081632653061</v>
      </c>
      <c r="L93" s="142">
        <f>INDEX('ROTT TO SING'!$U$8:$AD$25,MATCH(MAIN!I93,'ROTT TO AG'!$L$6:$L$23,0),10)</f>
        <v>0.10204081632653061</v>
      </c>
      <c r="M93" s="155"/>
    </row>
    <row r="94" spans="1:13" hidden="1" outlineLevel="1" x14ac:dyDescent="0.25">
      <c r="A94" s="155"/>
      <c r="B94" s="155" t="s">
        <v>100</v>
      </c>
      <c r="C94" s="142">
        <f ca="1">INDEX('ROTT TO SING'!$A$8:$H$25,MATCH(MAIN!B94,'ROTT TO SING'!$A$8:$A$25,0),6)</f>
        <v>28.653061900085206</v>
      </c>
      <c r="D94" s="142">
        <f ca="1">INDEX('ROTT TO SING'!$A$8:$H$25,MATCH(MAIN!B94,'ROTT TO SING'!$A$8:$A$25,0),8)</f>
        <v>28.616345290496163</v>
      </c>
      <c r="E94" t="s">
        <v>100</v>
      </c>
      <c r="F94" s="142">
        <f ca="1">INDEX('ROTT TO SING'!$J$8:$S$25,MATCH(MAIN!E94,'ROTT TO SING'!$J$8:$J$25,0),6)</f>
        <v>42.846200788974095</v>
      </c>
      <c r="G94" s="142">
        <f ca="1">INDEX('ROTT TO SING'!$J$8:$S$25,MATCH(MAIN!E94,'ROTT TO SING'!$J$8:$J$25,0),8)</f>
        <v>42.795234179385041</v>
      </c>
      <c r="H94" s="142">
        <f ca="1">INDEX('ROTT TO SING'!$J$8:$S$25,MATCH(MAIN!E94,'ROTT TO SING'!$J$8:$J$25,0),10)</f>
        <v>42.795234179385041</v>
      </c>
      <c r="I94" t="s">
        <v>100</v>
      </c>
      <c r="J94" s="142">
        <f ca="1">INDEX('ROTT TO SING'!$U$8:$AD$25,MATCH(MAIN!I94,'ROTT TO AG'!$L$6:$L$23,0),6)</f>
        <v>55.618445686933271</v>
      </c>
      <c r="K94" s="142">
        <f ca="1">INDEX('ROTT TO SING'!$U$8:$AD$25,MATCH(MAIN!I94,'ROTT TO AG'!$L$6:$L$23,0),8)</f>
        <v>55.567479077344217</v>
      </c>
      <c r="L94" s="142">
        <f ca="1">INDEX('ROTT TO SING'!$U$8:$AD$25,MATCH(MAIN!I94,'ROTT TO AG'!$L$6:$L$23,0),10)</f>
        <v>55.567479077344217</v>
      </c>
      <c r="M94" s="155"/>
    </row>
    <row r="95" spans="1:13" hidden="1" outlineLevel="1" x14ac:dyDescent="0.25">
      <c r="A95" s="155"/>
      <c r="B95" s="155" t="s">
        <v>101</v>
      </c>
      <c r="C95" s="142">
        <f ca="1">INDEX('ROTT TO SING'!$A$8:$H$25,MATCH(MAIN!B95,'ROTT TO SING'!$A$8:$A$25,0),6)</f>
        <v>27.906428571428648</v>
      </c>
      <c r="D95" s="142">
        <f ca="1">INDEX('ROTT TO SING'!$A$8:$H$25,MATCH(MAIN!B95,'ROTT TO SING'!$A$8:$A$25,0),8)</f>
        <v>29.192142857142933</v>
      </c>
      <c r="E95" t="s">
        <v>101</v>
      </c>
      <c r="F95" s="142">
        <f ca="1">INDEX('ROTT TO SING'!$J$8:$S$25,MATCH(MAIN!E95,'ROTT TO SING'!$J$8:$J$25,0),6)</f>
        <v>27.293333333333411</v>
      </c>
      <c r="G95" s="142">
        <f ca="1">INDEX('ROTT TO SING'!$J$8:$S$25,MATCH(MAIN!E95,'ROTT TO SING'!$J$8:$J$25,0),8)</f>
        <v>28.672962962963041</v>
      </c>
      <c r="H95" s="142">
        <f ca="1">INDEX('ROTT TO SING'!$J$8:$S$25,MATCH(MAIN!E95,'ROTT TO SING'!$J$8:$J$25,0),10)</f>
        <v>29.598888888888968</v>
      </c>
      <c r="I95" t="s">
        <v>101</v>
      </c>
      <c r="J95" s="142">
        <f ca="1">INDEX('ROTT TO SING'!$U$8:$AD$25,MATCH(MAIN!I95,'ROTT TO AG'!$L$6:$L$23,0),6)</f>
        <v>27.293333333333411</v>
      </c>
      <c r="K95" s="142">
        <f ca="1">INDEX('ROTT TO SING'!$U$8:$AD$25,MATCH(MAIN!I95,'ROTT TO AG'!$L$6:$L$23,0),8)</f>
        <v>28.672962962963041</v>
      </c>
      <c r="L95" s="142">
        <f ca="1">INDEX('ROTT TO SING'!$U$8:$AD$25,MATCH(MAIN!I95,'ROTT TO AG'!$L$6:$L$23,0),10)</f>
        <v>29.598888888888968</v>
      </c>
      <c r="M95" s="155"/>
    </row>
    <row r="96" spans="1:13" hidden="1" outlineLevel="1" x14ac:dyDescent="0.25">
      <c r="A96" s="155"/>
      <c r="B96" s="155" t="s">
        <v>113</v>
      </c>
      <c r="C96" s="142">
        <f ca="1">INDEX('ROTT TO SING'!$A$8:$H$25,MATCH(MAIN!B96,'ROTT TO SING'!$A$8:$A$25,0),6)</f>
        <v>-0.74663332865655718</v>
      </c>
      <c r="D96" s="142">
        <f ca="1">INDEX('ROTT TO SING'!$A$8:$H$25,MATCH(MAIN!B96,'ROTT TO SING'!$A$8:$A$25,0),8)</f>
        <v>0.57579756664677006</v>
      </c>
      <c r="E96" t="s">
        <v>113</v>
      </c>
      <c r="F96" s="142">
        <f ca="1">INDEX('ROTT TO SING'!$J$8:$S$25,MATCH(MAIN!E96,'ROTT TO SING'!$J$8:$J$25,0),6)</f>
        <v>-15.552867455640683</v>
      </c>
      <c r="G96" s="142">
        <f ca="1">INDEX('ROTT TO SING'!$J$8:$S$25,MATCH(MAIN!E96,'ROTT TO SING'!$J$8:$J$25,0),8)</f>
        <v>-14.122271216422</v>
      </c>
      <c r="H96" s="142">
        <f ca="1">INDEX('ROTT TO SING'!$J$8:$S$25,MATCH(MAIN!E96,'ROTT TO SING'!$J$8:$J$25,0),10)</f>
        <v>-13.196345290496073</v>
      </c>
      <c r="I96" t="s">
        <v>113</v>
      </c>
      <c r="J96" s="142">
        <f ca="1">INDEX('ROTT TO SING'!$U$8:$AD$25,MATCH(MAIN!I96,'ROTT TO AG'!$L$6:$L$23,0),6)</f>
        <v>-28.325112353599859</v>
      </c>
      <c r="K96" s="142">
        <f ca="1">INDEX('ROTT TO SING'!$U$8:$AD$25,MATCH(MAIN!I96,'ROTT TO AG'!$L$6:$L$23,0),8)</f>
        <v>-26.894516114381176</v>
      </c>
      <c r="L96" s="142">
        <f ca="1">INDEX('ROTT TO SING'!$U$8:$AD$25,MATCH(MAIN!I96,'ROTT TO AG'!$L$6:$L$23,0),10)</f>
        <v>-25.968590188455249</v>
      </c>
      <c r="M96" s="155"/>
    </row>
    <row r="97" spans="1:13" hidden="1" outlineLevel="1" x14ac:dyDescent="0.25">
      <c r="A97" s="155"/>
      <c r="B97" s="155" t="s">
        <v>126</v>
      </c>
      <c r="C97" s="147">
        <f ca="1">C75</f>
        <v>45925</v>
      </c>
      <c r="D97" s="147">
        <f ca="1">D75</f>
        <v>45939</v>
      </c>
      <c r="E97" t="s">
        <v>126</v>
      </c>
      <c r="F97" s="147">
        <f ca="1">F75</f>
        <v>45918</v>
      </c>
      <c r="G97" s="147">
        <f ca="1">G75</f>
        <v>45932</v>
      </c>
      <c r="H97" s="147">
        <f ca="1">H75</f>
        <v>45946</v>
      </c>
      <c r="I97" t="s">
        <v>126</v>
      </c>
      <c r="J97" s="147">
        <f ca="1">J75</f>
        <v>45918</v>
      </c>
      <c r="K97" s="147">
        <f ca="1">K75</f>
        <v>45970</v>
      </c>
      <c r="L97" s="147">
        <f ca="1">L75</f>
        <v>45984</v>
      </c>
      <c r="M97" s="155"/>
    </row>
    <row r="98" spans="1:13" collapsed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155"/>
      <c r="M98" s="155"/>
    </row>
    <row r="99" spans="1:13" ht="15.75" hidden="1" thickBot="1" x14ac:dyDescent="0.3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</row>
    <row r="100" spans="1:13" ht="15.75" hidden="1" thickBot="1" x14ac:dyDescent="0.3">
      <c r="A100" s="529" t="s">
        <v>135</v>
      </c>
      <c r="B100" s="155"/>
      <c r="C100" s="533"/>
      <c r="D100" s="534"/>
      <c r="E100" s="139"/>
      <c r="F100" s="535" t="s">
        <v>129</v>
      </c>
      <c r="G100" s="536"/>
      <c r="H100" s="537"/>
      <c r="I100" s="139"/>
      <c r="J100" s="535" t="s">
        <v>130</v>
      </c>
      <c r="K100" s="536"/>
      <c r="L100" s="537"/>
      <c r="M100" s="155"/>
    </row>
    <row r="101" spans="1:13" ht="15.75" hidden="1" thickBot="1" x14ac:dyDescent="0.3">
      <c r="A101" s="529"/>
      <c r="B101" s="199" t="s">
        <v>131</v>
      </c>
      <c r="C101" s="187"/>
      <c r="D101" s="188"/>
      <c r="E101" s="139"/>
      <c r="F101" s="196" t="str">
        <f ca="1">IF(DAY(F102)&lt;15,"1H-"&amp;VLOOKUP(MONTH(F102),Mapping!$A$1:$B$12,2,0),"2H-"&amp;VLOOKUP(MONTH(F102),Mapping!$A$1:$B$12,2,0))</f>
        <v>2H-OCT</v>
      </c>
      <c r="G101" s="189" t="str">
        <f ca="1">IF(DAY(G102)&lt;15,"1H-"&amp;VLOOKUP(MONTH(G102),Mapping!$A$1:$B$12,2,0),"2H-"&amp;VLOOKUP(MONTH(G102),Mapping!$A$1:$B$12,2,0))</f>
        <v>1H-NOV</v>
      </c>
      <c r="H101" s="197" t="str">
        <f ca="1">IF(DAY(H102)&lt;15,"1H-"&amp;VLOOKUP(MONTH(H102),Mapping!$A$1:$B$12,2,0),"2H-"&amp;VLOOKUP(MONTH(H102),Mapping!$A$1:$B$12,2,0))</f>
        <v>2H-NOV</v>
      </c>
      <c r="I101" s="198" t="str">
        <f>IF(DAY(I102)&lt;15,"1H-"&amp;VLOOKUP(MONTH(I102),Mapping!$A$1:$B$12,2,0),"2H-"&amp;VLOOKUP(MONTH(I102),Mapping!$A$1:$B$12,2,0))</f>
        <v>1H-JAN</v>
      </c>
      <c r="J101" s="196" t="str">
        <f ca="1">IF(DAY(J102)&lt;15,"1H-"&amp;VLOOKUP(MONTH(J102),Mapping!$A$1:$B$12,2,0),"2H-"&amp;VLOOKUP(MONTH(J102),Mapping!$A$1:$B$12,2,0))</f>
        <v>2H-OCT</v>
      </c>
      <c r="K101" s="189" t="str">
        <f ca="1">IF(DAY(K102)&lt;15,"1H-"&amp;VLOOKUP(MONTH(K102),Mapping!$A$1:$B$12,2,0),"2H-"&amp;VLOOKUP(MONTH(K102),Mapping!$A$1:$B$12,2,0))</f>
        <v>1H-NOV</v>
      </c>
      <c r="L101" s="197" t="str">
        <f ca="1">IF(DAY(L102)&lt;15,"1H-"&amp;VLOOKUP(MONTH(L102),Mapping!$A$1:$B$12,2,0),"2H-"&amp;VLOOKUP(MONTH(L102),Mapping!$A$1:$B$12,2,0))</f>
        <v>2H-NOV</v>
      </c>
      <c r="M101" s="155"/>
    </row>
    <row r="102" spans="1:13" ht="15.75" hidden="1" thickBot="1" x14ac:dyDescent="0.3">
      <c r="A102" s="155"/>
      <c r="B102" s="154" t="s">
        <v>131</v>
      </c>
      <c r="C102" s="257"/>
      <c r="D102" s="258"/>
      <c r="E102" s="6"/>
      <c r="F102" s="158">
        <f ca="1">'Loading Arrival'!B35</f>
        <v>45953</v>
      </c>
      <c r="G102" s="194">
        <f ca="1">'ROTT TO AG'!G24</f>
        <v>45970</v>
      </c>
      <c r="H102" s="195">
        <f ca="1">'ROTT TO AG'!I24</f>
        <v>45984</v>
      </c>
      <c r="I102" s="164"/>
      <c r="J102" s="194">
        <f ca="1">F102</f>
        <v>45953</v>
      </c>
      <c r="K102" s="194">
        <f ca="1">G102</f>
        <v>45970</v>
      </c>
      <c r="L102" s="195">
        <f ca="1">H102</f>
        <v>45984</v>
      </c>
      <c r="M102" s="155"/>
    </row>
    <row r="103" spans="1:13" ht="15.75" hidden="1" thickBot="1" x14ac:dyDescent="0.3">
      <c r="A103" s="199" t="s">
        <v>136</v>
      </c>
      <c r="B103" s="168"/>
      <c r="C103" s="524"/>
      <c r="D103" s="525"/>
      <c r="E103" s="10"/>
      <c r="F103" s="159" t="e">
        <f ca="1">F123+F104-F105</f>
        <v>#N/A</v>
      </c>
      <c r="G103" s="160" t="e">
        <f ca="1">G123+G104-G105</f>
        <v>#N/A</v>
      </c>
      <c r="H103" s="161" t="e">
        <f ca="1">H123+H104-H105</f>
        <v>#N/A</v>
      </c>
      <c r="I103" s="165"/>
      <c r="J103" s="160" t="e">
        <f ca="1">J123+J104-J105</f>
        <v>#N/A</v>
      </c>
      <c r="K103" s="160" t="e">
        <f ca="1">K123+K104-K105</f>
        <v>#N/A</v>
      </c>
      <c r="L103" s="161" t="e">
        <f ca="1">L123+L104-L105</f>
        <v>#N/A</v>
      </c>
      <c r="M103" s="155"/>
    </row>
    <row r="104" spans="1:13" ht="15.75" hidden="1" thickBot="1" x14ac:dyDescent="0.3">
      <c r="A104" s="155"/>
      <c r="B104" s="169" t="s">
        <v>133</v>
      </c>
      <c r="C104" s="524"/>
      <c r="D104" s="525"/>
      <c r="E104" s="177" t="s">
        <v>128</v>
      </c>
      <c r="F104" s="175">
        <f ca="1">INDEX(Premium!$A$2:$D$12,MATCH(MAIN!$A103,Premium!$A$2:$A$12,0),MATCH(EOMONTH(MAIN!F102,-1)+1,Premium!$A$2:$D$2,0))</f>
        <v>-24.67</v>
      </c>
      <c r="G104" s="178">
        <f ca="1">INDEX(Premium!$A$2:$D$12,MATCH(MAIN!$A103,Premium!$A$2:$A$12,0),MATCH(EOMONTH(MAIN!G102,-1)+1,Premium!$A$2:$D$2,0))</f>
        <v>-24.67</v>
      </c>
      <c r="H104" s="176">
        <f ca="1">INDEX(Premium!$A$2:$D$12,MATCH(MAIN!$A103,Premium!$A$2:$A$12,0),MATCH(EOMONTH(MAIN!H102,-1)+1,Premium!$A$2:$D$2,0))</f>
        <v>-24.67</v>
      </c>
      <c r="I104" s="179" t="s">
        <v>128</v>
      </c>
      <c r="J104" s="178">
        <f ca="1">INDEX(Premium!$A$2:$D$12,MATCH(MAIN!$A103,Premium!$A$2:$A$12,0),MATCH(EOMONTH(MAIN!J102,-1)+1,Premium!$A$2:$D$2,0))</f>
        <v>-24.67</v>
      </c>
      <c r="K104" s="178">
        <f ca="1">INDEX(Premium!$A$2:$D$12,MATCH(MAIN!$A103,Premium!$A$2:$A$12,0),MATCH(EOMONTH(MAIN!K102,-1)+1,Premium!$A$2:$D$2,0))</f>
        <v>-24.67</v>
      </c>
      <c r="L104" s="176">
        <f ca="1">INDEX(Premium!$A$2:$D$12,MATCH(MAIN!$A103,Premium!$A$2:$A$12,0),MATCH(EOMONTH(MAIN!L102,-1)+1,Premium!$A$2:$D$2,0))</f>
        <v>-24.67</v>
      </c>
      <c r="M104" s="155"/>
    </row>
    <row r="105" spans="1:13" ht="15.75" hidden="1" thickBot="1" x14ac:dyDescent="0.3">
      <c r="A105" s="155"/>
      <c r="B105" s="170" t="s">
        <v>132</v>
      </c>
      <c r="C105" s="524"/>
      <c r="D105" s="525"/>
      <c r="E105" s="177" t="s">
        <v>127</v>
      </c>
      <c r="F105" s="175" t="e">
        <f ca="1">INDEX(Premium!$A$21:$D$29,MATCH(LEFT(MAIN!$A103,3),Premium!$A$21:$A$29,0),MATCH(EOMONTH(MAIN!F124,-1)+1,Premium!$A$21:$D$21,0))</f>
        <v>#N/A</v>
      </c>
      <c r="G105" s="178" t="e">
        <f ca="1">INDEX(Premium!$A$21:$D$29,MATCH(LEFT(MAIN!$A103,3),Premium!$A$21:$A$29,0),MATCH(EOMONTH(MAIN!G124,-1)+1,Premium!$A$21:$D$21,0))</f>
        <v>#N/A</v>
      </c>
      <c r="H105" s="176" t="e">
        <f ca="1">INDEX(Premium!$A$21:$D$29,MATCH(LEFT(MAIN!$A103,3),Premium!$A$21:$A$29,0),MATCH(EOMONTH(MAIN!H124,-1)+1,Premium!$A$21:$D$21,0))</f>
        <v>#N/A</v>
      </c>
      <c r="I105" s="179" t="s">
        <v>127</v>
      </c>
      <c r="J105" s="178" t="e">
        <f ca="1">INDEX(Premium!$A$21:$D$29,MATCH(LEFT(MAIN!$A103,3),Premium!$A$21:$A$29,0),MATCH(EOMONTH(MAIN!J124,-1)+1,Premium!$A$21:$D$21,0))</f>
        <v>#N/A</v>
      </c>
      <c r="K105" s="178" t="e">
        <f ca="1">INDEX(Premium!$A$21:$D$29,MATCH(LEFT(MAIN!$A103,3),Premium!$A$21:$A$29,0),MATCH(EOMONTH(MAIN!K124,-1)+1,Premium!$A$21:$D$21,0))</f>
        <v>#N/A</v>
      </c>
      <c r="L105" s="176" t="e">
        <f ca="1">INDEX(Premium!$A$21:$D$29,MATCH(LEFT(MAIN!$A103,3),Premium!$A$21:$A$29,0),MATCH(EOMONTH(MAIN!L124,-1)+1,Premium!$A$21:$D$21,0))</f>
        <v>#N/A</v>
      </c>
      <c r="M105" s="155"/>
    </row>
    <row r="106" spans="1:13" hidden="1" outlineLevel="1" x14ac:dyDescent="0.25">
      <c r="A106" s="155"/>
      <c r="B106" s="254" t="s">
        <v>53</v>
      </c>
      <c r="C106" s="524"/>
      <c r="D106" s="525"/>
      <c r="E106" s="6" t="s">
        <v>53</v>
      </c>
      <c r="F106" s="240">
        <f>INDEX('ROTT TO AG'!$A$6:$J$23,MATCH(MAIN!E106,'ROTT TO SING'!$J$8:$J$25,0),5)</f>
        <v>32.666666666666664</v>
      </c>
      <c r="G106" s="241">
        <f>INDEX('ROTT TO AG'!$A$6:$J$23,MATCH(MAIN!E106,'ROTT TO SING'!$J$8:$J$25,0),7)</f>
        <v>32.666666666666664</v>
      </c>
      <c r="H106" s="242">
        <f>INDEX('ROTT TO AG'!$A$6:$J$23,MATCH(MAIN!E106,'ROTT TO SING'!$J$8:$J$25,0),9)</f>
        <v>32.666666666666664</v>
      </c>
      <c r="I106" s="6" t="s">
        <v>53</v>
      </c>
      <c r="J106" s="234">
        <f>INDEX('ROTT TO AG'!$L$6:$U$23,MATCH(MAIN!I106,'ROTT TO AG'!$L$6:$L$23,0),5)</f>
        <v>42.857142857142854</v>
      </c>
      <c r="K106" s="235">
        <f>INDEX('ROTT TO AG'!$L$6:$U$23,MATCH(MAIN!I106,'ROTT TO AG'!$L$6:$L$23,0),7)</f>
        <v>42.857142857142854</v>
      </c>
      <c r="L106" s="236">
        <f>INDEX('ROTT TO AG'!$L$6:$U$23,MATCH(MAIN!I106,'ROTT TO AG'!$L$6:$L$23,0),9)</f>
        <v>42.857142857142854</v>
      </c>
      <c r="M106" s="155"/>
    </row>
    <row r="107" spans="1:13" hidden="1" outlineLevel="1" x14ac:dyDescent="0.25">
      <c r="A107" s="155"/>
      <c r="B107" s="255" t="s">
        <v>54</v>
      </c>
      <c r="C107" s="524"/>
      <c r="D107" s="525"/>
      <c r="E107" s="6" t="s">
        <v>54</v>
      </c>
      <c r="F107" s="175">
        <f>INDEX('ROTT TO AG'!$A$6:$J$23,MATCH(MAIN!E107,'ROTT TO SING'!$J$8:$J$25,0),5)</f>
        <v>0</v>
      </c>
      <c r="G107" s="178">
        <f>INDEX('ROTT TO AG'!$A$6:$J$23,MATCH(MAIN!E107,'ROTT TO SING'!$J$8:$J$25,0),7)</f>
        <v>0</v>
      </c>
      <c r="H107" s="176">
        <f>INDEX('ROTT TO AG'!$A$6:$J$23,MATCH(MAIN!E107,'ROTT TO SING'!$J$8:$J$25,0),9)</f>
        <v>0</v>
      </c>
      <c r="I107" s="6" t="s">
        <v>54</v>
      </c>
      <c r="J107" s="175">
        <f>INDEX('ROTT TO AG'!$L$6:$U$23,MATCH(MAIN!I107,'ROTT TO AG'!$L$6:$L$23,0),5)</f>
        <v>0</v>
      </c>
      <c r="K107" s="178">
        <f>INDEX('ROTT TO AG'!$L$6:$U$23,MATCH(MAIN!I107,'ROTT TO AG'!$L$6:$L$23,0),7)</f>
        <v>0</v>
      </c>
      <c r="L107" s="176">
        <f>INDEX('ROTT TO AG'!$L$6:$U$23,MATCH(MAIN!I107,'ROTT TO AG'!$L$6:$L$23,0),9)</f>
        <v>0</v>
      </c>
      <c r="M107" s="155"/>
    </row>
    <row r="108" spans="1:13" hidden="1" outlineLevel="1" x14ac:dyDescent="0.25">
      <c r="A108" s="155"/>
      <c r="B108" s="255" t="s">
        <v>55</v>
      </c>
      <c r="C108" s="524"/>
      <c r="D108" s="525"/>
      <c r="E108" s="6" t="s">
        <v>55</v>
      </c>
      <c r="F108" s="175">
        <f>INDEX('ROTT TO AG'!$A$6:$J$23,MATCH(MAIN!E108,'ROTT TO SING'!$J$8:$J$25,0),5)</f>
        <v>3.8333333333333335</v>
      </c>
      <c r="G108" s="178">
        <f>INDEX('ROTT TO AG'!$A$6:$J$23,MATCH(MAIN!E108,'ROTT TO SING'!$J$8:$J$25,0),7)</f>
        <v>3.8333333333333335</v>
      </c>
      <c r="H108" s="176">
        <f>INDEX('ROTT TO AG'!$A$6:$J$23,MATCH(MAIN!E108,'ROTT TO SING'!$J$8:$J$25,0),9)</f>
        <v>3.8333333333333335</v>
      </c>
      <c r="I108" s="6" t="s">
        <v>55</v>
      </c>
      <c r="J108" s="175">
        <f>INDEX('ROTT TO AG'!$L$6:$U$23,MATCH(MAIN!I108,'ROTT TO AG'!$L$6:$L$23,0),5)</f>
        <v>3.0357142857142856</v>
      </c>
      <c r="K108" s="178">
        <f>INDEX('ROTT TO AG'!$L$6:$U$23,MATCH(MAIN!I108,'ROTT TO AG'!$L$6:$L$23,0),7)</f>
        <v>3.0357142857142856</v>
      </c>
      <c r="L108" s="176">
        <f>INDEX('ROTT TO AG'!$L$6:$U$23,MATCH(MAIN!I108,'ROTT TO AG'!$L$6:$L$23,0),9)</f>
        <v>3.0357142857142856</v>
      </c>
      <c r="M108" s="155"/>
    </row>
    <row r="109" spans="1:13" hidden="1" outlineLevel="1" x14ac:dyDescent="0.25">
      <c r="A109" s="155"/>
      <c r="B109" s="255" t="s">
        <v>56</v>
      </c>
      <c r="C109" s="524"/>
      <c r="D109" s="525"/>
      <c r="E109" s="6" t="s">
        <v>56</v>
      </c>
      <c r="F109" s="175">
        <f>INDEX('ROTT TO AG'!$A$6:$J$23,MATCH(MAIN!E109,'ROTT TO SING'!$J$8:$J$25,0),5)</f>
        <v>0.1</v>
      </c>
      <c r="G109" s="178">
        <f>INDEX('ROTT TO AG'!$A$6:$J$23,MATCH(MAIN!E109,'ROTT TO SING'!$J$8:$J$25,0),7)</f>
        <v>0.1</v>
      </c>
      <c r="H109" s="176">
        <f>INDEX('ROTT TO AG'!$A$6:$J$23,MATCH(MAIN!E109,'ROTT TO SING'!$J$8:$J$25,0),9)</f>
        <v>0.1</v>
      </c>
      <c r="I109" s="6" t="s">
        <v>56</v>
      </c>
      <c r="J109" s="175">
        <f>INDEX('ROTT TO AG'!$L$6:$U$23,MATCH(MAIN!I109,'ROTT TO AG'!$L$6:$L$23,0),5)</f>
        <v>0.15306122448979592</v>
      </c>
      <c r="K109" s="178">
        <f>INDEX('ROTT TO AG'!$L$6:$U$23,MATCH(MAIN!I109,'ROTT TO AG'!$L$6:$L$23,0),7)</f>
        <v>0.15306122448979592</v>
      </c>
      <c r="L109" s="176">
        <f>INDEX('ROTT TO AG'!$L$6:$U$23,MATCH(MAIN!I109,'ROTT TO AG'!$L$6:$L$23,0),9)</f>
        <v>0.15306122448979592</v>
      </c>
      <c r="M109" s="155"/>
    </row>
    <row r="110" spans="1:13" hidden="1" outlineLevel="1" x14ac:dyDescent="0.25">
      <c r="A110" s="155"/>
      <c r="B110" s="255" t="s">
        <v>124</v>
      </c>
      <c r="C110" s="524"/>
      <c r="D110" s="525"/>
      <c r="E110" s="6" t="s">
        <v>124</v>
      </c>
      <c r="F110" s="175">
        <f>INDEX('ROTT TO AG'!$A$6:$J$23,MATCH(MAIN!E110,'ROTT TO SING'!$J$8:$J$25,0),5)</f>
        <v>0.16666666666666666</v>
      </c>
      <c r="G110" s="178">
        <f>INDEX('ROTT TO AG'!$A$6:$J$23,MATCH(MAIN!E110,'ROTT TO SING'!$J$8:$J$25,0),7)</f>
        <v>0.16666666666666666</v>
      </c>
      <c r="H110" s="176">
        <f>INDEX('ROTT TO AG'!$A$6:$J$23,MATCH(MAIN!E110,'ROTT TO SING'!$J$8:$J$25,0),9)</f>
        <v>0.16666666666666666</v>
      </c>
      <c r="I110" s="6" t="s">
        <v>124</v>
      </c>
      <c r="J110" s="175">
        <f>INDEX('ROTT TO AG'!$L$6:$U$23,MATCH(MAIN!I110,'ROTT TO AG'!$L$6:$L$23,0),5)</f>
        <v>0.25510204081632654</v>
      </c>
      <c r="K110" s="178">
        <f>INDEX('ROTT TO AG'!$L$6:$U$23,MATCH(MAIN!I110,'ROTT TO AG'!$L$6:$L$23,0),7)</f>
        <v>0.25510204081632654</v>
      </c>
      <c r="L110" s="176">
        <f>INDEX('ROTT TO AG'!$L$6:$U$23,MATCH(MAIN!I110,'ROTT TO AG'!$L$6:$L$23,0),9)</f>
        <v>0.25510204081632654</v>
      </c>
      <c r="M110" s="155"/>
    </row>
    <row r="111" spans="1:13" hidden="1" outlineLevel="1" x14ac:dyDescent="0.25">
      <c r="A111" s="155"/>
      <c r="B111" s="255" t="s">
        <v>125</v>
      </c>
      <c r="C111" s="524"/>
      <c r="D111" s="525"/>
      <c r="E111" s="6" t="s">
        <v>125</v>
      </c>
      <c r="F111" s="175">
        <f>INDEX('ROTT TO AG'!$A$6:$J$23,MATCH(MAIN!E111,'ROTT TO SING'!$J$8:$J$25,0),5)</f>
        <v>0.16666666666666666</v>
      </c>
      <c r="G111" s="178">
        <f>INDEX('ROTT TO AG'!$A$6:$J$23,MATCH(MAIN!E111,'ROTT TO SING'!$J$8:$J$25,0),7)</f>
        <v>0.16666666666666666</v>
      </c>
      <c r="H111" s="176">
        <f>INDEX('ROTT TO AG'!$A$6:$J$23,MATCH(MAIN!E111,'ROTT TO SING'!$J$8:$J$25,0),9)</f>
        <v>0.16666666666666666</v>
      </c>
      <c r="I111" s="6" t="s">
        <v>125</v>
      </c>
      <c r="J111" s="175">
        <f>INDEX('ROTT TO AG'!$L$6:$U$23,MATCH(MAIN!I111,'ROTT TO AG'!$L$6:$L$23,0),5)</f>
        <v>0.25510204081632654</v>
      </c>
      <c r="K111" s="178">
        <f>INDEX('ROTT TO AG'!$L$6:$U$23,MATCH(MAIN!I111,'ROTT TO AG'!$L$6:$L$23,0),7)</f>
        <v>0.25510204081632654</v>
      </c>
      <c r="L111" s="176">
        <f>INDEX('ROTT TO AG'!$L$6:$U$23,MATCH(MAIN!I111,'ROTT TO AG'!$L$6:$L$23,0),9)</f>
        <v>0.25510204081632654</v>
      </c>
      <c r="M111" s="155"/>
    </row>
    <row r="112" spans="1:13" hidden="1" outlineLevel="1" x14ac:dyDescent="0.25">
      <c r="A112" s="155"/>
      <c r="B112" s="255" t="s">
        <v>81</v>
      </c>
      <c r="C112" s="524"/>
      <c r="D112" s="525"/>
      <c r="E112" s="6" t="s">
        <v>81</v>
      </c>
      <c r="F112" s="175">
        <f ca="1">INDEX('ROTT TO AG'!$A$6:$J$23,MATCH(MAIN!E112,'ROTT TO SING'!$J$8:$J$25,0),5)</f>
        <v>3.379109589041096</v>
      </c>
      <c r="G112" s="178">
        <f ca="1">INDEX('ROTT TO AG'!$A$6:$J$23,MATCH(MAIN!E112,'ROTT TO SING'!$J$8:$J$25,0),7)</f>
        <v>3.3655479452054795</v>
      </c>
      <c r="H112" s="176">
        <f ca="1">INDEX('ROTT TO AG'!$A$6:$J$23,MATCH(MAIN!E112,'ROTT TO SING'!$J$8:$J$25,0),9)</f>
        <v>3.3655479452054795</v>
      </c>
      <c r="I112" s="6" t="s">
        <v>81</v>
      </c>
      <c r="J112" s="175">
        <f ca="1">INDEX('ROTT TO AG'!$L$6:$U$23,MATCH(MAIN!I112,'ROTT TO AG'!$L$6:$L$23,0),5)</f>
        <v>3.379109589041096</v>
      </c>
      <c r="K112" s="178">
        <f ca="1">INDEX('ROTT TO AG'!$L$6:$U$23,MATCH(MAIN!I112,'ROTT TO AG'!$L$6:$L$23,0),7)</f>
        <v>3.3655479452054795</v>
      </c>
      <c r="L112" s="176">
        <f ca="1">INDEX('ROTT TO AG'!$L$6:$U$23,MATCH(MAIN!I112,'ROTT TO AG'!$L$6:$L$23,0),9)</f>
        <v>3.3655479452054795</v>
      </c>
      <c r="M112" s="155"/>
    </row>
    <row r="113" spans="1:13" hidden="1" outlineLevel="1" x14ac:dyDescent="0.25">
      <c r="A113" s="155"/>
      <c r="B113" s="255" t="s">
        <v>57</v>
      </c>
      <c r="C113" s="524"/>
      <c r="D113" s="525"/>
      <c r="E113" s="6" t="s">
        <v>57</v>
      </c>
      <c r="F113" s="175">
        <f>INDEX('ROTT TO AG'!$A$6:$J$23,MATCH(MAIN!E113,'ROTT TO SING'!$J$8:$J$25,0),5)</f>
        <v>0</v>
      </c>
      <c r="G113" s="178">
        <f>INDEX('ROTT TO AG'!$A$6:$J$23,MATCH(MAIN!E113,'ROTT TO SING'!$J$8:$J$25,0),7)</f>
        <v>0</v>
      </c>
      <c r="H113" s="176">
        <f>INDEX('ROTT TO AG'!$A$6:$J$23,MATCH(MAIN!E113,'ROTT TO SING'!$J$8:$J$25,0),9)</f>
        <v>0</v>
      </c>
      <c r="I113" s="6" t="s">
        <v>57</v>
      </c>
      <c r="J113" s="175">
        <f>INDEX('ROTT TO AG'!$L$6:$U$23,MATCH(MAIN!I113,'ROTT TO AG'!$L$6:$L$23,0),5)</f>
        <v>0</v>
      </c>
      <c r="K113" s="178">
        <f>INDEX('ROTT TO AG'!$L$6:$U$23,MATCH(MAIN!I113,'ROTT TO AG'!$L$6:$L$23,0),7)</f>
        <v>0</v>
      </c>
      <c r="L113" s="176">
        <f>INDEX('ROTT TO AG'!$L$6:$U$23,MATCH(MAIN!I113,'ROTT TO AG'!$L$6:$L$23,0),9)</f>
        <v>0</v>
      </c>
      <c r="M113" s="155"/>
    </row>
    <row r="114" spans="1:13" hidden="1" outlineLevel="1" x14ac:dyDescent="0.25">
      <c r="A114" s="155"/>
      <c r="B114" s="255" t="s">
        <v>58</v>
      </c>
      <c r="C114" s="524"/>
      <c r="D114" s="525"/>
      <c r="E114" s="6" t="s">
        <v>58</v>
      </c>
      <c r="F114" s="175">
        <f ca="1">INDEX('ROTT TO AG'!$A$6:$J$23,MATCH(MAIN!E114,'ROTT TO SING'!$J$8:$J$25,0),5)</f>
        <v>0.28031250000000002</v>
      </c>
      <c r="G114" s="178">
        <f ca="1">INDEX('ROTT TO AG'!$A$6:$J$23,MATCH(MAIN!E114,'ROTT TO SING'!$J$8:$J$25,0),7)</f>
        <v>0.27918750000000003</v>
      </c>
      <c r="H114" s="176">
        <f ca="1">INDEX('ROTT TO AG'!$A$6:$J$23,MATCH(MAIN!E114,'ROTT TO SING'!$J$8:$J$25,0),9)</f>
        <v>0.27918750000000003</v>
      </c>
      <c r="I114" s="6" t="s">
        <v>58</v>
      </c>
      <c r="J114" s="175">
        <f ca="1">INDEX('ROTT TO AG'!$L$6:$U$23,MATCH(MAIN!I114,'ROTT TO AG'!$L$6:$L$23,0),5)</f>
        <v>0.28031250000000002</v>
      </c>
      <c r="K114" s="178">
        <f ca="1">INDEX('ROTT TO AG'!$L$6:$U$23,MATCH(MAIN!I114,'ROTT TO AG'!$L$6:$L$23,0),7)</f>
        <v>0.27918750000000003</v>
      </c>
      <c r="L114" s="176">
        <f ca="1">INDEX('ROTT TO AG'!$L$6:$U$23,MATCH(MAIN!I114,'ROTT TO AG'!$L$6:$L$23,0),9)</f>
        <v>0.27918750000000003</v>
      </c>
      <c r="M114" s="155"/>
    </row>
    <row r="115" spans="1:13" hidden="1" outlineLevel="1" x14ac:dyDescent="0.25">
      <c r="A115" s="155"/>
      <c r="B115" s="255" t="s">
        <v>59</v>
      </c>
      <c r="C115" s="524"/>
      <c r="D115" s="525"/>
      <c r="E115" s="6" t="s">
        <v>59</v>
      </c>
      <c r="F115" s="175">
        <f ca="1">INDEX('ROTT TO AG'!$A$6:$J$23,MATCH(MAIN!E115,'ROTT TO SING'!$J$8:$J$25,0),5)</f>
        <v>1.1685000000000001</v>
      </c>
      <c r="G115" s="178">
        <f ca="1">INDEX('ROTT TO AG'!$A$6:$J$23,MATCH(MAIN!E115,'ROTT TO SING'!$J$8:$J$25,0),7)</f>
        <v>137.886</v>
      </c>
      <c r="H115" s="176">
        <f ca="1">INDEX('ROTT TO AG'!$A$6:$J$23,MATCH(MAIN!E115,'ROTT TO SING'!$J$8:$J$25,0),9)</f>
        <v>137.886</v>
      </c>
      <c r="I115" s="6" t="s">
        <v>59</v>
      </c>
      <c r="J115" s="175">
        <f ca="1">INDEX('ROTT TO AG'!$L$6:$U$23,MATCH(MAIN!I115,'ROTT TO AG'!$L$6:$L$23,0),5)</f>
        <v>1.1685000000000001</v>
      </c>
      <c r="K115" s="178">
        <f ca="1">INDEX('ROTT TO AG'!$L$6:$U$23,MATCH(MAIN!I115,'ROTT TO AG'!$L$6:$L$23,0),7)</f>
        <v>137.886</v>
      </c>
      <c r="L115" s="176">
        <f ca="1">INDEX('ROTT TO AG'!$L$6:$U$23,MATCH(MAIN!I115,'ROTT TO AG'!$L$6:$L$23,0),9)</f>
        <v>137.886</v>
      </c>
      <c r="M115" s="155"/>
    </row>
    <row r="116" spans="1:13" hidden="1" outlineLevel="1" x14ac:dyDescent="0.25">
      <c r="A116" s="155"/>
      <c r="B116" s="255" t="s">
        <v>60</v>
      </c>
      <c r="C116" s="524"/>
      <c r="D116" s="525"/>
      <c r="E116" s="6" t="s">
        <v>60</v>
      </c>
      <c r="F116" s="175">
        <f>INDEX('ROTT TO AG'!$A$6:$J$23,MATCH(MAIN!E116,'ROTT TO SING'!$J$8:$J$25,0),5)</f>
        <v>8.3333333333333329E-2</v>
      </c>
      <c r="G116" s="178">
        <f>INDEX('ROTT TO AG'!$A$6:$J$23,MATCH(MAIN!E116,'ROTT TO SING'!$J$8:$J$25,0),7)</f>
        <v>8.3333333333333329E-2</v>
      </c>
      <c r="H116" s="176">
        <f>INDEX('ROTT TO AG'!$A$6:$J$23,MATCH(MAIN!E116,'ROTT TO SING'!$J$8:$J$25,0),9)</f>
        <v>8.3333333333333329E-2</v>
      </c>
      <c r="I116" s="6" t="s">
        <v>60</v>
      </c>
      <c r="J116" s="175">
        <f>INDEX('ROTT TO AG'!$L$6:$U$23,MATCH(MAIN!I116,'ROTT TO AG'!$L$6:$L$23,0),5)</f>
        <v>0.12755102040816327</v>
      </c>
      <c r="K116" s="178">
        <f>INDEX('ROTT TO AG'!$L$6:$U$23,MATCH(MAIN!I116,'ROTT TO AG'!$L$6:$L$23,0),7)</f>
        <v>0.12755102040816327</v>
      </c>
      <c r="L116" s="176">
        <f>INDEX('ROTT TO AG'!$L$6:$U$23,MATCH(MAIN!I116,'ROTT TO AG'!$L$6:$L$23,0),9)</f>
        <v>0.12755102040816327</v>
      </c>
      <c r="M116" s="155"/>
    </row>
    <row r="117" spans="1:13" hidden="1" outlineLevel="1" x14ac:dyDescent="0.25">
      <c r="A117" s="155"/>
      <c r="B117" s="255" t="s">
        <v>61</v>
      </c>
      <c r="C117" s="524"/>
      <c r="D117" s="525"/>
      <c r="E117" s="6" t="s">
        <v>61</v>
      </c>
      <c r="F117" s="175">
        <f>INDEX('ROTT TO AG'!$A$6:$J$23,MATCH(MAIN!E117,'ROTT TO SING'!$J$8:$J$25,0),5)</f>
        <v>8.3333333333333332E-3</v>
      </c>
      <c r="G117" s="178">
        <f>INDEX('ROTT TO AG'!$A$6:$J$23,MATCH(MAIN!E117,'ROTT TO SING'!$J$8:$J$25,0),7)</f>
        <v>8.3333333333333332E-3</v>
      </c>
      <c r="H117" s="176">
        <f>INDEX('ROTT TO AG'!$A$6:$J$23,MATCH(MAIN!E117,'ROTT TO SING'!$J$8:$J$25,0),9)</f>
        <v>8.3333333333333332E-3</v>
      </c>
      <c r="I117" s="6" t="s">
        <v>61</v>
      </c>
      <c r="J117" s="175">
        <f>INDEX('ROTT TO AG'!$L$6:$U$23,MATCH(MAIN!I117,'ROTT TO AG'!$L$6:$L$23,0),5)</f>
        <v>1.2755102040816327E-2</v>
      </c>
      <c r="K117" s="178">
        <f>INDEX('ROTT TO AG'!$L$6:$U$23,MATCH(MAIN!I117,'ROTT TO AG'!$L$6:$L$23,0),7)</f>
        <v>1.2755102040816327E-2</v>
      </c>
      <c r="L117" s="176">
        <f>INDEX('ROTT TO AG'!$L$6:$U$23,MATCH(MAIN!I117,'ROTT TO AG'!$L$6:$L$23,0),9)</f>
        <v>1.2755102040816327E-2</v>
      </c>
      <c r="M117" s="155"/>
    </row>
    <row r="118" spans="1:13" hidden="1" outlineLevel="1" x14ac:dyDescent="0.25">
      <c r="A118" s="155"/>
      <c r="B118" s="255" t="s">
        <v>62</v>
      </c>
      <c r="C118" s="524"/>
      <c r="D118" s="525"/>
      <c r="E118" s="6" t="s">
        <v>62</v>
      </c>
      <c r="F118" s="175">
        <f>INDEX('ROTT TO AG'!$A$6:$J$23,MATCH(MAIN!E118,'ROTT TO SING'!$J$8:$J$25,0),5)</f>
        <v>8.3333333333333332E-3</v>
      </c>
      <c r="G118" s="178">
        <f>INDEX('ROTT TO AG'!$A$6:$J$23,MATCH(MAIN!E118,'ROTT TO SING'!$J$8:$J$25,0),7)</f>
        <v>8.3333333333333332E-3</v>
      </c>
      <c r="H118" s="176">
        <f>INDEX('ROTT TO AG'!$A$6:$J$23,MATCH(MAIN!E118,'ROTT TO SING'!$J$8:$J$25,0),9)</f>
        <v>8.3333333333333332E-3</v>
      </c>
      <c r="I118" s="6" t="s">
        <v>62</v>
      </c>
      <c r="J118" s="175">
        <f>INDEX('ROTT TO AG'!$L$6:$U$23,MATCH(MAIN!I118,'ROTT TO AG'!$L$6:$L$23,0),5)</f>
        <v>1.2755102040816327E-2</v>
      </c>
      <c r="K118" s="178">
        <f>INDEX('ROTT TO AG'!$L$6:$U$23,MATCH(MAIN!I118,'ROTT TO AG'!$L$6:$L$23,0),7)</f>
        <v>1.2755102040816327E-2</v>
      </c>
      <c r="L118" s="176">
        <f>INDEX('ROTT TO AG'!$L$6:$U$23,MATCH(MAIN!I118,'ROTT TO AG'!$L$6:$L$23,0),9)</f>
        <v>1.2755102040816327E-2</v>
      </c>
      <c r="M118" s="155"/>
    </row>
    <row r="119" spans="1:13" hidden="1" outlineLevel="1" x14ac:dyDescent="0.25">
      <c r="A119" s="155"/>
      <c r="B119" s="255" t="s">
        <v>63</v>
      </c>
      <c r="C119" s="524"/>
      <c r="D119" s="525"/>
      <c r="E119" s="6" t="s">
        <v>63</v>
      </c>
      <c r="F119" s="175">
        <f>INDEX('ROTT TO AG'!$A$6:$J$23,MATCH(MAIN!E119,'ROTT TO SING'!$J$8:$J$25,0),5)</f>
        <v>0.1</v>
      </c>
      <c r="G119" s="178">
        <f>INDEX('ROTT TO AG'!$A$6:$J$23,MATCH(MAIN!E119,'ROTT TO SING'!$J$8:$J$25,0),7)</f>
        <v>0.1</v>
      </c>
      <c r="H119" s="176">
        <f>INDEX('ROTT TO AG'!$A$6:$J$23,MATCH(MAIN!E119,'ROTT TO SING'!$J$8:$J$25,0),9)</f>
        <v>0.1</v>
      </c>
      <c r="I119" s="6" t="s">
        <v>63</v>
      </c>
      <c r="J119" s="175">
        <f>INDEX('ROTT TO AG'!$L$6:$U$23,MATCH(MAIN!I119,'ROTT TO AG'!$L$6:$L$23,0),5)</f>
        <v>0.15306122448979592</v>
      </c>
      <c r="K119" s="178">
        <f>INDEX('ROTT TO AG'!$L$6:$U$23,MATCH(MAIN!I119,'ROTT TO AG'!$L$6:$L$23,0),7)</f>
        <v>0.15306122448979592</v>
      </c>
      <c r="L119" s="176">
        <f>INDEX('ROTT TO AG'!$L$6:$U$23,MATCH(MAIN!I119,'ROTT TO AG'!$L$6:$L$23,0),9)</f>
        <v>0.15306122448979592</v>
      </c>
      <c r="M119" s="155"/>
    </row>
    <row r="120" spans="1:13" hidden="1" outlineLevel="1" x14ac:dyDescent="0.25">
      <c r="A120" s="155"/>
      <c r="B120" s="255" t="s">
        <v>64</v>
      </c>
      <c r="C120" s="524"/>
      <c r="D120" s="525"/>
      <c r="E120" s="6" t="s">
        <v>64</v>
      </c>
      <c r="F120" s="175">
        <f>INDEX('ROTT TO AG'!$A$6:$J$23,MATCH(MAIN!E120,'ROTT TO SING'!$J$8:$J$25,0),5)</f>
        <v>6.6666666666666666E-2</v>
      </c>
      <c r="G120" s="178">
        <f>INDEX('ROTT TO AG'!$A$6:$J$23,MATCH(MAIN!E120,'ROTT TO SING'!$J$8:$J$25,0),7)</f>
        <v>6.6666666666666666E-2</v>
      </c>
      <c r="H120" s="176">
        <f>INDEX('ROTT TO AG'!$A$6:$J$23,MATCH(MAIN!E120,'ROTT TO SING'!$J$8:$J$25,0),9)</f>
        <v>6.6666666666666666E-2</v>
      </c>
      <c r="I120" s="6" t="s">
        <v>64</v>
      </c>
      <c r="J120" s="175">
        <f>INDEX('ROTT TO AG'!$L$6:$U$23,MATCH(MAIN!I120,'ROTT TO AG'!$L$6:$L$23,0),5)</f>
        <v>0.10204081632653061</v>
      </c>
      <c r="K120" s="178">
        <f>INDEX('ROTT TO AG'!$L$6:$U$23,MATCH(MAIN!I120,'ROTT TO AG'!$L$6:$L$23,0),7)</f>
        <v>0.10204081632653061</v>
      </c>
      <c r="L120" s="176">
        <f>INDEX('ROTT TO AG'!$L$6:$U$23,MATCH(MAIN!I120,'ROTT TO AG'!$L$6:$L$23,0),9)</f>
        <v>0.10204081632653061</v>
      </c>
      <c r="M120" s="155"/>
    </row>
    <row r="121" spans="1:13" hidden="1" outlineLevel="1" x14ac:dyDescent="0.25">
      <c r="A121" s="155"/>
      <c r="B121" s="255" t="s">
        <v>100</v>
      </c>
      <c r="C121" s="524"/>
      <c r="D121" s="525"/>
      <c r="E121" s="6" t="s">
        <v>100</v>
      </c>
      <c r="F121" s="175">
        <f ca="1">INDEX('ROTT TO AG'!$A$6:$J$23,MATCH(MAIN!E121,'ROTT TO SING'!$J$8:$J$25,0),5)</f>
        <v>42.027922089041098</v>
      </c>
      <c r="G121" s="178">
        <f ca="1">INDEX('ROTT TO AG'!$A$6:$J$23,MATCH(MAIN!E121,'ROTT TO SING'!$J$8:$J$25,0),7)</f>
        <v>178.73073544520545</v>
      </c>
      <c r="H121" s="176">
        <f ca="1">INDEX('ROTT TO AG'!$A$6:$J$23,MATCH(MAIN!E121,'ROTT TO SING'!$J$8:$J$25,0),9)</f>
        <v>178.73073544520545</v>
      </c>
      <c r="I121" s="6" t="s">
        <v>100</v>
      </c>
      <c r="J121" s="175">
        <f ca="1">INDEX('ROTT TO AG'!$L$6:$U$23,MATCH(MAIN!I121,'ROTT TO AG'!$L$6:$L$23,0),5)</f>
        <v>51.792207803326797</v>
      </c>
      <c r="K121" s="178">
        <f ca="1">INDEX('ROTT TO AG'!$L$6:$U$23,MATCH(MAIN!I121,'ROTT TO AG'!$L$6:$L$23,0),7)</f>
        <v>188.49502115949119</v>
      </c>
      <c r="L121" s="176">
        <f ca="1">INDEX('ROTT TO AG'!$L$6:$U$23,MATCH(MAIN!I121,'ROTT TO AG'!$L$6:$L$23,0),9)</f>
        <v>188.49502115949119</v>
      </c>
      <c r="M121" s="155"/>
    </row>
    <row r="122" spans="1:13" hidden="1" outlineLevel="1" x14ac:dyDescent="0.25">
      <c r="A122" s="155"/>
      <c r="B122" s="255" t="s">
        <v>101</v>
      </c>
      <c r="C122" s="524"/>
      <c r="D122" s="525"/>
      <c r="E122" s="6" t="s">
        <v>101</v>
      </c>
      <c r="F122" s="175">
        <f ca="1">INDEX('ROTT TO AG'!$A$6:$J$23,MATCH(MAIN!E122,'ROTT TO SING'!$J$8:$J$25,0),5)</f>
        <v>13.625</v>
      </c>
      <c r="G122" s="178">
        <f ca="1">INDEX('ROTT TO AG'!$A$6:$J$23,MATCH(MAIN!E122,'ROTT TO SING'!$J$8:$J$25,0),7)</f>
        <v>12.5</v>
      </c>
      <c r="H122" s="176">
        <f ca="1">INDEX('ROTT TO AG'!$A$6:$J$23,MATCH(MAIN!E122,'ROTT TO SING'!$J$8:$J$25,0),9)</f>
        <v>12.5</v>
      </c>
      <c r="I122" s="6" t="s">
        <v>101</v>
      </c>
      <c r="J122" s="175">
        <f ca="1">INDEX('ROTT TO AG'!$L$6:$U$23,MATCH(MAIN!I122,'ROTT TO AG'!$L$6:$L$23,0),5)</f>
        <v>13.625</v>
      </c>
      <c r="K122" s="178">
        <f ca="1">INDEX('ROTT TO AG'!$L$6:$U$23,MATCH(MAIN!I122,'ROTT TO AG'!$L$6:$L$23,0),7)</f>
        <v>12.5</v>
      </c>
      <c r="L122" s="176">
        <f ca="1">INDEX('ROTT TO AG'!$L$6:$U$23,MATCH(MAIN!I122,'ROTT TO AG'!$L$6:$L$23,0),9)</f>
        <v>12.5</v>
      </c>
      <c r="M122" s="155"/>
    </row>
    <row r="123" spans="1:13" hidden="1" outlineLevel="1" x14ac:dyDescent="0.25">
      <c r="A123" s="155"/>
      <c r="B123" s="255" t="s">
        <v>113</v>
      </c>
      <c r="C123" s="524"/>
      <c r="D123" s="525"/>
      <c r="E123" s="6" t="s">
        <v>113</v>
      </c>
      <c r="F123" s="175">
        <f ca="1">INDEX('ROTT TO AG'!$A$6:$J$23,MATCH(MAIN!E123,'ROTT TO SING'!$J$8:$J$25,0),5)</f>
        <v>-28.402922089041098</v>
      </c>
      <c r="G123" s="178">
        <f ca="1">INDEX('ROTT TO AG'!$A$6:$J$23,MATCH(MAIN!E123,'ROTT TO SING'!$J$8:$J$25,0),7)</f>
        <v>-166.23073544520545</v>
      </c>
      <c r="H123" s="176">
        <f ca="1">INDEX('ROTT TO AG'!$A$6:$J$23,MATCH(MAIN!E123,'ROTT TO SING'!$J$8:$J$25,0),9)</f>
        <v>-166.23073544520545</v>
      </c>
      <c r="I123" s="6" t="s">
        <v>113</v>
      </c>
      <c r="J123" s="175">
        <f ca="1">INDEX('ROTT TO AG'!$L$6:$U$23,MATCH(MAIN!I123,'ROTT TO AG'!$L$6:$L$23,0),5)</f>
        <v>-38.167207803326797</v>
      </c>
      <c r="K123" s="178">
        <f ca="1">INDEX('ROTT TO AG'!$L$6:$U$23,MATCH(MAIN!I123,'ROTT TO AG'!$L$6:$L$23,0),7)</f>
        <v>-175.99502115949119</v>
      </c>
      <c r="L123" s="176">
        <f ca="1">INDEX('ROTT TO AG'!$L$6:$U$23,MATCH(MAIN!I123,'ROTT TO AG'!$L$6:$L$23,0),9)</f>
        <v>-175.99502115949119</v>
      </c>
      <c r="M123" s="155"/>
    </row>
    <row r="124" spans="1:13" ht="15.75" hidden="1" outlineLevel="1" thickBot="1" x14ac:dyDescent="0.3">
      <c r="A124" s="155"/>
      <c r="B124" s="256" t="s">
        <v>126</v>
      </c>
      <c r="C124" s="524"/>
      <c r="D124" s="525"/>
      <c r="E124" s="6" t="s">
        <v>126</v>
      </c>
      <c r="F124" s="201">
        <f ca="1">'ROTT TO AG'!E4</f>
        <v>45918</v>
      </c>
      <c r="G124" s="202">
        <f ca="1">'ROTT TO AG'!G4</f>
        <v>45932</v>
      </c>
      <c r="H124" s="203">
        <f ca="1">'ROTT TO AG'!I4</f>
        <v>45946</v>
      </c>
      <c r="I124" s="6" t="s">
        <v>126</v>
      </c>
      <c r="J124" s="201">
        <f ca="1">F124</f>
        <v>45918</v>
      </c>
      <c r="K124" s="202">
        <f ca="1">G124</f>
        <v>45932</v>
      </c>
      <c r="L124" s="203">
        <f ca="1">H124</f>
        <v>45946</v>
      </c>
      <c r="M124" s="155"/>
    </row>
    <row r="125" spans="1:13" ht="15.75" hidden="1" collapsed="1" thickBot="1" x14ac:dyDescent="0.3">
      <c r="A125" s="199" t="s">
        <v>137</v>
      </c>
      <c r="B125" s="168"/>
      <c r="C125" s="259"/>
      <c r="D125" s="260"/>
      <c r="E125" s="10"/>
      <c r="F125" s="159" t="e">
        <f ca="1">F145+F126-F127</f>
        <v>#N/A</v>
      </c>
      <c r="G125" s="160" t="e">
        <f ca="1">G145+G126-G127</f>
        <v>#N/A</v>
      </c>
      <c r="H125" s="161" t="e">
        <f ca="1">H145+H126-H127</f>
        <v>#N/A</v>
      </c>
      <c r="I125" s="10"/>
      <c r="J125" s="159" t="e">
        <f ca="1">J145+J126-J127</f>
        <v>#N/A</v>
      </c>
      <c r="K125" s="160" t="e">
        <f ca="1">K145+K126-K127</f>
        <v>#N/A</v>
      </c>
      <c r="L125" s="161" t="e">
        <f ca="1">L145+L126-L127</f>
        <v>#N/A</v>
      </c>
      <c r="M125" s="155"/>
    </row>
    <row r="126" spans="1:13" ht="15.75" hidden="1" thickBot="1" x14ac:dyDescent="0.3">
      <c r="A126" s="155"/>
      <c r="B126" s="169" t="s">
        <v>128</v>
      </c>
      <c r="C126" s="524"/>
      <c r="D126" s="538"/>
      <c r="E126" s="177" t="s">
        <v>128</v>
      </c>
      <c r="F126" s="175">
        <f ca="1">INDEX(Premium!$A$2:$D$12,MATCH(MAIN!$A125,Premium!$A$2:$A$12,0),MATCH(EOMONTH(MAIN!F102,-1)+1,Premium!$A$2:$D$2,0))</f>
        <v>-29.67</v>
      </c>
      <c r="G126" s="178">
        <f ca="1">INDEX(Premium!$A$2:$D$12,MATCH(MAIN!$A125,Premium!$A$2:$A$12,0),MATCH(EOMONTH(MAIN!G102,-1)+1,Premium!$A$2:$D$2,0))</f>
        <v>-29.67</v>
      </c>
      <c r="H126" s="176">
        <f ca="1">INDEX(Premium!$A$2:$D$12,MATCH(MAIN!$A125,Premium!$A$2:$A$12,0),MATCH(EOMONTH(MAIN!H102,-1)+1,Premium!$A$2:$D$2,0))</f>
        <v>-29.67</v>
      </c>
      <c r="I126" s="177" t="s">
        <v>128</v>
      </c>
      <c r="J126" s="175">
        <f ca="1">INDEX(Premium!$A$2:$D$12,MATCH(MAIN!$A125,Premium!$A$2:$A$12,0),MATCH(EOMONTH(MAIN!J102,-1)+1,Premium!$A$2:$D$2,0))</f>
        <v>-29.67</v>
      </c>
      <c r="K126" s="178">
        <f ca="1">INDEX(Premium!$A$2:$D$12,MATCH(MAIN!$A125,Premium!$A$2:$A$12,0),MATCH(EOMONTH(MAIN!K102,-1)+1,Premium!$A$2:$D$2,0))</f>
        <v>-29.67</v>
      </c>
      <c r="L126" s="176">
        <f ca="1">INDEX(Premium!$A$2:$D$12,MATCH(MAIN!$A125,Premium!$A$2:$A$12,0),MATCH(EOMONTH(MAIN!L102,-1)+1,Premium!$A$2:$D$2,0))</f>
        <v>-29.67</v>
      </c>
      <c r="M126" s="155"/>
    </row>
    <row r="127" spans="1:13" ht="15.75" hidden="1" thickBot="1" x14ac:dyDescent="0.3">
      <c r="B127" s="170" t="s">
        <v>132</v>
      </c>
      <c r="C127" s="524"/>
      <c r="D127" s="538"/>
      <c r="E127" s="177" t="s">
        <v>127</v>
      </c>
      <c r="F127" s="175" t="e">
        <f ca="1">INDEX(Premium!$A$21:$D$29,MATCH(LEFT(MAIN!$A125,3),Premium!$A$21:$A$29,0),MATCH(EOMONTH(MAIN!F146,-1)+1,Premium!$A$21:$D$21,0))</f>
        <v>#N/A</v>
      </c>
      <c r="G127" s="178" t="e">
        <f ca="1">INDEX(Premium!$A$21:$D$29,MATCH(LEFT(MAIN!$A125,3),Premium!$A$21:$A$29,0),MATCH(EOMONTH(MAIN!G146,-1)+1,Premium!$A$21:$D$21,0))</f>
        <v>#N/A</v>
      </c>
      <c r="H127" s="176" t="e">
        <f ca="1">INDEX(Premium!$A$21:$D$29,MATCH(LEFT(MAIN!$A125,3),Premium!$A$21:$A$29,0),MATCH(EOMONTH(MAIN!H146,-1)+1,Premium!$A$21:$D$21,0))</f>
        <v>#N/A</v>
      </c>
      <c r="I127" s="177" t="e">
        <f>INDEX(Premium!$A$21:$D$29,MATCH(LEFT(MAIN!$A125,3),Premium!$A$21:$A$29,0),MATCH(EOMONTH(MAIN!I146,-1)+1,Premium!$A$21:$D$21,0))</f>
        <v>#N/A</v>
      </c>
      <c r="J127" s="175" t="e">
        <f ca="1">INDEX(Premium!$A$21:$D$29,MATCH(LEFT(MAIN!$A125,3),Premium!$A$21:$A$29,0),MATCH(EOMONTH(MAIN!J146,-1)+1,Premium!$A$21:$D$21,0))</f>
        <v>#N/A</v>
      </c>
      <c r="K127" s="178" t="e">
        <f ca="1">INDEX(Premium!$A$21:$D$29,MATCH(LEFT(MAIN!$A125,3),Premium!$A$21:$A$29,0),MATCH(EOMONTH(MAIN!K146,-1)+1,Premium!$A$21:$D$21,0))</f>
        <v>#N/A</v>
      </c>
      <c r="L127" s="176" t="e">
        <f ca="1">INDEX(Premium!$A$21:$D$29,MATCH(LEFT(MAIN!$A125,3),Premium!$A$21:$A$29,0),MATCH(EOMONTH(MAIN!L146,-1)+1,Premium!$A$21:$D$21,0))</f>
        <v>#N/A</v>
      </c>
      <c r="M127" s="155"/>
    </row>
    <row r="128" spans="1:13" hidden="1" outlineLevel="1" x14ac:dyDescent="0.25">
      <c r="A128" s="155"/>
      <c r="B128" s="254" t="s">
        <v>53</v>
      </c>
      <c r="C128" s="524"/>
      <c r="D128" s="538"/>
      <c r="E128" s="232" t="s">
        <v>53</v>
      </c>
      <c r="F128" s="234">
        <f>INDEX('ROTT TO AG'!$A$6:$J$23,MATCH(MAIN!E128,'ROTT TO AG'!$A$6:$A$23,0),5)</f>
        <v>32.666666666666664</v>
      </c>
      <c r="G128" s="235">
        <f>INDEX('ROTT TO AG'!$A$6:$J$23,MATCH(MAIN!E128,'ROTT TO AG'!$A$6:$A$23,0),7)</f>
        <v>32.666666666666664</v>
      </c>
      <c r="H128" s="236">
        <f>INDEX('ROTT TO AG'!$A$6:$J$23,MATCH(MAIN!E128,'ROTT TO AG'!$A$6:$A$23,0),9)</f>
        <v>32.666666666666664</v>
      </c>
      <c r="I128" s="232" t="s">
        <v>53</v>
      </c>
      <c r="J128" s="247">
        <f>INDEX('ROTT TO AG'!$L$6:$U$23,MATCH(MAIN!I128,'ROTT TO AG'!$L$6:$L$23,0),5)</f>
        <v>42.857142857142854</v>
      </c>
      <c r="K128" s="235">
        <f>INDEX('ROTT TO AG'!$L$6:$U$23,MATCH(MAIN!I128,'ROTT TO AG'!$L$6:$L$23,0),7)</f>
        <v>42.857142857142854</v>
      </c>
      <c r="L128" s="236">
        <f>INDEX('ROTT TO AG'!$L$6:$U$23,MATCH(MAIN!I128,'ROTT TO AG'!$L$6:$L$23,0),9)</f>
        <v>42.857142857142854</v>
      </c>
      <c r="M128" s="155"/>
    </row>
    <row r="129" spans="1:13" hidden="1" outlineLevel="1" x14ac:dyDescent="0.25">
      <c r="A129" s="155"/>
      <c r="B129" s="255" t="s">
        <v>54</v>
      </c>
      <c r="C129" s="524"/>
      <c r="D129" s="538"/>
      <c r="E129" s="177" t="s">
        <v>54</v>
      </c>
      <c r="F129" s="175">
        <f>INDEX('ROTT TO AG'!$A$6:$J$23,MATCH(MAIN!E129,'ROTT TO AG'!$A$6:$A$23,0),5)</f>
        <v>0</v>
      </c>
      <c r="G129" s="178">
        <f>INDEX('ROTT TO AG'!$A$6:$J$23,MATCH(MAIN!E129,'ROTT TO AG'!$A$6:$A$23,0),7)</f>
        <v>0</v>
      </c>
      <c r="H129" s="176">
        <f>INDEX('ROTT TO AG'!$A$6:$J$23,MATCH(MAIN!E129,'ROTT TO AG'!$A$6:$A$23,0),9)</f>
        <v>0</v>
      </c>
      <c r="I129" s="177" t="s">
        <v>54</v>
      </c>
      <c r="J129" s="248">
        <f>INDEX('ROTT TO AG'!$L$6:$U$23,MATCH(MAIN!I129,'ROTT TO AG'!$L$6:$L$23,0),5)</f>
        <v>0</v>
      </c>
      <c r="K129" s="178">
        <f>INDEX('ROTT TO AG'!$L$6:$U$23,MATCH(MAIN!I129,'ROTT TO AG'!$L$6:$L$23,0),7)</f>
        <v>0</v>
      </c>
      <c r="L129" s="176">
        <f>INDEX('ROTT TO AG'!$L$6:$U$23,MATCH(MAIN!I129,'ROTT TO AG'!$L$6:$L$23,0),9)</f>
        <v>0</v>
      </c>
      <c r="M129" s="155"/>
    </row>
    <row r="130" spans="1:13" hidden="1" outlineLevel="1" x14ac:dyDescent="0.25">
      <c r="A130" s="155"/>
      <c r="B130" s="255" t="s">
        <v>55</v>
      </c>
      <c r="C130" s="524"/>
      <c r="D130" s="538"/>
      <c r="E130" s="177" t="s">
        <v>55</v>
      </c>
      <c r="F130" s="175">
        <f>INDEX('ROTT TO AG'!$A$6:$J$23,MATCH(MAIN!E130,'ROTT TO AG'!$A$6:$A$23,0),5)</f>
        <v>3.8333333333333335</v>
      </c>
      <c r="G130" s="178">
        <f>INDEX('ROTT TO AG'!$A$6:$J$23,MATCH(MAIN!E130,'ROTT TO AG'!$A$6:$A$23,0),7)</f>
        <v>3.8333333333333335</v>
      </c>
      <c r="H130" s="176">
        <f>INDEX('ROTT TO AG'!$A$6:$J$23,MATCH(MAIN!E130,'ROTT TO AG'!$A$6:$A$23,0),9)</f>
        <v>3.8333333333333335</v>
      </c>
      <c r="I130" s="177" t="s">
        <v>55</v>
      </c>
      <c r="J130" s="248">
        <f>INDEX('ROTT TO AG'!$L$6:$U$23,MATCH(MAIN!I130,'ROTT TO AG'!$L$6:$L$23,0),5)</f>
        <v>3.0357142857142856</v>
      </c>
      <c r="K130" s="178">
        <f>INDEX('ROTT TO AG'!$L$6:$U$23,MATCH(MAIN!I130,'ROTT TO AG'!$L$6:$L$23,0),7)</f>
        <v>3.0357142857142856</v>
      </c>
      <c r="L130" s="176">
        <f>INDEX('ROTT TO AG'!$L$6:$U$23,MATCH(MAIN!I130,'ROTT TO AG'!$L$6:$L$23,0),9)</f>
        <v>3.0357142857142856</v>
      </c>
      <c r="M130" s="155"/>
    </row>
    <row r="131" spans="1:13" hidden="1" outlineLevel="1" x14ac:dyDescent="0.25">
      <c r="A131" s="155"/>
      <c r="B131" s="255" t="s">
        <v>56</v>
      </c>
      <c r="C131" s="524"/>
      <c r="D131" s="538"/>
      <c r="E131" s="177" t="s">
        <v>56</v>
      </c>
      <c r="F131" s="175">
        <f>INDEX('ROTT TO AG'!$A$6:$J$23,MATCH(MAIN!E131,'ROTT TO AG'!$A$6:$A$23,0),5)</f>
        <v>0.1</v>
      </c>
      <c r="G131" s="178">
        <f>INDEX('ROTT TO AG'!$A$6:$J$23,MATCH(MAIN!E131,'ROTT TO AG'!$A$6:$A$23,0),7)</f>
        <v>0.1</v>
      </c>
      <c r="H131" s="176">
        <f>INDEX('ROTT TO AG'!$A$6:$J$23,MATCH(MAIN!E131,'ROTT TO AG'!$A$6:$A$23,0),9)</f>
        <v>0.1</v>
      </c>
      <c r="I131" s="177" t="s">
        <v>56</v>
      </c>
      <c r="J131" s="248">
        <f>INDEX('ROTT TO AG'!$L$6:$U$23,MATCH(MAIN!I131,'ROTT TO AG'!$L$6:$L$23,0),5)</f>
        <v>0.15306122448979592</v>
      </c>
      <c r="K131" s="178">
        <f>INDEX('ROTT TO AG'!$L$6:$U$23,MATCH(MAIN!I131,'ROTT TO AG'!$L$6:$L$23,0),7)</f>
        <v>0.15306122448979592</v>
      </c>
      <c r="L131" s="176">
        <f>INDEX('ROTT TO AG'!$L$6:$U$23,MATCH(MAIN!I131,'ROTT TO AG'!$L$6:$L$23,0),9)</f>
        <v>0.15306122448979592</v>
      </c>
      <c r="M131" s="155"/>
    </row>
    <row r="132" spans="1:13" hidden="1" outlineLevel="1" x14ac:dyDescent="0.25">
      <c r="A132" s="155"/>
      <c r="B132" s="255" t="s">
        <v>124</v>
      </c>
      <c r="C132" s="524"/>
      <c r="D132" s="538"/>
      <c r="E132" s="177" t="s">
        <v>124</v>
      </c>
      <c r="F132" s="175">
        <f>INDEX('ROTT TO AG'!$A$6:$J$23,MATCH(MAIN!E132,'ROTT TO AG'!$A$6:$A$23,0),5)</f>
        <v>0.16666666666666666</v>
      </c>
      <c r="G132" s="178">
        <f>INDEX('ROTT TO AG'!$A$6:$J$23,MATCH(MAIN!E132,'ROTT TO AG'!$A$6:$A$23,0),7)</f>
        <v>0.16666666666666666</v>
      </c>
      <c r="H132" s="176">
        <f>INDEX('ROTT TO AG'!$A$6:$J$23,MATCH(MAIN!E132,'ROTT TO AG'!$A$6:$A$23,0),9)</f>
        <v>0.16666666666666666</v>
      </c>
      <c r="I132" s="177" t="s">
        <v>124</v>
      </c>
      <c r="J132" s="248">
        <f>INDEX('ROTT TO AG'!$L$6:$U$23,MATCH(MAIN!I132,'ROTT TO AG'!$L$6:$L$23,0),5)</f>
        <v>0.25510204081632654</v>
      </c>
      <c r="K132" s="178">
        <f>INDEX('ROTT TO AG'!$L$6:$U$23,MATCH(MAIN!I132,'ROTT TO AG'!$L$6:$L$23,0),7)</f>
        <v>0.25510204081632654</v>
      </c>
      <c r="L132" s="176">
        <f>INDEX('ROTT TO AG'!$L$6:$U$23,MATCH(MAIN!I132,'ROTT TO AG'!$L$6:$L$23,0),9)</f>
        <v>0.25510204081632654</v>
      </c>
      <c r="M132" s="155"/>
    </row>
    <row r="133" spans="1:13" hidden="1" outlineLevel="1" x14ac:dyDescent="0.25">
      <c r="A133" s="155"/>
      <c r="B133" s="255" t="s">
        <v>125</v>
      </c>
      <c r="C133" s="524"/>
      <c r="D133" s="538"/>
      <c r="E133" s="177" t="s">
        <v>125</v>
      </c>
      <c r="F133" s="175">
        <f>INDEX('ROTT TO AG'!$A$6:$J$23,MATCH(MAIN!E133,'ROTT TO AG'!$A$6:$A$23,0),5)</f>
        <v>0.16666666666666666</v>
      </c>
      <c r="G133" s="178">
        <f>INDEX('ROTT TO AG'!$A$6:$J$23,MATCH(MAIN!E133,'ROTT TO AG'!$A$6:$A$23,0),7)</f>
        <v>0.16666666666666666</v>
      </c>
      <c r="H133" s="176">
        <f>INDEX('ROTT TO AG'!$A$6:$J$23,MATCH(MAIN!E133,'ROTT TO AG'!$A$6:$A$23,0),9)</f>
        <v>0.16666666666666666</v>
      </c>
      <c r="I133" s="177" t="s">
        <v>125</v>
      </c>
      <c r="J133" s="248">
        <f>INDEX('ROTT TO AG'!$L$6:$U$23,MATCH(MAIN!I133,'ROTT TO AG'!$L$6:$L$23,0),5)</f>
        <v>0.25510204081632654</v>
      </c>
      <c r="K133" s="178">
        <f>INDEX('ROTT TO AG'!$L$6:$U$23,MATCH(MAIN!I133,'ROTT TO AG'!$L$6:$L$23,0),7)</f>
        <v>0.25510204081632654</v>
      </c>
      <c r="L133" s="176">
        <f>INDEX('ROTT TO AG'!$L$6:$U$23,MATCH(MAIN!I133,'ROTT TO AG'!$L$6:$L$23,0),9)</f>
        <v>0.25510204081632654</v>
      </c>
      <c r="M133" s="155"/>
    </row>
    <row r="134" spans="1:13" hidden="1" outlineLevel="1" x14ac:dyDescent="0.25">
      <c r="A134" s="155"/>
      <c r="B134" s="255" t="s">
        <v>81</v>
      </c>
      <c r="C134" s="524"/>
      <c r="D134" s="538"/>
      <c r="E134" s="177" t="s">
        <v>81</v>
      </c>
      <c r="F134" s="175">
        <f ca="1">INDEX('ROTT TO AG'!$A$6:$J$23,MATCH(MAIN!E134,'ROTT TO AG'!$A$6:$A$23,0),5)</f>
        <v>3.379109589041096</v>
      </c>
      <c r="G134" s="178">
        <f ca="1">INDEX('ROTT TO AG'!$A$6:$J$23,MATCH(MAIN!E134,'ROTT TO AG'!$A$6:$A$23,0),7)</f>
        <v>3.3655479452054795</v>
      </c>
      <c r="H134" s="176">
        <f ca="1">INDEX('ROTT TO AG'!$A$6:$J$23,MATCH(MAIN!E134,'ROTT TO AG'!$A$6:$A$23,0),9)</f>
        <v>3.3655479452054795</v>
      </c>
      <c r="I134" s="177" t="s">
        <v>81</v>
      </c>
      <c r="J134" s="248">
        <f ca="1">INDEX('ROTT TO AG'!$L$6:$U$23,MATCH(MAIN!I134,'ROTT TO AG'!$L$6:$L$23,0),5)</f>
        <v>3.379109589041096</v>
      </c>
      <c r="K134" s="178">
        <f ca="1">INDEX('ROTT TO AG'!$L$6:$U$23,MATCH(MAIN!I134,'ROTT TO AG'!$L$6:$L$23,0),7)</f>
        <v>3.3655479452054795</v>
      </c>
      <c r="L134" s="176">
        <f ca="1">INDEX('ROTT TO AG'!$L$6:$U$23,MATCH(MAIN!I134,'ROTT TO AG'!$L$6:$L$23,0),9)</f>
        <v>3.3655479452054795</v>
      </c>
      <c r="M134" s="155"/>
    </row>
    <row r="135" spans="1:13" hidden="1" outlineLevel="1" x14ac:dyDescent="0.25">
      <c r="A135" s="155"/>
      <c r="B135" s="255" t="s">
        <v>57</v>
      </c>
      <c r="C135" s="524"/>
      <c r="D135" s="538"/>
      <c r="E135" s="177" t="s">
        <v>57</v>
      </c>
      <c r="F135" s="175">
        <f>INDEX('ROTT TO AG'!$A$6:$J$23,MATCH(MAIN!E135,'ROTT TO AG'!$A$6:$A$23,0),5)</f>
        <v>0</v>
      </c>
      <c r="G135" s="178">
        <f>INDEX('ROTT TO AG'!$A$6:$J$23,MATCH(MAIN!E135,'ROTT TO AG'!$A$6:$A$23,0),7)</f>
        <v>0</v>
      </c>
      <c r="H135" s="176">
        <f>INDEX('ROTT TO AG'!$A$6:$J$23,MATCH(MAIN!E135,'ROTT TO AG'!$A$6:$A$23,0),9)</f>
        <v>0</v>
      </c>
      <c r="I135" s="177" t="s">
        <v>57</v>
      </c>
      <c r="J135" s="248">
        <f>INDEX('ROTT TO AG'!$L$6:$U$23,MATCH(MAIN!I135,'ROTT TO AG'!$L$6:$L$23,0),5)</f>
        <v>0</v>
      </c>
      <c r="K135" s="178">
        <f>INDEX('ROTT TO AG'!$L$6:$U$23,MATCH(MAIN!I135,'ROTT TO AG'!$L$6:$L$23,0),7)</f>
        <v>0</v>
      </c>
      <c r="L135" s="176">
        <f>INDEX('ROTT TO AG'!$L$6:$U$23,MATCH(MAIN!I135,'ROTT TO AG'!$L$6:$L$23,0),9)</f>
        <v>0</v>
      </c>
      <c r="M135" s="155"/>
    </row>
    <row r="136" spans="1:13" hidden="1" outlineLevel="1" x14ac:dyDescent="0.25">
      <c r="A136" s="155"/>
      <c r="B136" s="255" t="s">
        <v>58</v>
      </c>
      <c r="C136" s="524"/>
      <c r="D136" s="538"/>
      <c r="E136" s="177" t="s">
        <v>58</v>
      </c>
      <c r="F136" s="175">
        <f ca="1">INDEX('ROTT TO AG'!$A$6:$J$23,MATCH(MAIN!E136,'ROTT TO AG'!$A$6:$A$23,0),5)</f>
        <v>0.28031250000000002</v>
      </c>
      <c r="G136" s="178">
        <f ca="1">INDEX('ROTT TO AG'!$A$6:$J$23,MATCH(MAIN!E136,'ROTT TO AG'!$A$6:$A$23,0),7)</f>
        <v>0.27918750000000003</v>
      </c>
      <c r="H136" s="176">
        <f ca="1">INDEX('ROTT TO AG'!$A$6:$J$23,MATCH(MAIN!E136,'ROTT TO AG'!$A$6:$A$23,0),9)</f>
        <v>0.27918750000000003</v>
      </c>
      <c r="I136" s="177" t="s">
        <v>58</v>
      </c>
      <c r="J136" s="248">
        <f ca="1">INDEX('ROTT TO AG'!$L$6:$U$23,MATCH(MAIN!I136,'ROTT TO AG'!$L$6:$L$23,0),5)</f>
        <v>0.28031250000000002</v>
      </c>
      <c r="K136" s="178">
        <f ca="1">INDEX('ROTT TO AG'!$L$6:$U$23,MATCH(MAIN!I136,'ROTT TO AG'!$L$6:$L$23,0),7)</f>
        <v>0.27918750000000003</v>
      </c>
      <c r="L136" s="176">
        <f ca="1">INDEX('ROTT TO AG'!$L$6:$U$23,MATCH(MAIN!I136,'ROTT TO AG'!$L$6:$L$23,0),9)</f>
        <v>0.27918750000000003</v>
      </c>
      <c r="M136" s="155"/>
    </row>
    <row r="137" spans="1:13" hidden="1" outlineLevel="1" x14ac:dyDescent="0.25">
      <c r="A137" s="155"/>
      <c r="B137" s="255" t="s">
        <v>59</v>
      </c>
      <c r="C137" s="524"/>
      <c r="D137" s="538"/>
      <c r="E137" s="177" t="s">
        <v>59</v>
      </c>
      <c r="F137" s="175">
        <f ca="1">INDEX('ROTT TO AG'!$A$6:$J$23,MATCH(MAIN!E137,'ROTT TO AG'!$A$6:$A$23,0),5)</f>
        <v>1.1685000000000001</v>
      </c>
      <c r="G137" s="178">
        <f ca="1">INDEX('ROTT TO AG'!$A$6:$J$23,MATCH(MAIN!E137,'ROTT TO AG'!$A$6:$A$23,0),7)</f>
        <v>137.886</v>
      </c>
      <c r="H137" s="176">
        <f ca="1">INDEX('ROTT TO AG'!$A$6:$J$23,MATCH(MAIN!E137,'ROTT TO AG'!$A$6:$A$23,0),9)</f>
        <v>137.886</v>
      </c>
      <c r="I137" s="177" t="s">
        <v>59</v>
      </c>
      <c r="J137" s="248">
        <f ca="1">INDEX('ROTT TO AG'!$L$6:$U$23,MATCH(MAIN!I137,'ROTT TO AG'!$L$6:$L$23,0),5)</f>
        <v>1.1685000000000001</v>
      </c>
      <c r="K137" s="178">
        <f ca="1">INDEX('ROTT TO AG'!$L$6:$U$23,MATCH(MAIN!I137,'ROTT TO AG'!$L$6:$L$23,0),7)</f>
        <v>137.886</v>
      </c>
      <c r="L137" s="176">
        <f ca="1">INDEX('ROTT TO AG'!$L$6:$U$23,MATCH(MAIN!I137,'ROTT TO AG'!$L$6:$L$23,0),9)</f>
        <v>137.886</v>
      </c>
      <c r="M137" s="155"/>
    </row>
    <row r="138" spans="1:13" hidden="1" outlineLevel="1" x14ac:dyDescent="0.25">
      <c r="A138" s="155"/>
      <c r="B138" s="255" t="s">
        <v>60</v>
      </c>
      <c r="C138" s="524"/>
      <c r="D138" s="538"/>
      <c r="E138" s="177" t="s">
        <v>60</v>
      </c>
      <c r="F138" s="175">
        <f>INDEX('ROTT TO AG'!$A$6:$J$23,MATCH(MAIN!E138,'ROTT TO AG'!$A$6:$A$23,0),5)</f>
        <v>8.3333333333333329E-2</v>
      </c>
      <c r="G138" s="178">
        <f>INDEX('ROTT TO AG'!$A$6:$J$23,MATCH(MAIN!E138,'ROTT TO AG'!$A$6:$A$23,0),7)</f>
        <v>8.3333333333333329E-2</v>
      </c>
      <c r="H138" s="176">
        <f>INDEX('ROTT TO AG'!$A$6:$J$23,MATCH(MAIN!E138,'ROTT TO AG'!$A$6:$A$23,0),9)</f>
        <v>8.3333333333333329E-2</v>
      </c>
      <c r="I138" s="177" t="s">
        <v>60</v>
      </c>
      <c r="J138" s="248">
        <f>INDEX('ROTT TO AG'!$L$6:$U$23,MATCH(MAIN!I138,'ROTT TO AG'!$L$6:$L$23,0),5)</f>
        <v>0.12755102040816327</v>
      </c>
      <c r="K138" s="178">
        <f>INDEX('ROTT TO AG'!$L$6:$U$23,MATCH(MAIN!I138,'ROTT TO AG'!$L$6:$L$23,0),7)</f>
        <v>0.12755102040816327</v>
      </c>
      <c r="L138" s="176">
        <f>INDEX('ROTT TO AG'!$L$6:$U$23,MATCH(MAIN!I138,'ROTT TO AG'!$L$6:$L$23,0),9)</f>
        <v>0.12755102040816327</v>
      </c>
      <c r="M138" s="155"/>
    </row>
    <row r="139" spans="1:13" hidden="1" outlineLevel="1" x14ac:dyDescent="0.25">
      <c r="A139" s="155"/>
      <c r="B139" s="255" t="s">
        <v>61</v>
      </c>
      <c r="C139" s="524"/>
      <c r="D139" s="538"/>
      <c r="E139" s="177" t="s">
        <v>61</v>
      </c>
      <c r="F139" s="175">
        <f>INDEX('ROTT TO AG'!$A$6:$J$23,MATCH(MAIN!E139,'ROTT TO AG'!$A$6:$A$23,0),5)</f>
        <v>8.3333333333333332E-3</v>
      </c>
      <c r="G139" s="178">
        <f>INDEX('ROTT TO AG'!$A$6:$J$23,MATCH(MAIN!E139,'ROTT TO AG'!$A$6:$A$23,0),7)</f>
        <v>8.3333333333333332E-3</v>
      </c>
      <c r="H139" s="176">
        <f>INDEX('ROTT TO AG'!$A$6:$J$23,MATCH(MAIN!E139,'ROTT TO AG'!$A$6:$A$23,0),9)</f>
        <v>8.3333333333333332E-3</v>
      </c>
      <c r="I139" s="177" t="s">
        <v>61</v>
      </c>
      <c r="J139" s="248">
        <f>INDEX('ROTT TO AG'!$L$6:$U$23,MATCH(MAIN!I139,'ROTT TO AG'!$L$6:$L$23,0),5)</f>
        <v>1.2755102040816327E-2</v>
      </c>
      <c r="K139" s="178">
        <f>INDEX('ROTT TO AG'!$L$6:$U$23,MATCH(MAIN!I139,'ROTT TO AG'!$L$6:$L$23,0),7)</f>
        <v>1.2755102040816327E-2</v>
      </c>
      <c r="L139" s="176">
        <f>INDEX('ROTT TO AG'!$L$6:$U$23,MATCH(MAIN!I139,'ROTT TO AG'!$L$6:$L$23,0),9)</f>
        <v>1.2755102040816327E-2</v>
      </c>
      <c r="M139" s="155"/>
    </row>
    <row r="140" spans="1:13" hidden="1" outlineLevel="1" x14ac:dyDescent="0.25">
      <c r="A140" s="155"/>
      <c r="B140" s="255" t="s">
        <v>62</v>
      </c>
      <c r="C140" s="524"/>
      <c r="D140" s="538"/>
      <c r="E140" s="177" t="s">
        <v>62</v>
      </c>
      <c r="F140" s="175">
        <f>INDEX('ROTT TO AG'!$A$6:$J$23,MATCH(MAIN!E140,'ROTT TO AG'!$A$6:$A$23,0),5)</f>
        <v>8.3333333333333332E-3</v>
      </c>
      <c r="G140" s="178">
        <f>INDEX('ROTT TO AG'!$A$6:$J$23,MATCH(MAIN!E140,'ROTT TO AG'!$A$6:$A$23,0),7)</f>
        <v>8.3333333333333332E-3</v>
      </c>
      <c r="H140" s="176">
        <f>INDEX('ROTT TO AG'!$A$6:$J$23,MATCH(MAIN!E140,'ROTT TO AG'!$A$6:$A$23,0),9)</f>
        <v>8.3333333333333332E-3</v>
      </c>
      <c r="I140" s="177" t="s">
        <v>62</v>
      </c>
      <c r="J140" s="248">
        <f>INDEX('ROTT TO AG'!$L$6:$U$23,MATCH(MAIN!I140,'ROTT TO AG'!$L$6:$L$23,0),5)</f>
        <v>1.2755102040816327E-2</v>
      </c>
      <c r="K140" s="178">
        <f>INDEX('ROTT TO AG'!$L$6:$U$23,MATCH(MAIN!I140,'ROTT TO AG'!$L$6:$L$23,0),7)</f>
        <v>1.2755102040816327E-2</v>
      </c>
      <c r="L140" s="176">
        <f>INDEX('ROTT TO AG'!$L$6:$U$23,MATCH(MAIN!I140,'ROTT TO AG'!$L$6:$L$23,0),9)</f>
        <v>1.2755102040816327E-2</v>
      </c>
      <c r="M140" s="155"/>
    </row>
    <row r="141" spans="1:13" hidden="1" outlineLevel="1" x14ac:dyDescent="0.25">
      <c r="A141" s="155"/>
      <c r="B141" s="255" t="s">
        <v>63</v>
      </c>
      <c r="C141" s="524"/>
      <c r="D141" s="538"/>
      <c r="E141" s="177" t="s">
        <v>63</v>
      </c>
      <c r="F141" s="175">
        <f>INDEX('ROTT TO AG'!$A$6:$J$23,MATCH(MAIN!E141,'ROTT TO AG'!$A$6:$A$23,0),5)</f>
        <v>0.1</v>
      </c>
      <c r="G141" s="178">
        <f>INDEX('ROTT TO AG'!$A$6:$J$23,MATCH(MAIN!E141,'ROTT TO AG'!$A$6:$A$23,0),7)</f>
        <v>0.1</v>
      </c>
      <c r="H141" s="176">
        <f>INDEX('ROTT TO AG'!$A$6:$J$23,MATCH(MAIN!E141,'ROTT TO AG'!$A$6:$A$23,0),9)</f>
        <v>0.1</v>
      </c>
      <c r="I141" s="177" t="s">
        <v>63</v>
      </c>
      <c r="J141" s="248">
        <f>INDEX('ROTT TO AG'!$L$6:$U$23,MATCH(MAIN!I141,'ROTT TO AG'!$L$6:$L$23,0),5)</f>
        <v>0.15306122448979592</v>
      </c>
      <c r="K141" s="178">
        <f>INDEX('ROTT TO AG'!$L$6:$U$23,MATCH(MAIN!I141,'ROTT TO AG'!$L$6:$L$23,0),7)</f>
        <v>0.15306122448979592</v>
      </c>
      <c r="L141" s="176">
        <f>INDEX('ROTT TO AG'!$L$6:$U$23,MATCH(MAIN!I141,'ROTT TO AG'!$L$6:$L$23,0),9)</f>
        <v>0.15306122448979592</v>
      </c>
      <c r="M141" s="155"/>
    </row>
    <row r="142" spans="1:13" hidden="1" outlineLevel="1" x14ac:dyDescent="0.25">
      <c r="A142" s="155"/>
      <c r="B142" s="255" t="s">
        <v>64</v>
      </c>
      <c r="C142" s="524"/>
      <c r="D142" s="538"/>
      <c r="E142" s="177" t="s">
        <v>64</v>
      </c>
      <c r="F142" s="175">
        <f>INDEX('ROTT TO AG'!$A$6:$J$23,MATCH(MAIN!E142,'ROTT TO AG'!$A$6:$A$23,0),5)</f>
        <v>6.6666666666666666E-2</v>
      </c>
      <c r="G142" s="178">
        <f>INDEX('ROTT TO AG'!$A$6:$J$23,MATCH(MAIN!E142,'ROTT TO AG'!$A$6:$A$23,0),7)</f>
        <v>6.6666666666666666E-2</v>
      </c>
      <c r="H142" s="176">
        <f>INDEX('ROTT TO AG'!$A$6:$J$23,MATCH(MAIN!E142,'ROTT TO AG'!$A$6:$A$23,0),9)</f>
        <v>6.6666666666666666E-2</v>
      </c>
      <c r="I142" s="177" t="s">
        <v>64</v>
      </c>
      <c r="J142" s="248">
        <f>INDEX('ROTT TO AG'!$L$6:$U$23,MATCH(MAIN!I142,'ROTT TO AG'!$L$6:$L$23,0),5)</f>
        <v>0.10204081632653061</v>
      </c>
      <c r="K142" s="178">
        <f>INDEX('ROTT TO AG'!$L$6:$U$23,MATCH(MAIN!I142,'ROTT TO AG'!$L$6:$L$23,0),7)</f>
        <v>0.10204081632653061</v>
      </c>
      <c r="L142" s="176">
        <f>INDEX('ROTT TO AG'!$L$6:$U$23,MATCH(MAIN!I142,'ROTT TO AG'!$L$6:$L$23,0),9)</f>
        <v>0.10204081632653061</v>
      </c>
      <c r="M142" s="155"/>
    </row>
    <row r="143" spans="1:13" hidden="1" outlineLevel="1" x14ac:dyDescent="0.25">
      <c r="A143" s="155"/>
      <c r="B143" s="255" t="s">
        <v>100</v>
      </c>
      <c r="C143" s="524"/>
      <c r="D143" s="538"/>
      <c r="E143" s="177" t="s">
        <v>100</v>
      </c>
      <c r="F143" s="175">
        <f ca="1">INDEX('ROTT TO AG'!$A$6:$J$23,MATCH(MAIN!E143,'ROTT TO AG'!$A$6:$A$23,0),5)</f>
        <v>42.027922089041098</v>
      </c>
      <c r="G143" s="178">
        <f ca="1">INDEX('ROTT TO AG'!$A$6:$J$23,MATCH(MAIN!E143,'ROTT TO AG'!$A$6:$A$23,0),7)</f>
        <v>178.73073544520545</v>
      </c>
      <c r="H143" s="176">
        <f ca="1">INDEX('ROTT TO AG'!$A$6:$J$23,MATCH(MAIN!E143,'ROTT TO AG'!$A$6:$A$23,0),9)</f>
        <v>178.73073544520545</v>
      </c>
      <c r="I143" s="177" t="s">
        <v>100</v>
      </c>
      <c r="J143" s="248">
        <f ca="1">INDEX('ROTT TO AG'!$L$6:$U$23,MATCH(MAIN!I143,'ROTT TO AG'!$L$6:$L$23,0),5)</f>
        <v>51.792207803326797</v>
      </c>
      <c r="K143" s="178">
        <f ca="1">INDEX('ROTT TO AG'!$L$6:$U$23,MATCH(MAIN!I143,'ROTT TO AG'!$L$6:$L$23,0),7)</f>
        <v>188.49502115949119</v>
      </c>
      <c r="L143" s="176">
        <f ca="1">INDEX('ROTT TO AG'!$L$6:$U$23,MATCH(MAIN!I143,'ROTT TO AG'!$L$6:$L$23,0),9)</f>
        <v>188.49502115949119</v>
      </c>
      <c r="M143" s="155"/>
    </row>
    <row r="144" spans="1:13" hidden="1" outlineLevel="1" x14ac:dyDescent="0.25">
      <c r="A144" s="155"/>
      <c r="B144" s="255" t="s">
        <v>101</v>
      </c>
      <c r="C144" s="524"/>
      <c r="D144" s="538"/>
      <c r="E144" s="177" t="s">
        <v>101</v>
      </c>
      <c r="F144" s="175">
        <f ca="1">INDEX('ROTT TO AG'!$A$6:$J$23,MATCH(MAIN!E144,'ROTT TO AG'!$A$6:$A$23,0),5)</f>
        <v>13.625</v>
      </c>
      <c r="G144" s="178">
        <f ca="1">INDEX('ROTT TO AG'!$A$6:$J$23,MATCH(MAIN!E144,'ROTT TO AG'!$A$6:$A$23,0),7)</f>
        <v>12.5</v>
      </c>
      <c r="H144" s="176">
        <f ca="1">INDEX('ROTT TO AG'!$A$6:$J$23,MATCH(MAIN!E144,'ROTT TO AG'!$A$6:$A$23,0),9)</f>
        <v>12.5</v>
      </c>
      <c r="I144" s="177" t="s">
        <v>101</v>
      </c>
      <c r="J144" s="248">
        <f ca="1">INDEX('ROTT TO AG'!$L$6:$U$23,MATCH(MAIN!I144,'ROTT TO AG'!$L$6:$L$23,0),5)</f>
        <v>13.625</v>
      </c>
      <c r="K144" s="178">
        <f ca="1">INDEX('ROTT TO AG'!$L$6:$U$23,MATCH(MAIN!I144,'ROTT TO AG'!$L$6:$L$23,0),7)</f>
        <v>12.5</v>
      </c>
      <c r="L144" s="176">
        <f ca="1">INDEX('ROTT TO AG'!$L$6:$U$23,MATCH(MAIN!I144,'ROTT TO AG'!$L$6:$L$23,0),9)</f>
        <v>12.5</v>
      </c>
      <c r="M144" s="155"/>
    </row>
    <row r="145" spans="1:22" hidden="1" outlineLevel="1" x14ac:dyDescent="0.25">
      <c r="A145" s="155"/>
      <c r="B145" s="255" t="s">
        <v>113</v>
      </c>
      <c r="C145" s="524"/>
      <c r="D145" s="538"/>
      <c r="E145" s="177" t="s">
        <v>113</v>
      </c>
      <c r="F145" s="175">
        <f ca="1">INDEX('ROTT TO AG'!$A$6:$J$23,MATCH(MAIN!E145,'ROTT TO AG'!$A$6:$A$23,0),5)</f>
        <v>-28.402922089041098</v>
      </c>
      <c r="G145" s="178">
        <f ca="1">INDEX('ROTT TO AG'!$A$6:$J$23,MATCH(MAIN!E145,'ROTT TO AG'!$A$6:$A$23,0),7)</f>
        <v>-166.23073544520545</v>
      </c>
      <c r="H145" s="176">
        <f ca="1">INDEX('ROTT TO AG'!$A$6:$J$23,MATCH(MAIN!E145,'ROTT TO AG'!$A$6:$A$23,0),9)</f>
        <v>-166.23073544520545</v>
      </c>
      <c r="I145" s="177" t="s">
        <v>113</v>
      </c>
      <c r="J145" s="248">
        <f ca="1">INDEX('ROTT TO AG'!$L$6:$U$23,MATCH(MAIN!I145,'ROTT TO AG'!$L$6:$L$23,0),5)</f>
        <v>-38.167207803326797</v>
      </c>
      <c r="K145" s="178">
        <f ca="1">INDEX('ROTT TO AG'!$L$6:$U$23,MATCH(MAIN!I145,'ROTT TO AG'!$L$6:$L$23,0),7)</f>
        <v>-175.99502115949119</v>
      </c>
      <c r="L145" s="176">
        <f ca="1">INDEX('ROTT TO AG'!$L$6:$U$23,MATCH(MAIN!I145,'ROTT TO AG'!$L$6:$L$23,0),9)</f>
        <v>-175.99502115949119</v>
      </c>
      <c r="M145" s="155"/>
    </row>
    <row r="146" spans="1:22" ht="15.75" hidden="1" outlineLevel="1" thickBot="1" x14ac:dyDescent="0.3">
      <c r="A146" s="155"/>
      <c r="B146" s="255" t="s">
        <v>126</v>
      </c>
      <c r="C146" s="539"/>
      <c r="D146" s="540"/>
      <c r="E146" s="233" t="s">
        <v>126</v>
      </c>
      <c r="F146" s="217">
        <f ca="1">F124</f>
        <v>45918</v>
      </c>
      <c r="G146" s="218">
        <f ca="1">G124</f>
        <v>45932</v>
      </c>
      <c r="H146" s="219">
        <f ca="1">H124</f>
        <v>45946</v>
      </c>
      <c r="I146" s="233" t="s">
        <v>126</v>
      </c>
      <c r="J146" s="249">
        <f ca="1">J124</f>
        <v>45918</v>
      </c>
      <c r="K146" s="218">
        <f ca="1">K124</f>
        <v>45932</v>
      </c>
      <c r="L146" s="219">
        <f ca="1">L124</f>
        <v>45946</v>
      </c>
      <c r="M146" s="155"/>
    </row>
    <row r="147" spans="1:22" collapsed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</row>
    <row r="148" spans="1:22" ht="18" thickBot="1" x14ac:dyDescent="0.3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5"/>
      <c r="M148" s="155"/>
      <c r="U148" s="435"/>
    </row>
    <row r="149" spans="1:22" ht="15.75" thickBot="1" x14ac:dyDescent="0.3">
      <c r="A149" s="530" t="s">
        <v>138</v>
      </c>
      <c r="B149" s="155"/>
      <c r="C149" s="531"/>
      <c r="D149" s="532"/>
      <c r="E149" s="157"/>
      <c r="F149" s="526" t="s">
        <v>129</v>
      </c>
      <c r="G149" s="527"/>
      <c r="H149" s="528"/>
      <c r="I149" s="157"/>
      <c r="J149" s="526" t="s">
        <v>130</v>
      </c>
      <c r="K149" s="527"/>
      <c r="L149" s="528"/>
      <c r="M149" s="155"/>
    </row>
    <row r="150" spans="1:22" ht="15.75" thickBot="1" x14ac:dyDescent="0.3">
      <c r="A150" s="530"/>
      <c r="B150" s="199" t="s">
        <v>131</v>
      </c>
      <c r="C150" s="183"/>
      <c r="D150" s="184"/>
      <c r="E150" s="157"/>
      <c r="F150" s="173" t="str">
        <f ca="1">IF(DAY(F151)&lt;15,"1H-"&amp;VLOOKUP(MONTH(F151),Mapping!$A$1:$B$12,2,0),"2H-"&amp;VLOOKUP(MONTH(F151),Mapping!$A$1:$B$12,2,0))</f>
        <v>1H-OCT</v>
      </c>
      <c r="G150" s="186" t="str">
        <f ca="1">IF(DAY(G151)&lt;15,"1H-"&amp;VLOOKUP(MONTH(G151),Mapping!$A$1:$B$12,2,0),"2H-"&amp;VLOOKUP(MONTH(G151),Mapping!$A$1:$B$12,2,0))</f>
        <v>2H-OCT</v>
      </c>
      <c r="H150" s="174" t="str">
        <f ca="1">IF(DAY(H151)&lt;15,"1H-"&amp;VLOOKUP(MONTH(H151),Mapping!$A$1:$B$12,2,0),"2H-"&amp;VLOOKUP(MONTH(H151),Mapping!$A$1:$B$12,2,0))</f>
        <v>1H-NOV</v>
      </c>
      <c r="I150" s="200" t="str">
        <f>IF(DAY(I151)&lt;15,"1H-"&amp;VLOOKUP(MONTH(I151),Mapping!$A$1:$B$12,2,0),"2H-"&amp;VLOOKUP(MONTH(I151),Mapping!$A$1:$B$12,2,0))</f>
        <v>1H-JAN</v>
      </c>
      <c r="J150" s="173" t="str">
        <f ca="1">IF(DAY(J151)&lt;15,"1H-"&amp;VLOOKUP(MONTH(J151),Mapping!$A$1:$B$12,2,0),"2H-"&amp;VLOOKUP(MONTH(J151),Mapping!$A$1:$B$12,2,0))</f>
        <v>1H-OCT</v>
      </c>
      <c r="K150" s="186" t="str">
        <f ca="1">IF(DAY(K151)&lt;15,"1H-"&amp;VLOOKUP(MONTH(K151),Mapping!$A$1:$B$12,2,0),"2H-"&amp;VLOOKUP(MONTH(K151),Mapping!$A$1:$B$12,2,0))</f>
        <v>2H-OCT</v>
      </c>
      <c r="L150" s="174" t="str">
        <f ca="1">IF(DAY(L151)&lt;15,"1H-"&amp;VLOOKUP(MONTH(L151),Mapping!$A$1:$B$12,2,0),"2H-"&amp;VLOOKUP(MONTH(L151),Mapping!$A$1:$B$12,2,0))</f>
        <v>1H-NOV</v>
      </c>
      <c r="M150" s="155"/>
    </row>
    <row r="151" spans="1:22" x14ac:dyDescent="0.25">
      <c r="A151" s="155"/>
      <c r="B151" s="154" t="s">
        <v>131</v>
      </c>
      <c r="C151" s="522"/>
      <c r="D151" s="523"/>
      <c r="E151" s="6"/>
      <c r="F151" s="158">
        <f ca="1">'Loading Arrival'!B26</f>
        <v>45937</v>
      </c>
      <c r="G151" s="194">
        <f ca="1">'Loading Arrival'!C26</f>
        <v>45951</v>
      </c>
      <c r="H151" s="195">
        <f ca="1">'Loading Arrival'!D26</f>
        <v>45965</v>
      </c>
      <c r="I151" s="164">
        <f>I102</f>
        <v>0</v>
      </c>
      <c r="J151" s="194">
        <f ca="1">F151</f>
        <v>45937</v>
      </c>
      <c r="K151" s="194">
        <f t="shared" ref="K151:L151" ca="1" si="1">G151</f>
        <v>45951</v>
      </c>
      <c r="L151" s="194">
        <f t="shared" ca="1" si="1"/>
        <v>45965</v>
      </c>
      <c r="M151" s="155"/>
    </row>
    <row r="152" spans="1:22" x14ac:dyDescent="0.25">
      <c r="A152" s="199" t="s">
        <v>231</v>
      </c>
      <c r="B152" s="168"/>
      <c r="C152" s="524"/>
      <c r="D152" s="525"/>
      <c r="E152" s="199"/>
      <c r="F152" s="159">
        <f ca="1">F172+F153-F154</f>
        <v>-17.771969708088712</v>
      </c>
      <c r="G152" s="160">
        <f ca="1">G172+G153-G154</f>
        <v>-19.832318778538806</v>
      </c>
      <c r="H152" s="161">
        <f ca="1">H172+H153-H154</f>
        <v>-19.832318778538806</v>
      </c>
      <c r="I152" s="165"/>
      <c r="J152" s="160">
        <f ca="1">J172+J153-J154</f>
        <v>-28.498636374755385</v>
      </c>
      <c r="K152" s="160">
        <f ca="1">K172+K153-K154</f>
        <v>-30.558985445205479</v>
      </c>
      <c r="L152" s="161">
        <f ca="1">L172+L153-L154</f>
        <v>-30.558985445205479</v>
      </c>
      <c r="M152" s="155"/>
      <c r="V152" t="s">
        <v>225</v>
      </c>
    </row>
    <row r="153" spans="1:22" x14ac:dyDescent="0.25">
      <c r="A153" s="155"/>
      <c r="B153" s="169" t="s">
        <v>133</v>
      </c>
      <c r="C153" s="524"/>
      <c r="D153" s="525"/>
      <c r="E153" s="177" t="s">
        <v>128</v>
      </c>
      <c r="F153" s="175">
        <f ca="1">INDEX(Premium!$A$2:$D$12,MATCH(MAIN!$A7,Premium!$A$2:$A$12,0),MATCH(EOMONTH(MAIN!F151,-1)+1,Premium!$A$2:$D$2,0))</f>
        <v>0.6</v>
      </c>
      <c r="G153" s="178">
        <f ca="1">INDEX(Premium!$A$2:$D$12,MATCH(MAIN!$A7,Premium!$A$2:$A$12,0),MATCH(EOMONTH(MAIN!G151,-1)+1,Premium!$A$2:$D$2,0))</f>
        <v>0.6</v>
      </c>
      <c r="H153" s="176">
        <f ca="1">INDEX(Premium!$A$2:$D$12,MATCH(MAIN!$A7,Premium!$A$2:$A$12,0),MATCH(EOMONTH(MAIN!H151,-1)+1,Premium!$A$2:$D$2,0))</f>
        <v>0.6</v>
      </c>
      <c r="I153" s="179" t="s">
        <v>128</v>
      </c>
      <c r="J153" s="178">
        <f ca="1">INDEX(Premium!$A$2:$D$12,MATCH(MAIN!$A7,Premium!$A$2:$A$12,0),MATCH(EOMONTH(MAIN!J151,-1)+1,Premium!$A$2:$D$2,0))</f>
        <v>0.6</v>
      </c>
      <c r="K153" s="178">
        <f ca="1">INDEX(Premium!$A$2:$D$12,MATCH(MAIN!$A7,Premium!$A$2:$A$12,0),MATCH(EOMONTH(MAIN!K151,-1)+1,Premium!$A$2:$D$2,0))</f>
        <v>0.6</v>
      </c>
      <c r="L153" s="176">
        <f ca="1">INDEX(Premium!$A$2:$D$12,MATCH(MAIN!$A7,Premium!$A$2:$A$12,0),MATCH(EOMONTH(MAIN!L151,-1)+1,Premium!$A$2:$D$2,0))</f>
        <v>0.6</v>
      </c>
      <c r="M153" s="155"/>
      <c r="V153" t="s">
        <v>226</v>
      </c>
    </row>
    <row r="154" spans="1:22" ht="15.75" thickBot="1" x14ac:dyDescent="0.3">
      <c r="A154" s="155"/>
      <c r="B154" s="170" t="s">
        <v>132</v>
      </c>
      <c r="C154" s="524"/>
      <c r="D154" s="525"/>
      <c r="E154" s="177" t="s">
        <v>272</v>
      </c>
      <c r="F154" s="180">
        <f ca="1">INDEX(Premium!$A$21:$D$34,MATCH(A152,Premium!$A$21:$A$34,0),MATCH(EOMONTH(MAIN!F173,-1)+1,Premium!$A$21:$D$21,0))</f>
        <v>-7.25</v>
      </c>
      <c r="G154" s="180">
        <f ca="1">INDEX(Premium!$A$21:$D$34,MATCH(A152,Premium!$A$21:$A$34,0),MATCH(EOMONTH(MAIN!G173,-1)+1,Premium!$A$21:$D$21,0))</f>
        <v>-7.25</v>
      </c>
      <c r="H154" s="180">
        <f ca="1">INDEX(Premium!$A$21:$D$34,MATCH(A152,Premium!$A$21:$A$34,0),MATCH(EOMONTH(MAIN!H173,-1)+1,Premium!$A$21:$D$21,0))</f>
        <v>-7.25</v>
      </c>
      <c r="I154" s="179" t="s">
        <v>127</v>
      </c>
      <c r="J154" s="180">
        <f ca="1">INDEX(Premium!$A$21:$D$34,MATCH(A152,Premium!$A$21:$A$34,0),MATCH(EOMONTH(MAIN!J173,-1)+1,Premium!$A$21:$D$21,0))</f>
        <v>-7.25</v>
      </c>
      <c r="K154" s="180">
        <f ca="1">INDEX(Premium!$A$21:$D$34,MATCH(A152,Premium!$A$21:$A$34,0),MATCH(EOMONTH(MAIN!K173,-1)+1,Premium!$A$21:$D$21,0))</f>
        <v>-7.25</v>
      </c>
      <c r="L154" s="180">
        <f ca="1">INDEX(Premium!$A$21:$D$34,MATCH(A152,Premium!$A$21:$A$34,0),MATCH(EOMONTH(MAIN!L173,-1)+1,Premium!$A$21:$D$21,0))</f>
        <v>-7.25</v>
      </c>
      <c r="M154" s="155"/>
    </row>
    <row r="155" spans="1:22" hidden="1" outlineLevel="1" x14ac:dyDescent="0.25">
      <c r="A155" s="155"/>
      <c r="B155" s="254" t="s">
        <v>53</v>
      </c>
      <c r="C155" s="524"/>
      <c r="D155" s="525"/>
      <c r="E155" s="6" t="s">
        <v>53</v>
      </c>
      <c r="F155" s="234">
        <f>INDEX('MED TO SING'!$A$6:$J$23,MATCH(MAIN!E155,'MED TO SING'!$A$6:$A$23,0),5)</f>
        <v>32</v>
      </c>
      <c r="G155" s="241">
        <f>INDEX('MED TO SING'!$A$6:$J$23,MATCH(MAIN!E155,'MED TO SING'!$A$6:$A$23,0),7)</f>
        <v>32</v>
      </c>
      <c r="H155" s="242">
        <f>INDEX('MED TO SING'!$A$6:$J$23,MATCH(MAIN!E155,'MED TO SING'!$A$6:$A$23,0),9)</f>
        <v>32</v>
      </c>
      <c r="I155" s="250" t="s">
        <v>53</v>
      </c>
      <c r="J155" s="234">
        <f>INDEX('MED TO SING'!$L$6:$U$23,MATCH(MAIN!I155,'MED TO SING'!$L$6:$L$23,0),5)</f>
        <v>43</v>
      </c>
      <c r="K155" s="241">
        <f>INDEX('MED TO SING'!$L$6:$U$23,MATCH(MAIN!I155,'MED TO SING'!$L$6:$L$23,0),7)</f>
        <v>43</v>
      </c>
      <c r="L155" s="242">
        <f>INDEX('MED TO SING'!$L$6:$U$23,MATCH(MAIN!I155,'MED TO SING'!$L$6:$L$23,0),9)</f>
        <v>43</v>
      </c>
      <c r="M155" s="155"/>
    </row>
    <row r="156" spans="1:22" hidden="1" outlineLevel="1" x14ac:dyDescent="0.25">
      <c r="A156" s="155"/>
      <c r="B156" s="255" t="s">
        <v>54</v>
      </c>
      <c r="C156" s="524"/>
      <c r="D156" s="525"/>
      <c r="E156" s="6" t="s">
        <v>54</v>
      </c>
      <c r="F156" s="175">
        <f>INDEX('MED TO SING'!$A$6:$J$23,MATCH(MAIN!E156,'MED TO SING'!$A$6:$A$23,0),5)</f>
        <v>0</v>
      </c>
      <c r="G156" s="178">
        <f>INDEX('MED TO SING'!$A$6:$J$23,MATCH(MAIN!E156,'MED TO SING'!$A$6:$A$23,0),7)</f>
        <v>0</v>
      </c>
      <c r="H156" s="176">
        <f>INDEX('MED TO SING'!$A$6:$J$23,MATCH(MAIN!E156,'MED TO SING'!$A$6:$A$23,0),9)</f>
        <v>0</v>
      </c>
      <c r="I156" s="179" t="s">
        <v>54</v>
      </c>
      <c r="J156" s="175">
        <f>INDEX('MED TO SING'!$L$6:$U$23,MATCH(MAIN!I156,'MED TO SING'!$L$6:$L$23,0),5)</f>
        <v>0</v>
      </c>
      <c r="K156" s="178">
        <f>INDEX('MED TO SING'!$L$6:$U$23,MATCH(MAIN!I156,'MED TO SING'!$L$6:$L$23,0),7)</f>
        <v>0</v>
      </c>
      <c r="L156" s="176">
        <f>INDEX('MED TO SING'!$L$6:$U$23,MATCH(MAIN!I156,'MED TO SING'!$L$6:$L$23,0),9)</f>
        <v>0</v>
      </c>
      <c r="M156" s="155"/>
    </row>
    <row r="157" spans="1:22" hidden="1" outlineLevel="1" x14ac:dyDescent="0.25">
      <c r="A157" s="155"/>
      <c r="B157" s="255" t="s">
        <v>55</v>
      </c>
      <c r="C157" s="524"/>
      <c r="D157" s="525"/>
      <c r="E157" s="6" t="s">
        <v>55</v>
      </c>
      <c r="F157" s="175">
        <f>INDEX('MED TO SING'!$A$6:$J$23,MATCH(MAIN!E157,'MED TO SING'!$A$6:$A$23,0),5)</f>
        <v>2.6833333333333331</v>
      </c>
      <c r="G157" s="178">
        <f>INDEX('MED TO SING'!$A$6:$J$23,MATCH(MAIN!E157,'MED TO SING'!$A$6:$A$23,0),7)</f>
        <v>2.6833333333333331</v>
      </c>
      <c r="H157" s="176">
        <f>INDEX('MED TO SING'!$A$6:$J$23,MATCH(MAIN!E157,'MED TO SING'!$A$6:$A$23,0),9)</f>
        <v>2.6833333333333331</v>
      </c>
      <c r="I157" s="179" t="s">
        <v>55</v>
      </c>
      <c r="J157" s="175">
        <f>INDEX('MED TO SING'!$L$6:$U$23,MATCH(MAIN!I157,'MED TO SING'!$L$6:$L$23,0),5)</f>
        <v>2.125</v>
      </c>
      <c r="K157" s="178">
        <f>INDEX('MED TO SING'!$L$6:$U$23,MATCH(MAIN!I157,'MED TO SING'!$L$6:$L$23,0),7)</f>
        <v>2.125</v>
      </c>
      <c r="L157" s="176">
        <f>INDEX('MED TO SING'!$L$6:$U$23,MATCH(MAIN!I157,'MED TO SING'!$L$6:$L$23,0),9)</f>
        <v>2.125</v>
      </c>
      <c r="M157" s="155"/>
    </row>
    <row r="158" spans="1:22" hidden="1" outlineLevel="1" x14ac:dyDescent="0.25">
      <c r="A158" s="155"/>
      <c r="B158" s="255" t="s">
        <v>56</v>
      </c>
      <c r="C158" s="524"/>
      <c r="D158" s="525"/>
      <c r="E158" s="6" t="s">
        <v>56</v>
      </c>
      <c r="F158" s="175">
        <f>INDEX('MED TO SING'!$A$6:$J$23,MATCH(MAIN!E158,'MED TO SING'!$A$6:$A$23,0),5)</f>
        <v>0.1</v>
      </c>
      <c r="G158" s="178">
        <f>INDEX('MED TO SING'!$A$6:$J$23,MATCH(MAIN!E158,'MED TO SING'!$A$6:$A$23,0),7)</f>
        <v>0.1</v>
      </c>
      <c r="H158" s="176">
        <f>INDEX('MED TO SING'!$A$6:$J$23,MATCH(MAIN!E158,'MED TO SING'!$A$6:$A$23,0),9)</f>
        <v>0.1</v>
      </c>
      <c r="I158" s="179" t="s">
        <v>56</v>
      </c>
      <c r="J158" s="175">
        <f>INDEX('MED TO SING'!$L$6:$U$23,MATCH(MAIN!I158,'MED TO SING'!$L$6:$L$23,0),5)</f>
        <v>8.5000000000000006E-2</v>
      </c>
      <c r="K158" s="178">
        <f>INDEX('MED TO SING'!$L$6:$U$23,MATCH(MAIN!I158,'MED TO SING'!$L$6:$L$23,0),7)</f>
        <v>8.5000000000000006E-2</v>
      </c>
      <c r="L158" s="176">
        <f>INDEX('MED TO SING'!$L$6:$U$23,MATCH(MAIN!I158,'MED TO SING'!$L$6:$L$23,0),9)</f>
        <v>8.5000000000000006E-2</v>
      </c>
      <c r="M158" s="155"/>
    </row>
    <row r="159" spans="1:22" hidden="1" outlineLevel="1" x14ac:dyDescent="0.25">
      <c r="A159" s="155"/>
      <c r="B159" s="255" t="s">
        <v>124</v>
      </c>
      <c r="C159" s="524"/>
      <c r="D159" s="525"/>
      <c r="E159" s="6" t="s">
        <v>124</v>
      </c>
      <c r="F159" s="175">
        <f>INDEX('MED TO SING'!$A$6:$J$23,MATCH(MAIN!E159,'MED TO SING'!$A$6:$A$23,0),5)</f>
        <v>0.16666666666666666</v>
      </c>
      <c r="G159" s="178">
        <f>INDEX('MED TO SING'!$A$6:$J$23,MATCH(MAIN!E159,'MED TO SING'!$A$6:$A$23,0),7)</f>
        <v>0.16666666666666666</v>
      </c>
      <c r="H159" s="176">
        <f>INDEX('MED TO SING'!$A$6:$J$23,MATCH(MAIN!E159,'MED TO SING'!$A$6:$A$23,0),9)</f>
        <v>0.16666666666666666</v>
      </c>
      <c r="I159" s="179" t="s">
        <v>124</v>
      </c>
      <c r="J159" s="175">
        <f>INDEX('MED TO SING'!$L$6:$U$23,MATCH(MAIN!I159,'MED TO SING'!$L$6:$L$23,0),5)</f>
        <v>0.25</v>
      </c>
      <c r="K159" s="178">
        <f>INDEX('MED TO SING'!$L$6:$U$23,MATCH(MAIN!I159,'MED TO SING'!$L$6:$L$23,0),7)</f>
        <v>0.25</v>
      </c>
      <c r="L159" s="176">
        <f>INDEX('MED TO SING'!$L$6:$U$23,MATCH(MAIN!I159,'MED TO SING'!$L$6:$L$23,0),9)</f>
        <v>0.25</v>
      </c>
      <c r="M159" s="155"/>
    </row>
    <row r="160" spans="1:22" hidden="1" outlineLevel="1" x14ac:dyDescent="0.25">
      <c r="A160" s="155"/>
      <c r="B160" s="255" t="s">
        <v>125</v>
      </c>
      <c r="C160" s="524"/>
      <c r="D160" s="525"/>
      <c r="E160" s="6" t="s">
        <v>125</v>
      </c>
      <c r="F160" s="175">
        <f>INDEX('MED TO SING'!$A$6:$J$23,MATCH(MAIN!E160,'MED TO SING'!$A$6:$A$23,0),5)</f>
        <v>0.16666666666666666</v>
      </c>
      <c r="G160" s="178">
        <f>INDEX('MED TO SING'!$A$6:$J$23,MATCH(MAIN!E160,'MED TO SING'!$A$6:$A$23,0),7)</f>
        <v>0.16666666666666666</v>
      </c>
      <c r="H160" s="176">
        <f>INDEX('MED TO SING'!$A$6:$J$23,MATCH(MAIN!E160,'MED TO SING'!$A$6:$A$23,0),9)</f>
        <v>0.16666666666666666</v>
      </c>
      <c r="I160" s="179" t="s">
        <v>125</v>
      </c>
      <c r="J160" s="175">
        <f>INDEX('MED TO SING'!$L$6:$U$23,MATCH(MAIN!I160,'MED TO SING'!$L$6:$L$23,0),5)</f>
        <v>0.25</v>
      </c>
      <c r="K160" s="178">
        <f>INDEX('MED TO SING'!$L$6:$U$23,MATCH(MAIN!I160,'MED TO SING'!$L$6:$L$23,0),7)</f>
        <v>0.25</v>
      </c>
      <c r="L160" s="176">
        <f>INDEX('MED TO SING'!$L$6:$U$23,MATCH(MAIN!I160,'MED TO SING'!$L$6:$L$23,0),9)</f>
        <v>0.25</v>
      </c>
      <c r="M160" s="155"/>
    </row>
    <row r="161" spans="1:13" hidden="1" outlineLevel="1" x14ac:dyDescent="0.25">
      <c r="A161" s="155"/>
      <c r="B161" s="255" t="s">
        <v>81</v>
      </c>
      <c r="C161" s="524"/>
      <c r="D161" s="525"/>
      <c r="E161" s="6" t="s">
        <v>81</v>
      </c>
      <c r="F161" s="175">
        <f ca="1">INDEX('MED TO SING'!$A$6:$J$23,MATCH(MAIN!E161,'MED TO SING'!$A$6:$A$23,0),5)</f>
        <v>3.379109589041096</v>
      </c>
      <c r="G161" s="178">
        <f ca="1">INDEX('MED TO SING'!$A$6:$J$23,MATCH(MAIN!E161,'MED TO SING'!$A$6:$A$23,0),7)</f>
        <v>3.3655479452054795</v>
      </c>
      <c r="H161" s="176">
        <f ca="1">INDEX('MED TO SING'!$A$6:$J$23,MATCH(MAIN!E161,'MED TO SING'!$A$6:$A$23,0),9)</f>
        <v>3.3655479452054795</v>
      </c>
      <c r="I161" s="179" t="s">
        <v>81</v>
      </c>
      <c r="J161" s="175">
        <f ca="1">INDEX('MED TO SING'!$L$6:$U$23,MATCH(MAIN!I161,'MED TO SING'!$L$6:$L$23,0),5)</f>
        <v>3.379109589041096</v>
      </c>
      <c r="K161" s="178">
        <f ca="1">INDEX('MED TO SING'!$L$6:$U$23,MATCH(MAIN!I161,'MED TO SING'!$L$6:$L$23,0),7)</f>
        <v>3.3655479452054795</v>
      </c>
      <c r="L161" s="176">
        <f ca="1">INDEX('MED TO SING'!$L$6:$U$23,MATCH(MAIN!I161,'MED TO SING'!$L$6:$L$23,0),9)</f>
        <v>3.3655479452054795</v>
      </c>
      <c r="M161" s="155"/>
    </row>
    <row r="162" spans="1:13" hidden="1" outlineLevel="1" x14ac:dyDescent="0.25">
      <c r="A162" s="155"/>
      <c r="B162" s="255" t="s">
        <v>57</v>
      </c>
      <c r="C162" s="524"/>
      <c r="D162" s="525"/>
      <c r="E162" s="6" t="s">
        <v>57</v>
      </c>
      <c r="F162" s="175">
        <f>INDEX('MED TO SING'!$A$6:$J$23,MATCH(MAIN!E162,'MED TO SING'!$A$6:$A$23,0),5)</f>
        <v>0</v>
      </c>
      <c r="G162" s="178">
        <f>INDEX('MED TO SING'!$A$6:$J$23,MATCH(MAIN!E162,'MED TO SING'!$A$6:$A$23,0),7)</f>
        <v>0</v>
      </c>
      <c r="H162" s="176">
        <f>INDEX('MED TO SING'!$A$6:$J$23,MATCH(MAIN!E162,'MED TO SING'!$A$6:$A$23,0),9)</f>
        <v>0</v>
      </c>
      <c r="I162" s="179" t="s">
        <v>57</v>
      </c>
      <c r="J162" s="175">
        <f>INDEX('MED TO SING'!$L$6:$U$23,MATCH(MAIN!I162,'MED TO SING'!$L$6:$L$23,0),5)</f>
        <v>0</v>
      </c>
      <c r="K162" s="178">
        <f>INDEX('MED TO SING'!$L$6:$U$23,MATCH(MAIN!I162,'MED TO SING'!$L$6:$L$23,0),7)</f>
        <v>0</v>
      </c>
      <c r="L162" s="176">
        <f>INDEX('MED TO SING'!$L$6:$U$23,MATCH(MAIN!I162,'MED TO SING'!$L$6:$L$23,0),9)</f>
        <v>0</v>
      </c>
      <c r="M162" s="155"/>
    </row>
    <row r="163" spans="1:13" hidden="1" outlineLevel="1" x14ac:dyDescent="0.25">
      <c r="A163" s="155"/>
      <c r="B163" s="255" t="s">
        <v>58</v>
      </c>
      <c r="C163" s="524"/>
      <c r="D163" s="525"/>
      <c r="E163" s="6" t="s">
        <v>58</v>
      </c>
      <c r="F163" s="175">
        <f ca="1">INDEX('MED TO SING'!$A$6:$J$23,MATCH(MAIN!E163,'MED TO SING'!$A$6:$A$23,0),5)</f>
        <v>0.28031250000000002</v>
      </c>
      <c r="G163" s="178">
        <f ca="1">INDEX('MED TO SING'!$A$6:$J$23,MATCH(MAIN!E163,'MED TO SING'!$A$6:$A$23,0),7)</f>
        <v>0.27918750000000003</v>
      </c>
      <c r="H163" s="176">
        <f ca="1">INDEX('MED TO SING'!$A$6:$J$23,MATCH(MAIN!E163,'MED TO SING'!$A$6:$A$23,0),9)</f>
        <v>0.27918750000000003</v>
      </c>
      <c r="I163" s="179" t="s">
        <v>58</v>
      </c>
      <c r="J163" s="175">
        <f ca="1">INDEX('MED TO SING'!$L$6:$U$23,MATCH(MAIN!I163,'MED TO SING'!$L$6:$L$23,0),5)</f>
        <v>0.28031250000000002</v>
      </c>
      <c r="K163" s="178">
        <f ca="1">INDEX('MED TO SING'!$L$6:$U$23,MATCH(MAIN!I163,'MED TO SING'!$L$6:$L$23,0),7)</f>
        <v>0.27918750000000003</v>
      </c>
      <c r="L163" s="176">
        <f ca="1">INDEX('MED TO SING'!$L$6:$U$23,MATCH(MAIN!I163,'MED TO SING'!$L$6:$L$23,0),9)</f>
        <v>0.27918750000000003</v>
      </c>
      <c r="M163" s="155"/>
    </row>
    <row r="164" spans="1:13" hidden="1" outlineLevel="1" x14ac:dyDescent="0.25">
      <c r="A164" s="155"/>
      <c r="B164" s="255" t="s">
        <v>59</v>
      </c>
      <c r="C164" s="524"/>
      <c r="D164" s="525"/>
      <c r="E164" s="6" t="s">
        <v>59</v>
      </c>
      <c r="F164" s="175">
        <f ca="1">INDEX('MED TO SING'!$A$6:$J$23,MATCH(MAIN!E164,'MED TO SING'!$A$6:$A$23,0),5)</f>
        <v>1.1685000000000001</v>
      </c>
      <c r="G164" s="178">
        <f ca="1">INDEX('MED TO SING'!$A$6:$J$23,MATCH(MAIN!E164,'MED TO SING'!$A$6:$A$23,0),7)</f>
        <v>1.15425</v>
      </c>
      <c r="H164" s="176">
        <f ca="1">INDEX('MED TO SING'!$A$6:$J$23,MATCH(MAIN!E164,'MED TO SING'!$A$6:$A$23,0),9)</f>
        <v>1.15425</v>
      </c>
      <c r="I164" s="179" t="s">
        <v>59</v>
      </c>
      <c r="J164" s="175">
        <f ca="1">INDEX('MED TO SING'!$L$6:$U$23,MATCH(MAIN!I164,'MED TO SING'!$L$6:$L$23,0),5)</f>
        <v>1.1685000000000001</v>
      </c>
      <c r="K164" s="178">
        <f ca="1">INDEX('MED TO SING'!$L$6:$U$23,MATCH(MAIN!I164,'MED TO SING'!$L$6:$L$23,0),7)</f>
        <v>1.15425</v>
      </c>
      <c r="L164" s="176">
        <f ca="1">INDEX('MED TO SING'!$L$6:$U$23,MATCH(MAIN!I164,'MED TO SING'!$L$6:$L$23,0),9)</f>
        <v>1.15425</v>
      </c>
      <c r="M164" s="155"/>
    </row>
    <row r="165" spans="1:13" hidden="1" outlineLevel="1" x14ac:dyDescent="0.25">
      <c r="A165" s="155"/>
      <c r="B165" s="255" t="s">
        <v>60</v>
      </c>
      <c r="C165" s="524"/>
      <c r="D165" s="525"/>
      <c r="E165" s="6" t="s">
        <v>60</v>
      </c>
      <c r="F165" s="175">
        <f>INDEX('MED TO SING'!$A$6:$J$23,MATCH(MAIN!E165,'MED TO SING'!$A$6:$A$23,0),5)</f>
        <v>8.3333333333333329E-2</v>
      </c>
      <c r="G165" s="178">
        <f>INDEX('MED TO SING'!$A$6:$J$23,MATCH(MAIN!E165,'MED TO SING'!$A$6:$A$23,0),7)</f>
        <v>8.3333333333333329E-2</v>
      </c>
      <c r="H165" s="176">
        <f>INDEX('MED TO SING'!$A$6:$J$23,MATCH(MAIN!E165,'MED TO SING'!$A$6:$A$23,0),9)</f>
        <v>8.3333333333333329E-2</v>
      </c>
      <c r="I165" s="179" t="s">
        <v>60</v>
      </c>
      <c r="J165" s="175">
        <f>INDEX('MED TO SING'!$L$6:$U$23,MATCH(MAIN!I165,'MED TO SING'!$L$6:$L$23,0),5)</f>
        <v>0.125</v>
      </c>
      <c r="K165" s="178">
        <f>INDEX('MED TO SING'!$L$6:$U$23,MATCH(MAIN!I165,'MED TO SING'!$L$6:$L$23,0),7)</f>
        <v>0.125</v>
      </c>
      <c r="L165" s="176">
        <f>INDEX('MED TO SING'!$L$6:$U$23,MATCH(MAIN!I165,'MED TO SING'!$L$6:$L$23,0),9)</f>
        <v>0.125</v>
      </c>
      <c r="M165" s="155"/>
    </row>
    <row r="166" spans="1:13" hidden="1" outlineLevel="1" x14ac:dyDescent="0.25">
      <c r="A166" s="155"/>
      <c r="B166" s="255" t="s">
        <v>61</v>
      </c>
      <c r="C166" s="524"/>
      <c r="D166" s="525"/>
      <c r="E166" s="6" t="s">
        <v>61</v>
      </c>
      <c r="F166" s="175">
        <f>INDEX('MED TO SING'!$A$6:$J$23,MATCH(MAIN!E166,'MED TO SING'!$A$6:$A$23,0),5)</f>
        <v>8.3333333333333332E-3</v>
      </c>
      <c r="G166" s="178">
        <f>INDEX('MED TO SING'!$A$6:$J$23,MATCH(MAIN!E166,'MED TO SING'!$A$6:$A$23,0),7)</f>
        <v>8.3333333333333332E-3</v>
      </c>
      <c r="H166" s="176">
        <f>INDEX('MED TO SING'!$A$6:$J$23,MATCH(MAIN!E166,'MED TO SING'!$A$6:$A$23,0),9)</f>
        <v>8.3333333333333332E-3</v>
      </c>
      <c r="I166" s="179" t="s">
        <v>61</v>
      </c>
      <c r="J166" s="175">
        <f>INDEX('MED TO SING'!$L$6:$U$23,MATCH(MAIN!I166,'MED TO SING'!$L$6:$L$23,0),5)</f>
        <v>1.2500000000000001E-2</v>
      </c>
      <c r="K166" s="178">
        <f>INDEX('MED TO SING'!$L$6:$U$23,MATCH(MAIN!I166,'MED TO SING'!$L$6:$L$23,0),7)</f>
        <v>1.2500000000000001E-2</v>
      </c>
      <c r="L166" s="176">
        <f>INDEX('MED TO SING'!$L$6:$U$23,MATCH(MAIN!I166,'MED TO SING'!$L$6:$L$23,0),9)</f>
        <v>1.2500000000000001E-2</v>
      </c>
      <c r="M166" s="155"/>
    </row>
    <row r="167" spans="1:13" hidden="1" outlineLevel="1" x14ac:dyDescent="0.25">
      <c r="A167" s="155"/>
      <c r="B167" s="255" t="s">
        <v>62</v>
      </c>
      <c r="C167" s="524"/>
      <c r="D167" s="525"/>
      <c r="E167" s="6" t="s">
        <v>62</v>
      </c>
      <c r="F167" s="175">
        <f>INDEX('MED TO SING'!$A$6:$J$23,MATCH(MAIN!E167,'MED TO SING'!$A$6:$A$23,0),5)</f>
        <v>8.3333333333333332E-3</v>
      </c>
      <c r="G167" s="178">
        <f>INDEX('MED TO SING'!$A$6:$J$23,MATCH(MAIN!E167,'MED TO SING'!$A$6:$A$23,0),7)</f>
        <v>8.3333333333333332E-3</v>
      </c>
      <c r="H167" s="176">
        <f>INDEX('MED TO SING'!$A$6:$J$23,MATCH(MAIN!E167,'MED TO SING'!$A$6:$A$23,0),9)</f>
        <v>8.3333333333333332E-3</v>
      </c>
      <c r="I167" s="179" t="s">
        <v>62</v>
      </c>
      <c r="J167" s="175">
        <f>INDEX('MED TO SING'!$L$6:$U$23,MATCH(MAIN!I167,'MED TO SING'!$L$6:$L$23,0),5)</f>
        <v>1.2500000000000001E-2</v>
      </c>
      <c r="K167" s="178">
        <f>INDEX('MED TO SING'!$L$6:$U$23,MATCH(MAIN!I167,'MED TO SING'!$L$6:$L$23,0),7)</f>
        <v>1.2500000000000001E-2</v>
      </c>
      <c r="L167" s="176">
        <f>INDEX('MED TO SING'!$L$6:$U$23,MATCH(MAIN!I167,'MED TO SING'!$L$6:$L$23,0),9)</f>
        <v>1.2500000000000001E-2</v>
      </c>
      <c r="M167" s="155"/>
    </row>
    <row r="168" spans="1:13" hidden="1" outlineLevel="1" x14ac:dyDescent="0.25">
      <c r="A168" s="155"/>
      <c r="B168" s="255" t="s">
        <v>63</v>
      </c>
      <c r="C168" s="524"/>
      <c r="D168" s="525"/>
      <c r="E168" s="6" t="s">
        <v>63</v>
      </c>
      <c r="F168" s="175">
        <f>INDEX('MED TO SING'!$A$6:$J$23,MATCH(MAIN!E168,'MED TO SING'!$A$6:$A$23,0),5)</f>
        <v>0.1</v>
      </c>
      <c r="G168" s="178">
        <f>INDEX('MED TO SING'!$A$6:$J$23,MATCH(MAIN!E168,'MED TO SING'!$A$6:$A$23,0),7)</f>
        <v>0.1</v>
      </c>
      <c r="H168" s="176">
        <f>INDEX('MED TO SING'!$A$6:$J$23,MATCH(MAIN!E168,'MED TO SING'!$A$6:$A$23,0),9)</f>
        <v>0.1</v>
      </c>
      <c r="I168" s="179" t="s">
        <v>63</v>
      </c>
      <c r="J168" s="175">
        <f>INDEX('MED TO SING'!$L$6:$U$23,MATCH(MAIN!I168,'MED TO SING'!$L$6:$L$23,0),5)</f>
        <v>0.15</v>
      </c>
      <c r="K168" s="178">
        <f>INDEX('MED TO SING'!$L$6:$U$23,MATCH(MAIN!I168,'MED TO SING'!$L$6:$L$23,0),7)</f>
        <v>0.15</v>
      </c>
      <c r="L168" s="176">
        <f>INDEX('MED TO SING'!$L$6:$U$23,MATCH(MAIN!I168,'MED TO SING'!$L$6:$L$23,0),9)</f>
        <v>0.15</v>
      </c>
      <c r="M168" s="155"/>
    </row>
    <row r="169" spans="1:13" hidden="1" outlineLevel="1" x14ac:dyDescent="0.25">
      <c r="A169" s="155"/>
      <c r="B169" s="255" t="s">
        <v>64</v>
      </c>
      <c r="C169" s="524"/>
      <c r="D169" s="525"/>
      <c r="E169" s="6" t="s">
        <v>64</v>
      </c>
      <c r="F169" s="175">
        <f>INDEX('MED TO SING'!$A$6:$J$23,MATCH(MAIN!E169,'MED TO SING'!$A$6:$A$23,0),5)</f>
        <v>6.6666666666666666E-2</v>
      </c>
      <c r="G169" s="178">
        <f>INDEX('MED TO SING'!$A$6:$J$23,MATCH(MAIN!E169,'MED TO SING'!$A$6:$A$23,0),7)</f>
        <v>6.6666666666666666E-2</v>
      </c>
      <c r="H169" s="176">
        <f>INDEX('MED TO SING'!$A$6:$J$23,MATCH(MAIN!E169,'MED TO SING'!$A$6:$A$23,0),9)</f>
        <v>6.6666666666666666E-2</v>
      </c>
      <c r="I169" s="179" t="s">
        <v>64</v>
      </c>
      <c r="J169" s="175">
        <f>INDEX('MED TO SING'!$L$6:$U$23,MATCH(MAIN!I169,'MED TO SING'!$L$6:$L$23,0),5)</f>
        <v>0.1</v>
      </c>
      <c r="K169" s="178">
        <f>INDEX('MED TO SING'!$L$6:$U$23,MATCH(MAIN!I169,'MED TO SING'!$L$6:$L$23,0),7)</f>
        <v>0.1</v>
      </c>
      <c r="L169" s="176">
        <f>INDEX('MED TO SING'!$L$6:$U$23,MATCH(MAIN!I169,'MED TO SING'!$L$6:$L$23,0),9)</f>
        <v>0.1</v>
      </c>
      <c r="M169" s="155"/>
    </row>
    <row r="170" spans="1:13" hidden="1" outlineLevel="1" x14ac:dyDescent="0.25">
      <c r="A170" s="155"/>
      <c r="B170" s="255" t="s">
        <v>100</v>
      </c>
      <c r="C170" s="524"/>
      <c r="D170" s="525"/>
      <c r="E170" s="6" t="s">
        <v>100</v>
      </c>
      <c r="F170" s="175">
        <f ca="1">INDEX('MED TO SING'!$A$6:$J$23,MATCH(MAIN!E170,'MED TO SING'!$A$6:$A$23,0),5)</f>
        <v>40.211255422374428</v>
      </c>
      <c r="G170" s="178">
        <f ca="1">INDEX('MED TO SING'!$A$6:$J$23,MATCH(MAIN!E170,'MED TO SING'!$A$6:$A$23,0),7)</f>
        <v>40.182318778538807</v>
      </c>
      <c r="H170" s="176">
        <f ca="1">INDEX('MED TO SING'!$A$6:$J$23,MATCH(MAIN!E170,'MED TO SING'!$A$6:$A$23,0),9)</f>
        <v>40.182318778538807</v>
      </c>
      <c r="I170" s="179" t="s">
        <v>100</v>
      </c>
      <c r="J170" s="175">
        <f ca="1">INDEX('MED TO SING'!$L$6:$U$23,MATCH(MAIN!I170,'MED TO SING'!$L$6:$L$23,0),5)</f>
        <v>50.937922089041102</v>
      </c>
      <c r="K170" s="178">
        <f ca="1">INDEX('MED TO SING'!$L$6:$U$23,MATCH(MAIN!I170,'MED TO SING'!$L$6:$L$23,0),7)</f>
        <v>50.908985445205481</v>
      </c>
      <c r="L170" s="176">
        <f ca="1">INDEX('MED TO SING'!$L$6:$U$23,MATCH(MAIN!I170,'MED TO SING'!$L$6:$L$23,0),9)</f>
        <v>50.908985445205481</v>
      </c>
      <c r="M170" s="155"/>
    </row>
    <row r="171" spans="1:13" hidden="1" outlineLevel="1" x14ac:dyDescent="0.25">
      <c r="A171" s="155"/>
      <c r="B171" s="255" t="s">
        <v>101</v>
      </c>
      <c r="C171" s="524"/>
      <c r="D171" s="525"/>
      <c r="E171" s="6" t="s">
        <v>101</v>
      </c>
      <c r="F171" s="175">
        <f ca="1">INDEX('MED TO SING'!$A$6:$J$23,MATCH(MAIN!E171,'MED TO SING'!$A$6:$A$23,0),5)</f>
        <v>14.589285714285714</v>
      </c>
      <c r="G171" s="178">
        <f ca="1">INDEX('MED TO SING'!$A$6:$J$23,MATCH(MAIN!E171,'MED TO SING'!$A$6:$A$23,0),7)</f>
        <v>12.5</v>
      </c>
      <c r="H171" s="176">
        <f ca="1">INDEX('MED TO SING'!$A$6:$J$23,MATCH(MAIN!E171,'MED TO SING'!$A$6:$A$23,0),9)</f>
        <v>12.5</v>
      </c>
      <c r="I171" s="179" t="s">
        <v>101</v>
      </c>
      <c r="J171" s="175">
        <f ca="1">INDEX('MED TO SING'!$L$6:$U$23,MATCH(MAIN!I171,'MED TO SING'!$L$6:$L$23,0),5)</f>
        <v>14.589285714285714</v>
      </c>
      <c r="K171" s="178">
        <f ca="1">INDEX('MED TO SING'!$L$6:$U$23,MATCH(MAIN!I171,'MED TO SING'!$L$6:$L$23,0),7)</f>
        <v>12.5</v>
      </c>
      <c r="L171" s="176">
        <f ca="1">INDEX('MED TO SING'!$L$6:$U$23,MATCH(MAIN!I171,'MED TO SING'!$L$6:$L$23,0),9)</f>
        <v>12.5</v>
      </c>
      <c r="M171" s="155"/>
    </row>
    <row r="172" spans="1:13" hidden="1" outlineLevel="1" x14ac:dyDescent="0.25">
      <c r="A172" s="155"/>
      <c r="B172" s="255" t="s">
        <v>113</v>
      </c>
      <c r="C172" s="524"/>
      <c r="D172" s="525"/>
      <c r="E172" s="6" t="s">
        <v>113</v>
      </c>
      <c r="F172" s="175">
        <f ca="1">INDEX('MED TO SING'!$A$6:$J$23,MATCH(MAIN!E172,'MED TO SING'!$A$6:$A$23,0),5)</f>
        <v>-25.621969708088713</v>
      </c>
      <c r="G172" s="178">
        <f ca="1">INDEX('MED TO SING'!$A$6:$J$23,MATCH(MAIN!E172,'MED TO SING'!$A$6:$A$23,0),7)</f>
        <v>-27.682318778538807</v>
      </c>
      <c r="H172" s="176">
        <f ca="1">INDEX('MED TO SING'!$A$6:$J$23,MATCH(MAIN!E172,'MED TO SING'!$A$6:$A$23,0),9)</f>
        <v>-27.682318778538807</v>
      </c>
      <c r="I172" s="179" t="s">
        <v>113</v>
      </c>
      <c r="J172" s="175">
        <f ca="1">INDEX('MED TO SING'!$L$6:$U$23,MATCH(MAIN!I172,'MED TO SING'!$L$6:$L$23,0),5)</f>
        <v>-36.348636374755387</v>
      </c>
      <c r="K172" s="178">
        <f ca="1">INDEX('MED TO SING'!$L$6:$U$23,MATCH(MAIN!I172,'MED TO SING'!$L$6:$L$23,0),7)</f>
        <v>-38.408985445205481</v>
      </c>
      <c r="L172" s="176">
        <f ca="1">INDEX('MED TO SING'!$L$6:$U$23,MATCH(MAIN!I172,'MED TO SING'!$L$6:$L$23,0),9)</f>
        <v>-38.408985445205481</v>
      </c>
      <c r="M172" s="155"/>
    </row>
    <row r="173" spans="1:13" ht="15.75" hidden="1" outlineLevel="1" thickBot="1" x14ac:dyDescent="0.3">
      <c r="A173" s="155"/>
      <c r="B173" s="255" t="s">
        <v>126</v>
      </c>
      <c r="C173" s="524"/>
      <c r="D173" s="525"/>
      <c r="E173" s="6" t="s">
        <v>126</v>
      </c>
      <c r="F173" s="217">
        <f ca="1">F146</f>
        <v>45918</v>
      </c>
      <c r="G173" s="218">
        <f ca="1">G146</f>
        <v>45932</v>
      </c>
      <c r="H173" s="219">
        <f ca="1">H146</f>
        <v>45946</v>
      </c>
      <c r="I173" s="220" t="str">
        <f>I146</f>
        <v>Loading Month</v>
      </c>
      <c r="J173" s="217">
        <f ca="1">F173</f>
        <v>45918</v>
      </c>
      <c r="K173" s="218">
        <f ca="1">K146</f>
        <v>45932</v>
      </c>
      <c r="L173" s="219">
        <f ca="1">L146</f>
        <v>45946</v>
      </c>
      <c r="M173" s="155"/>
    </row>
    <row r="174" spans="1:13" ht="15.75" collapsed="1" thickBot="1" x14ac:dyDescent="0.3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5"/>
      <c r="M174" s="155"/>
    </row>
    <row r="175" spans="1:13" ht="15.75" hidden="1" thickBot="1" x14ac:dyDescent="0.3">
      <c r="A175" s="529" t="s">
        <v>139</v>
      </c>
      <c r="B175" s="155"/>
      <c r="C175" s="533"/>
      <c r="D175" s="534"/>
      <c r="E175" s="214"/>
      <c r="F175" s="535" t="s">
        <v>129</v>
      </c>
      <c r="G175" s="536"/>
      <c r="H175" s="537"/>
      <c r="I175" s="214"/>
      <c r="J175" s="535" t="s">
        <v>130</v>
      </c>
      <c r="K175" s="536"/>
      <c r="L175" s="537"/>
      <c r="M175" s="155"/>
    </row>
    <row r="176" spans="1:13" ht="15.75" hidden="1" thickBot="1" x14ac:dyDescent="0.3">
      <c r="A176" s="529"/>
      <c r="B176" s="199" t="s">
        <v>131</v>
      </c>
      <c r="C176" s="206"/>
      <c r="D176" s="207"/>
      <c r="E176" s="215"/>
      <c r="F176" s="204" t="str">
        <f ca="1">IF(DAY(F177)&lt;15,"1H-"&amp;VLOOKUP(MONTH(F177),Mapping!$A$1:$B$12,2,0),"2H-"&amp;VLOOKUP(MONTH(F177),Mapping!$A$1:$B$12,2,0))</f>
        <v>2H-SEP</v>
      </c>
      <c r="G176" s="189" t="str">
        <f ca="1">IF(DAY(G177)&lt;15,"1H-"&amp;VLOOKUP(MONTH(G177),Mapping!$A$1:$B$12,2,0),"2H-"&amp;VLOOKUP(MONTH(G177),Mapping!$A$1:$B$12,2,0))</f>
        <v>1H-OCT</v>
      </c>
      <c r="H176" s="205" t="str">
        <f ca="1">IF(DAY(H177)&lt;15,"1H-"&amp;VLOOKUP(MONTH(H177),Mapping!$A$1:$B$12,2,0),"2H-"&amp;VLOOKUP(MONTH(H177),Mapping!$A$1:$B$12,2,0))</f>
        <v>2H-OCT</v>
      </c>
      <c r="I176" s="198" t="e">
        <f>IF(DAY(I177)&lt;15,"1H-"&amp;VLOOKUP(MONTH(I177),Mapping!$A$1:$B$12,2,0),"2H-"&amp;VLOOKUP(MONTH(I177),Mapping!$A$1:$B$12,2,0))</f>
        <v>#VALUE!</v>
      </c>
      <c r="J176" s="204" t="str">
        <f ca="1">IF(DAY(J177)&lt;15,"1H-"&amp;VLOOKUP(MONTH(J177),Mapping!$A$1:$B$12,2,0),"2H-"&amp;VLOOKUP(MONTH(J177),Mapping!$A$1:$B$12,2,0))</f>
        <v>2H-SEP</v>
      </c>
      <c r="K176" s="189" t="str">
        <f ca="1">IF(DAY(K177)&lt;15,"1H-"&amp;VLOOKUP(MONTH(K177),Mapping!$A$1:$B$12,2,0),"2H-"&amp;VLOOKUP(MONTH(K177),Mapping!$A$1:$B$12,2,0))</f>
        <v>1H-OCT</v>
      </c>
      <c r="L176" s="205" t="str">
        <f ca="1">IF(DAY(L177)&lt;15,"1H-"&amp;VLOOKUP(MONTH(L177),Mapping!$A$1:$B$12,2,0),"2H-"&amp;VLOOKUP(MONTH(L177),Mapping!$A$1:$B$12,2,0))</f>
        <v>2H-OCT</v>
      </c>
      <c r="M176" s="155"/>
    </row>
    <row r="177" spans="1:13" hidden="1" x14ac:dyDescent="0.25">
      <c r="A177" s="155"/>
      <c r="B177" s="154" t="s">
        <v>131</v>
      </c>
      <c r="C177" s="522"/>
      <c r="D177" s="523"/>
      <c r="E177" s="6"/>
      <c r="F177" s="251">
        <f ca="1">'Loading Arrival'!B44</f>
        <v>45930</v>
      </c>
      <c r="G177" s="252">
        <f ca="1">'Loading Arrival'!C44</f>
        <v>45944</v>
      </c>
      <c r="H177" s="253">
        <f ca="1">'Loading Arrival'!D38</f>
        <v>45946</v>
      </c>
      <c r="I177" s="250" t="str">
        <f>I128</f>
        <v>Freight</v>
      </c>
      <c r="J177" s="252">
        <f ca="1">F177</f>
        <v>45930</v>
      </c>
      <c r="K177" s="252">
        <f t="shared" ref="K177:L177" ca="1" si="2">G177</f>
        <v>45944</v>
      </c>
      <c r="L177" s="253">
        <f t="shared" ca="1" si="2"/>
        <v>45946</v>
      </c>
      <c r="M177" s="155"/>
    </row>
    <row r="178" spans="1:13" hidden="1" x14ac:dyDescent="0.25">
      <c r="A178" s="199" t="s">
        <v>136</v>
      </c>
      <c r="B178" s="168"/>
      <c r="C178" s="524"/>
      <c r="D178" s="525"/>
      <c r="E178" s="10"/>
      <c r="F178" s="159" t="e">
        <f ca="1">F198+F179-F180</f>
        <v>#N/A</v>
      </c>
      <c r="G178" s="160" t="e">
        <f ca="1">G198+G179-G180</f>
        <v>#N/A</v>
      </c>
      <c r="H178" s="161" t="e">
        <f ca="1">H198+H179-H180</f>
        <v>#N/A</v>
      </c>
      <c r="I178" s="165"/>
      <c r="J178" s="160" t="e">
        <f ca="1">J198+J179-J180</f>
        <v>#N/A</v>
      </c>
      <c r="K178" s="160" t="e">
        <f ca="1">K198+K179-K180</f>
        <v>#N/A</v>
      </c>
      <c r="L178" s="161" t="e">
        <f ca="1">L198+L179-L180</f>
        <v>#N/A</v>
      </c>
      <c r="M178" s="155"/>
    </row>
    <row r="179" spans="1:13" hidden="1" x14ac:dyDescent="0.25">
      <c r="A179" s="155"/>
      <c r="B179" s="169" t="s">
        <v>133</v>
      </c>
      <c r="C179" s="524"/>
      <c r="D179" s="525"/>
      <c r="E179" s="177" t="s">
        <v>128</v>
      </c>
      <c r="F179" s="175">
        <f ca="1">INDEX(Premium!$A$2:$D$12,MATCH(MAIN!$A178,Premium!$A$2:$A$12,0),MATCH(EOMONTH(MAIN!F177,-1)+1,Premium!$A$2:$D$2,0))</f>
        <v>-24.67</v>
      </c>
      <c r="G179" s="178">
        <f ca="1">INDEX(Premium!$A$2:$D$12,MATCH(MAIN!$A178,Premium!$A$2:$A$12,0),MATCH(EOMONTH(MAIN!G177,-1)+1,Premium!$A$2:$D$2,0))</f>
        <v>-24.67</v>
      </c>
      <c r="H179" s="176">
        <f ca="1">INDEX(Premium!$A$2:$D$12,MATCH(MAIN!$A178,Premium!$A$2:$A$12,0),MATCH(EOMONTH(MAIN!H177,-1)+1,Premium!$A$2:$D$2,0))</f>
        <v>-24.67</v>
      </c>
      <c r="I179" s="179" t="s">
        <v>128</v>
      </c>
      <c r="J179" s="178">
        <f ca="1">INDEX(Premium!$A$2:$D$12,MATCH(MAIN!$A178,Premium!$A$2:$A$12,0),MATCH(EOMONTH(MAIN!J177,-1)+1,Premium!$A$2:$D$2,0))</f>
        <v>-24.67</v>
      </c>
      <c r="K179" s="178">
        <f ca="1">INDEX(Premium!$A$2:$D$12,MATCH(MAIN!$A178,Premium!$A$2:$A$12,0),MATCH(EOMONTH(MAIN!K177,-1)+1,Premium!$A$2:$D$2,0))</f>
        <v>-24.67</v>
      </c>
      <c r="L179" s="176">
        <f ca="1">INDEX(Premium!$A$2:$D$12,MATCH(MAIN!$A178,Premium!$A$2:$A$12,0),MATCH(EOMONTH(MAIN!L177,-1)+1,Premium!$A$2:$D$2,0))</f>
        <v>-24.67</v>
      </c>
      <c r="M179" s="155"/>
    </row>
    <row r="180" spans="1:13" ht="15.75" hidden="1" thickBot="1" x14ac:dyDescent="0.3">
      <c r="A180" s="155"/>
      <c r="B180" s="170" t="s">
        <v>132</v>
      </c>
      <c r="C180" s="524"/>
      <c r="D180" s="525"/>
      <c r="E180" s="177" t="s">
        <v>127</v>
      </c>
      <c r="F180" s="180" t="e">
        <f ca="1">INDEX(Premium!$A$21:$D$29,MATCH(LEFT(MAIN!$A178,3),Premium!$A$21:$A$29,0),MATCH(EOMONTH(MAIN!F199,-1)+1,Premium!$A$21:$D$21,0))</f>
        <v>#N/A</v>
      </c>
      <c r="G180" s="182" t="e">
        <f ca="1">INDEX(Premium!$A$21:$D$29,MATCH(LEFT(MAIN!$A178,3),Premium!$A$21:$A$29,0),MATCH(EOMONTH(MAIN!G199,-1)+1,Premium!$A$21:$D$21,0))</f>
        <v>#N/A</v>
      </c>
      <c r="H180" s="181" t="e">
        <f ca="1">INDEX(Premium!$A$21:$D$29,MATCH(LEFT(MAIN!$A178,3),Premium!$A$21:$A$29,0),MATCH(EOMONTH(MAIN!H199,-1)+1,Premium!$A$21:$D$21,0))</f>
        <v>#N/A</v>
      </c>
      <c r="I180" s="220" t="s">
        <v>127</v>
      </c>
      <c r="J180" s="182" t="e">
        <f ca="1">INDEX(Premium!$A$21:$D$29,MATCH(LEFT(MAIN!$A178,3),Premium!$A$21:$A$29,0),MATCH(EOMONTH(MAIN!J199,-1)+1,Premium!$A$21:$D$21,0))</f>
        <v>#N/A</v>
      </c>
      <c r="K180" s="182" t="e">
        <f ca="1">INDEX(Premium!$A$21:$D$29,MATCH(LEFT(MAIN!$A178,3),Premium!$A$21:$A$29,0),MATCH(EOMONTH(MAIN!K199,-1)+1,Premium!$A$21:$D$21,0))</f>
        <v>#N/A</v>
      </c>
      <c r="L180" s="181" t="e">
        <f ca="1">INDEX(Premium!$A$21:$D$29,MATCH(LEFT(MAIN!$A178,3),Premium!$A$21:$A$29,0),MATCH(EOMONTH(MAIN!L199,-1)+1,Premium!$A$21:$D$21,0))</f>
        <v>#N/A</v>
      </c>
      <c r="M180" s="155"/>
    </row>
    <row r="181" spans="1:13" hidden="1" outlineLevel="1" x14ac:dyDescent="0.25">
      <c r="A181" s="155"/>
      <c r="B181" s="254" t="s">
        <v>53</v>
      </c>
      <c r="C181" s="524"/>
      <c r="D181" s="525"/>
      <c r="E181" s="6" t="s">
        <v>53</v>
      </c>
      <c r="F181" s="175">
        <f>INDEX('MED TO AG'!$A$6:$J$23,MATCH(MAIN!E181,'MED TO AG'!$A$6:$A$23,0),5)</f>
        <v>31.724137931034484</v>
      </c>
      <c r="G181" s="162">
        <f>INDEX('MED TO AG'!$A$6:$J$23,MATCH(MAIN!E181,'MED TO AG'!$A$6:$A$23,0),7)</f>
        <v>31.724137931034484</v>
      </c>
      <c r="H181" s="163">
        <f>INDEX('MED TO AG'!$A$6:$J$23,MATCH(MAIN!E181,'MED TO AG'!$A$6:$A$23,0),9)</f>
        <v>31.724137931034484</v>
      </c>
      <c r="I181" s="164" t="s">
        <v>53</v>
      </c>
      <c r="J181" s="213">
        <f>INDEX('MED TO AG'!$L$6:$U$23,MATCH(MAIN!I181,'MED TO AG'!$L$6:$L$23,0),5)</f>
        <v>42</v>
      </c>
      <c r="K181" s="213">
        <f>INDEX('MED TO AG'!$L$6:$U$23,MATCH(MAIN!I181,'MED TO AG'!$L$6:$L$23,0),7)</f>
        <v>42</v>
      </c>
      <c r="L181" s="216">
        <f>INDEX('MED TO AG'!$L$6:$U$23,MATCH(MAIN!I181,'MED TO AG'!$L$6:$L$23,0),9)</f>
        <v>42</v>
      </c>
    </row>
    <row r="182" spans="1:13" hidden="1" outlineLevel="1" x14ac:dyDescent="0.25">
      <c r="A182" s="155"/>
      <c r="B182" s="255" t="s">
        <v>54</v>
      </c>
      <c r="C182" s="524"/>
      <c r="D182" s="525"/>
      <c r="E182" s="6" t="s">
        <v>54</v>
      </c>
      <c r="F182" s="175">
        <f>INDEX('MED TO AG'!$A$6:$J$23,MATCH(MAIN!E182,'MED TO AG'!$A$6:$A$23,0),5)</f>
        <v>0</v>
      </c>
      <c r="G182" s="178">
        <f>INDEX('MED TO AG'!$A$6:$J$23,MATCH(MAIN!E182,'MED TO AG'!$A$6:$A$23,0),7)</f>
        <v>0</v>
      </c>
      <c r="H182" s="176">
        <f>INDEX('MED TO AG'!$A$6:$J$23,MATCH(MAIN!E182,'MED TO AG'!$A$6:$A$23,0),9)</f>
        <v>0</v>
      </c>
      <c r="I182" s="179" t="s">
        <v>54</v>
      </c>
      <c r="J182" s="213">
        <f>INDEX('MED TO AG'!$L$6:$U$23,MATCH(MAIN!I182,'MED TO AG'!$L$6:$L$23,0),5)</f>
        <v>0</v>
      </c>
      <c r="K182" s="213">
        <f>INDEX('MED TO AG'!$L$6:$U$23,MATCH(MAIN!I182,'MED TO AG'!$L$6:$L$23,0),7)</f>
        <v>0</v>
      </c>
      <c r="L182" s="216">
        <f>INDEX('MED TO AG'!$L$6:$U$23,MATCH(MAIN!I182,'MED TO AG'!$L$6:$L$23,0),9)</f>
        <v>0</v>
      </c>
    </row>
    <row r="183" spans="1:13" hidden="1" outlineLevel="1" x14ac:dyDescent="0.25">
      <c r="A183" s="155"/>
      <c r="B183" s="255" t="s">
        <v>55</v>
      </c>
      <c r="C183" s="524"/>
      <c r="D183" s="525"/>
      <c r="E183" s="6" t="s">
        <v>55</v>
      </c>
      <c r="F183" s="175">
        <f>INDEX('MED TO AG'!$A$6:$J$23,MATCH(MAIN!E183,'MED TO AG'!$A$6:$A$23,0),5)</f>
        <v>2.7517241379310344</v>
      </c>
      <c r="G183" s="178">
        <f>INDEX('MED TO AG'!$A$6:$J$23,MATCH(MAIN!E183,'MED TO AG'!$A$6:$A$23,0),7)</f>
        <v>2.7517241379310344</v>
      </c>
      <c r="H183" s="176">
        <f>INDEX('MED TO AG'!$A$6:$J$23,MATCH(MAIN!E183,'MED TO AG'!$A$6:$A$23,0),9)</f>
        <v>2.7517241379310344</v>
      </c>
      <c r="I183" s="179" t="s">
        <v>55</v>
      </c>
      <c r="J183" s="213">
        <f>INDEX('MED TO AG'!$L$6:$U$23,MATCH(MAIN!I183,'MED TO AG'!$L$6:$L$23,0),5)</f>
        <v>4.25</v>
      </c>
      <c r="K183" s="213">
        <f>INDEX('MED TO AG'!$L$6:$U$23,MATCH(MAIN!I183,'MED TO AG'!$L$6:$L$23,0),7)</f>
        <v>4.25</v>
      </c>
      <c r="L183" s="216">
        <f>INDEX('MED TO AG'!$L$6:$U$23,MATCH(MAIN!I183,'MED TO AG'!$L$6:$L$23,0),9)</f>
        <v>4.25</v>
      </c>
    </row>
    <row r="184" spans="1:13" hidden="1" outlineLevel="1" x14ac:dyDescent="0.25">
      <c r="A184" s="155"/>
      <c r="B184" s="255" t="s">
        <v>56</v>
      </c>
      <c r="C184" s="524"/>
      <c r="D184" s="525"/>
      <c r="E184" s="6" t="s">
        <v>56</v>
      </c>
      <c r="F184" s="175">
        <f>INDEX('MED TO AG'!$A$6:$J$23,MATCH(MAIN!E184,'MED TO AG'!$A$6:$A$23,0),5)</f>
        <v>0.10344827586206896</v>
      </c>
      <c r="G184" s="178">
        <f>INDEX('MED TO AG'!$A$6:$J$23,MATCH(MAIN!E184,'MED TO AG'!$A$6:$A$23,0),7)</f>
        <v>0.10344827586206896</v>
      </c>
      <c r="H184" s="176">
        <f>INDEX('MED TO AG'!$A$6:$J$23,MATCH(MAIN!E184,'MED TO AG'!$A$6:$A$23,0),9)</f>
        <v>0.10344827586206896</v>
      </c>
      <c r="I184" s="179" t="s">
        <v>56</v>
      </c>
      <c r="J184" s="213">
        <f>INDEX('MED TO AG'!$L$6:$U$23,MATCH(MAIN!I184,'MED TO AG'!$L$6:$L$23,0),5)</f>
        <v>8.5000000000000006E-2</v>
      </c>
      <c r="K184" s="213">
        <f>INDEX('MED TO AG'!$L$6:$U$23,MATCH(MAIN!I184,'MED TO AG'!$L$6:$L$23,0),7)</f>
        <v>8.5000000000000006E-2</v>
      </c>
      <c r="L184" s="216">
        <f>INDEX('MED TO AG'!$L$6:$U$23,MATCH(MAIN!I184,'MED TO AG'!$L$6:$L$23,0),9)</f>
        <v>8.5000000000000006E-2</v>
      </c>
    </row>
    <row r="185" spans="1:13" hidden="1" outlineLevel="1" x14ac:dyDescent="0.25">
      <c r="A185" s="155"/>
      <c r="B185" s="255" t="s">
        <v>124</v>
      </c>
      <c r="C185" s="524"/>
      <c r="D185" s="525"/>
      <c r="E185" s="6" t="s">
        <v>124</v>
      </c>
      <c r="F185" s="175">
        <f>INDEX('MED TO AG'!$A$6:$J$23,MATCH(MAIN!E185,'MED TO AG'!$A$6:$A$23,0),5)</f>
        <v>0.17241379310344829</v>
      </c>
      <c r="G185" s="178">
        <f>INDEX('MED TO AG'!$A$6:$J$23,MATCH(MAIN!E185,'MED TO AG'!$A$6:$A$23,0),7)</f>
        <v>0.17241379310344829</v>
      </c>
      <c r="H185" s="176">
        <f>INDEX('MED TO AG'!$A$6:$J$23,MATCH(MAIN!E185,'MED TO AG'!$A$6:$A$23,0),9)</f>
        <v>0.17241379310344829</v>
      </c>
      <c r="I185" s="179" t="s">
        <v>124</v>
      </c>
      <c r="J185" s="213">
        <f>INDEX('MED TO AG'!$L$6:$U$23,MATCH(MAIN!I185,'MED TO AG'!$L$6:$L$23,0),5)</f>
        <v>0.25</v>
      </c>
      <c r="K185" s="213">
        <f>INDEX('MED TO AG'!$L$6:$U$23,MATCH(MAIN!I185,'MED TO AG'!$L$6:$L$23,0),7)</f>
        <v>0.25</v>
      </c>
      <c r="L185" s="216">
        <f>INDEX('MED TO AG'!$L$6:$U$23,MATCH(MAIN!I185,'MED TO AG'!$L$6:$L$23,0),9)</f>
        <v>0.25</v>
      </c>
    </row>
    <row r="186" spans="1:13" hidden="1" outlineLevel="1" x14ac:dyDescent="0.25">
      <c r="A186" s="155"/>
      <c r="B186" s="255" t="s">
        <v>125</v>
      </c>
      <c r="C186" s="524"/>
      <c r="D186" s="525"/>
      <c r="E186" s="6" t="s">
        <v>125</v>
      </c>
      <c r="F186" s="175">
        <f>INDEX('MED TO AG'!$A$6:$J$23,MATCH(MAIN!E186,'MED TO AG'!$A$6:$A$23,0),5)</f>
        <v>0.17241379310344829</v>
      </c>
      <c r="G186" s="178">
        <f>INDEX('MED TO AG'!$A$6:$J$23,MATCH(MAIN!E186,'MED TO AG'!$A$6:$A$23,0),7)</f>
        <v>0.17241379310344829</v>
      </c>
      <c r="H186" s="176">
        <f>INDEX('MED TO AG'!$A$6:$J$23,MATCH(MAIN!E186,'MED TO AG'!$A$6:$A$23,0),9)</f>
        <v>0.17241379310344829</v>
      </c>
      <c r="I186" s="179" t="s">
        <v>125</v>
      </c>
      <c r="J186" s="213">
        <f>INDEX('MED TO AG'!$L$6:$U$23,MATCH(MAIN!I186,'MED TO AG'!$L$6:$L$23,0),5)</f>
        <v>0.25</v>
      </c>
      <c r="K186" s="213">
        <f>INDEX('MED TO AG'!$L$6:$U$23,MATCH(MAIN!I186,'MED TO AG'!$L$6:$L$23,0),7)</f>
        <v>0.25</v>
      </c>
      <c r="L186" s="216">
        <f>INDEX('MED TO AG'!$L$6:$U$23,MATCH(MAIN!I186,'MED TO AG'!$L$6:$L$23,0),9)</f>
        <v>0.25</v>
      </c>
    </row>
    <row r="187" spans="1:13" hidden="1" outlineLevel="1" x14ac:dyDescent="0.25">
      <c r="A187" s="155"/>
      <c r="B187" s="255" t="s">
        <v>81</v>
      </c>
      <c r="C187" s="524"/>
      <c r="D187" s="525"/>
      <c r="E187" s="6" t="s">
        <v>81</v>
      </c>
      <c r="F187" s="175">
        <f ca="1">INDEX('MED TO AG'!$A$6:$J$23,MATCH(MAIN!E187,'MED TO AG'!$A$6:$A$23,0),5)</f>
        <v>3.379109589041096</v>
      </c>
      <c r="G187" s="178">
        <f ca="1">INDEX('MED TO AG'!$A$6:$J$23,MATCH(MAIN!E187,'MED TO AG'!$A$6:$A$23,0),7)</f>
        <v>3.3655479452054795</v>
      </c>
      <c r="H187" s="176">
        <f ca="1">INDEX('MED TO AG'!$A$6:$J$23,MATCH(MAIN!E187,'MED TO AG'!$A$6:$A$23,0),9)</f>
        <v>3.3655479452054795</v>
      </c>
      <c r="I187" s="179" t="s">
        <v>81</v>
      </c>
      <c r="J187" s="213">
        <f ca="1">INDEX('MED TO AG'!$L$6:$U$23,MATCH(MAIN!I187,'MED TO AG'!$L$6:$L$23,0),5)</f>
        <v>3.379109589041096</v>
      </c>
      <c r="K187" s="213">
        <f ca="1">INDEX('MED TO AG'!$L$6:$U$23,MATCH(MAIN!I187,'MED TO AG'!$L$6:$L$23,0),7)</f>
        <v>3.3655479452054795</v>
      </c>
      <c r="L187" s="216">
        <f ca="1">INDEX('MED TO AG'!$L$6:$U$23,MATCH(MAIN!I187,'MED TO AG'!$L$6:$L$23,0),9)</f>
        <v>3.3655479452054795</v>
      </c>
    </row>
    <row r="188" spans="1:13" hidden="1" outlineLevel="1" x14ac:dyDescent="0.25">
      <c r="A188" s="155"/>
      <c r="B188" s="255" t="s">
        <v>57</v>
      </c>
      <c r="C188" s="524"/>
      <c r="D188" s="525"/>
      <c r="E188" s="6" t="s">
        <v>57</v>
      </c>
      <c r="F188" s="175">
        <f>INDEX('MED TO AG'!$A$6:$J$23,MATCH(MAIN!E188,'MED TO AG'!$A$6:$A$23,0),5)</f>
        <v>0</v>
      </c>
      <c r="G188" s="178">
        <f>INDEX('MED TO AG'!$A$6:$J$23,MATCH(MAIN!E188,'MED TO AG'!$A$6:$A$23,0),7)</f>
        <v>0</v>
      </c>
      <c r="H188" s="176">
        <f>INDEX('MED TO AG'!$A$6:$J$23,MATCH(MAIN!E188,'MED TO AG'!$A$6:$A$23,0),9)</f>
        <v>0</v>
      </c>
      <c r="I188" s="179" t="s">
        <v>57</v>
      </c>
      <c r="J188" s="213">
        <f>INDEX('MED TO AG'!$L$6:$U$23,MATCH(MAIN!I188,'MED TO AG'!$L$6:$L$23,0),5)</f>
        <v>0</v>
      </c>
      <c r="K188" s="213">
        <f>INDEX('MED TO AG'!$L$6:$U$23,MATCH(MAIN!I188,'MED TO AG'!$L$6:$L$23,0),7)</f>
        <v>0</v>
      </c>
      <c r="L188" s="216">
        <f>INDEX('MED TO AG'!$L$6:$U$23,MATCH(MAIN!I188,'MED TO AG'!$L$6:$L$23,0),9)</f>
        <v>0</v>
      </c>
    </row>
    <row r="189" spans="1:13" hidden="1" outlineLevel="1" x14ac:dyDescent="0.25">
      <c r="A189" s="155"/>
      <c r="B189" s="255" t="s">
        <v>58</v>
      </c>
      <c r="C189" s="524"/>
      <c r="D189" s="525"/>
      <c r="E189" s="6" t="s">
        <v>58</v>
      </c>
      <c r="F189" s="175">
        <f ca="1">INDEX('MED TO AG'!$A$6:$J$23,MATCH(MAIN!E189,'MED TO AG'!$A$6:$A$23,0),5)</f>
        <v>0.28031250000000002</v>
      </c>
      <c r="G189" s="178">
        <f ca="1">INDEX('MED TO AG'!$A$6:$J$23,MATCH(MAIN!E189,'MED TO AG'!$A$6:$A$23,0),7)</f>
        <v>0.27918750000000003</v>
      </c>
      <c r="H189" s="176">
        <f ca="1">INDEX('MED TO AG'!$A$6:$J$23,MATCH(MAIN!E189,'MED TO AG'!$A$6:$A$23,0),9)</f>
        <v>0.27918750000000003</v>
      </c>
      <c r="I189" s="179" t="s">
        <v>58</v>
      </c>
      <c r="J189" s="213">
        <f ca="1">INDEX('MED TO AG'!$L$6:$U$23,MATCH(MAIN!I189,'MED TO AG'!$L$6:$L$23,0),5)</f>
        <v>0.28031250000000002</v>
      </c>
      <c r="K189" s="213">
        <f ca="1">INDEX('MED TO AG'!$L$6:$U$23,MATCH(MAIN!I189,'MED TO AG'!$L$6:$L$23,0),7)</f>
        <v>0.27918750000000003</v>
      </c>
      <c r="L189" s="216">
        <f ca="1">INDEX('MED TO AG'!$L$6:$U$23,MATCH(MAIN!I189,'MED TO AG'!$L$6:$L$23,0),9)</f>
        <v>0.27918750000000003</v>
      </c>
    </row>
    <row r="190" spans="1:13" hidden="1" outlineLevel="1" x14ac:dyDescent="0.25">
      <c r="A190" s="155"/>
      <c r="B190" s="255" t="s">
        <v>59</v>
      </c>
      <c r="C190" s="524"/>
      <c r="D190" s="525"/>
      <c r="E190" s="6" t="s">
        <v>59</v>
      </c>
      <c r="F190" s="175">
        <f ca="1">INDEX('MED TO AG'!$A$6:$J$23,MATCH(MAIN!E190,'MED TO AG'!$A$6:$A$23,0),5)</f>
        <v>1.1685000000000001</v>
      </c>
      <c r="G190" s="178">
        <f ca="1">INDEX('MED TO AG'!$A$6:$J$23,MATCH(MAIN!E190,'MED TO AG'!$A$6:$A$23,0),7)</f>
        <v>137.886</v>
      </c>
      <c r="H190" s="176">
        <f ca="1">INDEX('MED TO AG'!$A$6:$J$23,MATCH(MAIN!E190,'MED TO AG'!$A$6:$A$23,0),9)</f>
        <v>137.886</v>
      </c>
      <c r="I190" s="179" t="s">
        <v>59</v>
      </c>
      <c r="J190" s="213">
        <f ca="1">INDEX('MED TO AG'!$L$6:$U$23,MATCH(MAIN!I190,'MED TO AG'!$L$6:$L$23,0),5)</f>
        <v>1.1685000000000001</v>
      </c>
      <c r="K190" s="213">
        <f ca="1">INDEX('MED TO AG'!$L$6:$U$23,MATCH(MAIN!I190,'MED TO AG'!$L$6:$L$23,0),7)</f>
        <v>137.886</v>
      </c>
      <c r="L190" s="216">
        <f ca="1">INDEX('MED TO AG'!$L$6:$U$23,MATCH(MAIN!I190,'MED TO AG'!$L$6:$L$23,0),9)</f>
        <v>137.886</v>
      </c>
    </row>
    <row r="191" spans="1:13" hidden="1" outlineLevel="1" x14ac:dyDescent="0.25">
      <c r="A191" s="155"/>
      <c r="B191" s="255" t="s">
        <v>60</v>
      </c>
      <c r="C191" s="524"/>
      <c r="D191" s="525"/>
      <c r="E191" s="6" t="s">
        <v>60</v>
      </c>
      <c r="F191" s="175">
        <f>INDEX('MED TO AG'!$A$6:$J$23,MATCH(MAIN!E191,'MED TO AG'!$A$6:$A$23,0),5)</f>
        <v>8.6206896551724144E-2</v>
      </c>
      <c r="G191" s="178">
        <f>INDEX('MED TO AG'!$A$6:$J$23,MATCH(MAIN!E191,'MED TO AG'!$A$6:$A$23,0),7)</f>
        <v>8.6206896551724144E-2</v>
      </c>
      <c r="H191" s="176">
        <f>INDEX('MED TO AG'!$A$6:$J$23,MATCH(MAIN!E191,'MED TO AG'!$A$6:$A$23,0),9)</f>
        <v>8.6206896551724144E-2</v>
      </c>
      <c r="I191" s="179" t="s">
        <v>60</v>
      </c>
      <c r="J191" s="213">
        <f>INDEX('MED TO AG'!$L$6:$U$23,MATCH(MAIN!I191,'MED TO AG'!$L$6:$L$23,0),5)</f>
        <v>0.125</v>
      </c>
      <c r="K191" s="213">
        <f>INDEX('MED TO AG'!$L$6:$U$23,MATCH(MAIN!I191,'MED TO AG'!$L$6:$L$23,0),7)</f>
        <v>0.125</v>
      </c>
      <c r="L191" s="216">
        <f>INDEX('MED TO AG'!$L$6:$U$23,MATCH(MAIN!I191,'MED TO AG'!$L$6:$L$23,0),9)</f>
        <v>0.125</v>
      </c>
    </row>
    <row r="192" spans="1:13" hidden="1" outlineLevel="1" x14ac:dyDescent="0.25">
      <c r="A192" s="155"/>
      <c r="B192" s="255" t="s">
        <v>61</v>
      </c>
      <c r="C192" s="524"/>
      <c r="D192" s="525"/>
      <c r="E192" s="6" t="s">
        <v>61</v>
      </c>
      <c r="F192" s="175">
        <f>INDEX('MED TO AG'!$A$6:$J$23,MATCH(MAIN!E192,'MED TO AG'!$A$6:$A$23,0),5)</f>
        <v>8.6206896551724137E-3</v>
      </c>
      <c r="G192" s="178">
        <f>INDEX('MED TO AG'!$A$6:$J$23,MATCH(MAIN!E192,'MED TO AG'!$A$6:$A$23,0),7)</f>
        <v>8.6206896551724137E-3</v>
      </c>
      <c r="H192" s="176">
        <f>INDEX('MED TO AG'!$A$6:$J$23,MATCH(MAIN!E192,'MED TO AG'!$A$6:$A$23,0),9)</f>
        <v>8.6206896551724137E-3</v>
      </c>
      <c r="I192" s="179" t="s">
        <v>61</v>
      </c>
      <c r="J192" s="213">
        <f>INDEX('MED TO AG'!$L$6:$U$23,MATCH(MAIN!I192,'MED TO AG'!$L$6:$L$23,0),5)</f>
        <v>1.2500000000000001E-2</v>
      </c>
      <c r="K192" s="213">
        <f>INDEX('MED TO AG'!$L$6:$U$23,MATCH(MAIN!I192,'MED TO AG'!$L$6:$L$23,0),7)</f>
        <v>1.2500000000000001E-2</v>
      </c>
      <c r="L192" s="216">
        <f>INDEX('MED TO AG'!$L$6:$U$23,MATCH(MAIN!I192,'MED TO AG'!$L$6:$L$23,0),9)</f>
        <v>1.2500000000000001E-2</v>
      </c>
    </row>
    <row r="193" spans="1:13" hidden="1" outlineLevel="1" x14ac:dyDescent="0.25">
      <c r="A193" s="155"/>
      <c r="B193" s="255" t="s">
        <v>62</v>
      </c>
      <c r="C193" s="524"/>
      <c r="D193" s="525"/>
      <c r="E193" s="6" t="s">
        <v>62</v>
      </c>
      <c r="F193" s="175">
        <f>INDEX('MED TO AG'!$A$6:$J$23,MATCH(MAIN!E193,'MED TO AG'!$A$6:$A$23,0),5)</f>
        <v>8.6206896551724137E-3</v>
      </c>
      <c r="G193" s="178">
        <f>INDEX('MED TO AG'!$A$6:$J$23,MATCH(MAIN!E193,'MED TO AG'!$A$6:$A$23,0),7)</f>
        <v>8.6206896551724137E-3</v>
      </c>
      <c r="H193" s="176">
        <f>INDEX('MED TO AG'!$A$6:$J$23,MATCH(MAIN!E193,'MED TO AG'!$A$6:$A$23,0),9)</f>
        <v>8.6206896551724137E-3</v>
      </c>
      <c r="I193" s="179" t="s">
        <v>62</v>
      </c>
      <c r="J193" s="213">
        <f>INDEX('MED TO AG'!$L$6:$U$23,MATCH(MAIN!I193,'MED TO AG'!$L$6:$L$23,0),5)</f>
        <v>1.2500000000000001E-2</v>
      </c>
      <c r="K193" s="213">
        <f>INDEX('MED TO AG'!$L$6:$U$23,MATCH(MAIN!I193,'MED TO AG'!$L$6:$L$23,0),7)</f>
        <v>1.2500000000000001E-2</v>
      </c>
      <c r="L193" s="216">
        <f>INDEX('MED TO AG'!$L$6:$U$23,MATCH(MAIN!I193,'MED TO AG'!$L$6:$L$23,0),9)</f>
        <v>1.2500000000000001E-2</v>
      </c>
    </row>
    <row r="194" spans="1:13" hidden="1" outlineLevel="1" x14ac:dyDescent="0.25">
      <c r="A194" s="155"/>
      <c r="B194" s="255" t="s">
        <v>63</v>
      </c>
      <c r="C194" s="524"/>
      <c r="D194" s="525"/>
      <c r="E194" s="6" t="s">
        <v>63</v>
      </c>
      <c r="F194" s="175">
        <f>INDEX('MED TO AG'!$A$6:$J$23,MATCH(MAIN!E194,'MED TO AG'!$A$6:$A$23,0),5)</f>
        <v>0.10344827586206896</v>
      </c>
      <c r="G194" s="178">
        <f>INDEX('MED TO AG'!$A$6:$J$23,MATCH(MAIN!E194,'MED TO AG'!$A$6:$A$23,0),7)</f>
        <v>0.10344827586206896</v>
      </c>
      <c r="H194" s="176">
        <f>INDEX('MED TO AG'!$A$6:$J$23,MATCH(MAIN!E194,'MED TO AG'!$A$6:$A$23,0),9)</f>
        <v>0.10344827586206896</v>
      </c>
      <c r="I194" s="179" t="s">
        <v>63</v>
      </c>
      <c r="J194" s="213">
        <f>INDEX('MED TO AG'!$L$6:$U$23,MATCH(MAIN!I194,'MED TO AG'!$L$6:$L$23,0),5)</f>
        <v>0.15</v>
      </c>
      <c r="K194" s="213">
        <f>INDEX('MED TO AG'!$L$6:$U$23,MATCH(MAIN!I194,'MED TO AG'!$L$6:$L$23,0),7)</f>
        <v>0.15</v>
      </c>
      <c r="L194" s="216">
        <f>INDEX('MED TO AG'!$L$6:$U$23,MATCH(MAIN!I194,'MED TO AG'!$L$6:$L$23,0),9)</f>
        <v>0.15</v>
      </c>
    </row>
    <row r="195" spans="1:13" hidden="1" outlineLevel="1" x14ac:dyDescent="0.25">
      <c r="A195" s="155"/>
      <c r="B195" s="255" t="s">
        <v>64</v>
      </c>
      <c r="C195" s="524"/>
      <c r="D195" s="525"/>
      <c r="E195" s="6" t="s">
        <v>64</v>
      </c>
      <c r="F195" s="175">
        <f>INDEX('MED TO AG'!$A$6:$J$23,MATCH(MAIN!E195,'MED TO AG'!$A$6:$A$23,0),5)</f>
        <v>6.8965517241379309E-2</v>
      </c>
      <c r="G195" s="178">
        <f>INDEX('MED TO AG'!$A$6:$J$23,MATCH(MAIN!E195,'MED TO AG'!$A$6:$A$23,0),7)</f>
        <v>6.8965517241379309E-2</v>
      </c>
      <c r="H195" s="176">
        <f>INDEX('MED TO AG'!$A$6:$J$23,MATCH(MAIN!E195,'MED TO AG'!$A$6:$A$23,0),9)</f>
        <v>6.8965517241379309E-2</v>
      </c>
      <c r="I195" s="179" t="s">
        <v>64</v>
      </c>
      <c r="J195" s="213">
        <f>INDEX('MED TO AG'!$L$6:$U$23,MATCH(MAIN!I195,'MED TO AG'!$L$6:$L$23,0),5)</f>
        <v>0.1</v>
      </c>
      <c r="K195" s="213">
        <f>INDEX('MED TO AG'!$L$6:$U$23,MATCH(MAIN!I195,'MED TO AG'!$L$6:$L$23,0),7)</f>
        <v>0.1</v>
      </c>
      <c r="L195" s="216">
        <f>INDEX('MED TO AG'!$L$6:$U$23,MATCH(MAIN!I195,'MED TO AG'!$L$6:$L$23,0),9)</f>
        <v>0.1</v>
      </c>
    </row>
    <row r="196" spans="1:13" hidden="1" outlineLevel="1" x14ac:dyDescent="0.25">
      <c r="A196" s="155"/>
      <c r="B196" s="255" t="s">
        <v>100</v>
      </c>
      <c r="C196" s="524"/>
      <c r="D196" s="525"/>
      <c r="E196" s="6" t="s">
        <v>100</v>
      </c>
      <c r="F196" s="175">
        <f ca="1">INDEX('MED TO AG'!$A$6:$J$23,MATCH(MAIN!E196,'MED TO AG'!$A$6:$A$23,0),5)</f>
        <v>40.027922089041098</v>
      </c>
      <c r="G196" s="178">
        <f ca="1">INDEX('MED TO AG'!$A$6:$J$23,MATCH(MAIN!E196,'MED TO AG'!$A$6:$A$23,0),7)</f>
        <v>176.73073544520545</v>
      </c>
      <c r="H196" s="176">
        <f ca="1">INDEX('MED TO AG'!$A$6:$J$23,MATCH(MAIN!E196,'MED TO AG'!$A$6:$A$23,0),9)</f>
        <v>176.73073544520545</v>
      </c>
      <c r="I196" s="179" t="s">
        <v>100</v>
      </c>
      <c r="J196" s="213">
        <f ca="1">INDEX('MED TO AG'!$L$6:$U$23,MATCH(MAIN!I196,'MED TO AG'!$L$6:$L$23,0),5)</f>
        <v>52.062922089041102</v>
      </c>
      <c r="K196" s="213">
        <f ca="1">INDEX('MED TO AG'!$L$6:$U$23,MATCH(MAIN!I196,'MED TO AG'!$L$6:$L$23,0),7)</f>
        <v>188.76573544520545</v>
      </c>
      <c r="L196" s="216">
        <f ca="1">INDEX('MED TO AG'!$L$6:$U$23,MATCH(MAIN!I196,'MED TO AG'!$L$6:$L$23,0),9)</f>
        <v>188.76573544520545</v>
      </c>
    </row>
    <row r="197" spans="1:13" hidden="1" outlineLevel="1" x14ac:dyDescent="0.25">
      <c r="A197" s="155"/>
      <c r="B197" s="255" t="s">
        <v>101</v>
      </c>
      <c r="C197" s="524"/>
      <c r="D197" s="525"/>
      <c r="E197" s="6" t="s">
        <v>101</v>
      </c>
      <c r="F197" s="175">
        <f ca="1">INDEX('MED TO AG'!$A$6:$J$23,MATCH(MAIN!E197,'MED TO AG'!$A$6:$A$23,0),5)</f>
        <v>14.589285714285714</v>
      </c>
      <c r="G197" s="178">
        <f ca="1">INDEX('MED TO AG'!$A$6:$J$23,MATCH(MAIN!E197,'MED TO AG'!$A$6:$A$23,0),7)</f>
        <v>12.5</v>
      </c>
      <c r="H197" s="176">
        <f ca="1">INDEX('MED TO AG'!$A$6:$J$23,MATCH(MAIN!E197,'MED TO AG'!$A$6:$A$23,0),9)</f>
        <v>12.5</v>
      </c>
      <c r="I197" s="179" t="s">
        <v>101</v>
      </c>
      <c r="J197" s="213">
        <f ca="1">INDEX('MED TO AG'!$L$6:$U$23,MATCH(MAIN!I197,'MED TO AG'!$L$6:$L$23,0),5)</f>
        <v>14.589285714285714</v>
      </c>
      <c r="K197" s="213">
        <f ca="1">INDEX('MED TO AG'!$L$6:$U$23,MATCH(MAIN!I197,'MED TO AG'!$L$6:$L$23,0),7)</f>
        <v>12.5</v>
      </c>
      <c r="L197" s="216">
        <f ca="1">INDEX('MED TO AG'!$L$6:$U$23,MATCH(MAIN!I197,'MED TO AG'!$L$6:$L$23,0),9)</f>
        <v>12.5</v>
      </c>
    </row>
    <row r="198" spans="1:13" hidden="1" outlineLevel="1" x14ac:dyDescent="0.25">
      <c r="A198" s="155"/>
      <c r="B198" s="255" t="s">
        <v>113</v>
      </c>
      <c r="C198" s="524"/>
      <c r="D198" s="525"/>
      <c r="E198" s="6" t="s">
        <v>113</v>
      </c>
      <c r="F198" s="175">
        <f ca="1">INDEX('MED TO AG'!$A$6:$J$23,MATCH(MAIN!E198,'MED TO AG'!$A$6:$A$23,0),5)</f>
        <v>-25.438636374755383</v>
      </c>
      <c r="G198" s="178">
        <f ca="1">INDEX('MED TO AG'!$A$6:$J$23,MATCH(MAIN!E198,'MED TO AG'!$A$6:$A$23,0),7)</f>
        <v>-164.23073544520545</v>
      </c>
      <c r="H198" s="176">
        <f ca="1">INDEX('MED TO AG'!$A$6:$J$23,MATCH(MAIN!E198,'MED TO AG'!$A$6:$A$23,0),9)</f>
        <v>-164.23073544520545</v>
      </c>
      <c r="I198" s="179" t="s">
        <v>113</v>
      </c>
      <c r="J198" s="213">
        <f ca="1">INDEX('MED TO AG'!$L$6:$U$23,MATCH(MAIN!I198,'MED TO AG'!$L$6:$L$23,0),5)</f>
        <v>-37.473636374755387</v>
      </c>
      <c r="K198" s="213">
        <f ca="1">INDEX('MED TO AG'!$L$6:$U$23,MATCH(MAIN!I198,'MED TO AG'!$L$6:$L$23,0),7)</f>
        <v>-176.26573544520545</v>
      </c>
      <c r="L198" s="216">
        <f ca="1">INDEX('MED TO AG'!$L$6:$U$23,MATCH(MAIN!I198,'MED TO AG'!$L$6:$L$23,0),9)</f>
        <v>-176.26573544520545</v>
      </c>
    </row>
    <row r="199" spans="1:13" ht="15.75" hidden="1" outlineLevel="1" thickBot="1" x14ac:dyDescent="0.3">
      <c r="A199" s="155"/>
      <c r="B199" s="255" t="s">
        <v>126</v>
      </c>
      <c r="C199" s="539"/>
      <c r="D199" s="541"/>
      <c r="E199" s="105" t="s">
        <v>126</v>
      </c>
      <c r="F199" s="217">
        <f ca="1">F173</f>
        <v>45918</v>
      </c>
      <c r="G199" s="218">
        <f t="shared" ref="G199:L199" ca="1" si="3">G173</f>
        <v>45932</v>
      </c>
      <c r="H199" s="219">
        <f t="shared" ca="1" si="3"/>
        <v>45946</v>
      </c>
      <c r="I199" s="220" t="str">
        <f t="shared" si="3"/>
        <v>Loading Month</v>
      </c>
      <c r="J199" s="221">
        <f t="shared" ca="1" si="3"/>
        <v>45918</v>
      </c>
      <c r="K199" s="221">
        <f t="shared" ca="1" si="3"/>
        <v>45932</v>
      </c>
      <c r="L199" s="222">
        <f t="shared" ca="1" si="3"/>
        <v>45946</v>
      </c>
    </row>
    <row r="200" spans="1:13" hidden="1" outlineLevel="1" x14ac:dyDescent="0.25"/>
    <row r="201" spans="1:13" hidden="1" collapsed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</row>
    <row r="202" spans="1:13" hidden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</row>
    <row r="203" spans="1:13" ht="15.75" hidden="1" thickBot="1" x14ac:dyDescent="0.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</row>
    <row r="204" spans="1:13" ht="15.75" hidden="1" thickBot="1" x14ac:dyDescent="0.3">
      <c r="A204" s="155"/>
      <c r="B204" s="155"/>
      <c r="C204" s="531"/>
      <c r="D204" s="532"/>
      <c r="E204" s="157"/>
      <c r="F204" s="526" t="s">
        <v>129</v>
      </c>
      <c r="G204" s="527"/>
      <c r="H204" s="528"/>
      <c r="I204" s="157"/>
      <c r="J204" s="526" t="s">
        <v>130</v>
      </c>
      <c r="K204" s="527"/>
      <c r="L204" s="528"/>
      <c r="M204" s="155"/>
    </row>
    <row r="205" spans="1:13" ht="15.75" hidden="1" thickBot="1" x14ac:dyDescent="0.3">
      <c r="A205" s="366">
        <v>5.0000000000000001E-3</v>
      </c>
      <c r="B205" s="171"/>
      <c r="C205" s="531"/>
      <c r="D205" s="532">
        <f>D227+D208-D209</f>
        <v>0</v>
      </c>
      <c r="E205" s="10"/>
      <c r="F205" s="367" t="str">
        <f ca="1">IF(DAY(F206)&lt;15,"1H-"&amp;VLOOKUP(MONTH(F206),Mapping!$A$1:$B$12,2,0),"2H-"&amp;VLOOKUP(MONTH(F206),Mapping!$A$1:$B$12,2,0))</f>
        <v>1H-OCT</v>
      </c>
      <c r="G205" s="367" t="str">
        <f ca="1">IF(DAY(G206)&lt;15,"1H-"&amp;VLOOKUP(MONTH(G206),Mapping!$A$1:$B$12,2,0),"2H-"&amp;VLOOKUP(MONTH(G206),Mapping!$A$1:$B$12,2,0))</f>
        <v>2H-OCT</v>
      </c>
      <c r="H205" s="367" t="str">
        <f ca="1">IF(DAY(H206)&lt;15,"1H-"&amp;VLOOKUP(MONTH(H206),Mapping!$A$1:$B$12,2,0),"2H-"&amp;VLOOKUP(MONTH(H206),Mapping!$A$1:$B$12,2,0))</f>
        <v>1H-NOV</v>
      </c>
      <c r="I205" s="165"/>
      <c r="J205" s="367" t="str">
        <f ca="1">IF(DAY(J206)&lt;15,"1H-"&amp;VLOOKUP(MONTH(J206),Mapping!$A$1:$B$12,2,0),"2H-"&amp;VLOOKUP(MONTH(J206),Mapping!$A$1:$B$12,2,0))</f>
        <v>1H-OCT</v>
      </c>
      <c r="K205" s="186" t="str">
        <f ca="1">IF(DAY(K206)&lt;15,"1H-"&amp;VLOOKUP(MONTH(K206),Mapping!$A$1:$B$12,2,0),"2H-"&amp;VLOOKUP(MONTH(K206),Mapping!$A$1:$B$12,2,0))</f>
        <v>2H-OCT</v>
      </c>
      <c r="L205" s="368" t="str">
        <f ca="1">IF(DAY(L206)&lt;15,"1H-"&amp;VLOOKUP(MONTH(L206),Mapping!$A$1:$B$12,2,0),"2H-"&amp;VLOOKUP(MONTH(L206),Mapping!$A$1:$B$12,2,0))</f>
        <v>1H-NOV</v>
      </c>
      <c r="M205" s="155"/>
    </row>
    <row r="206" spans="1:13" ht="15.75" hidden="1" thickBot="1" x14ac:dyDescent="0.3">
      <c r="A206" s="416"/>
      <c r="B206" s="167"/>
      <c r="C206" s="369"/>
      <c r="D206" s="370"/>
      <c r="E206" s="416"/>
      <c r="F206" s="158">
        <f ca="1">F151</f>
        <v>45937</v>
      </c>
      <c r="G206" s="158">
        <f t="shared" ref="G206:H206" ca="1" si="4">G151</f>
        <v>45951</v>
      </c>
      <c r="H206" s="158">
        <f t="shared" ca="1" si="4"/>
        <v>45965</v>
      </c>
      <c r="I206" s="164"/>
      <c r="J206" s="158">
        <f ca="1">F206</f>
        <v>45937</v>
      </c>
      <c r="K206" s="158">
        <f t="shared" ref="K206" ca="1" si="5">G206</f>
        <v>45951</v>
      </c>
      <c r="L206" s="158">
        <f t="shared" ref="L206" ca="1" si="6">H206</f>
        <v>45965</v>
      </c>
      <c r="M206" s="155"/>
    </row>
    <row r="207" spans="1:13" ht="15.75" thickBot="1" x14ac:dyDescent="0.3">
      <c r="A207" s="366" t="s">
        <v>232</v>
      </c>
      <c r="B207" s="167"/>
      <c r="C207" s="369"/>
      <c r="D207" s="370"/>
      <c r="E207" s="366"/>
      <c r="F207" s="159">
        <f ca="1">F227+F208-F209</f>
        <v>-14.19739126516448</v>
      </c>
      <c r="G207" s="160">
        <f ca="1">G227+G208-G209</f>
        <v>-14.378567512718284</v>
      </c>
      <c r="H207" s="161">
        <f ca="1">H227+H208-H209</f>
        <v>-14.021424655575426</v>
      </c>
      <c r="I207" s="165"/>
      <c r="J207" s="160">
        <f ca="1">J227+J208-J209</f>
        <v>-24.924057931831147</v>
      </c>
      <c r="K207" s="160">
        <f ca="1">K227+K208-K209</f>
        <v>-25.105234179384958</v>
      </c>
      <c r="L207" s="161">
        <f ca="1">L227+L208-L209</f>
        <v>-24.7480913222421</v>
      </c>
      <c r="M207" s="155"/>
    </row>
    <row r="208" spans="1:13" x14ac:dyDescent="0.25">
      <c r="A208" s="155"/>
      <c r="B208" s="167" t="s">
        <v>128</v>
      </c>
      <c r="C208" s="522"/>
      <c r="D208" s="523"/>
      <c r="E208" s="177" t="s">
        <v>128</v>
      </c>
      <c r="F208" s="175">
        <f ca="1">INDEX(Premium!$A$2:$D$12,MATCH(MAIN!$A76,Premium!$A$2:$A$12,0),MATCH(EOMONTH(MAIN!F206,-1)+1,Premium!$A$2:$D$2,0))</f>
        <v>-1.75</v>
      </c>
      <c r="G208" s="175">
        <f ca="1">INDEX(Premium!$A$2:$D$12,MATCH(MAIN!$A76,Premium!$A$2:$A$12,0),MATCH(EOMONTH(MAIN!G206,-1)+1,Premium!$A$2:$D$2,0))</f>
        <v>-1.75</v>
      </c>
      <c r="H208" s="175">
        <f ca="1">INDEX(Premium!$A$2:$D$12,MATCH(MAIN!$A76,Premium!$A$2:$A$12,0),MATCH(EOMONTH(MAIN!H206,-1)+1,Premium!$A$2:$D$2,0))</f>
        <v>-1.75</v>
      </c>
      <c r="I208" s="175" t="e">
        <f>INDEX(Premium!$A$2:$D$12,MATCH(MAIN!$A76,Premium!$A$2:$A$12,0),MATCH(EOMONTH(MAIN!I206,-1)+1,Premium!$A$2:$D$2,0))</f>
        <v>#NUM!</v>
      </c>
      <c r="J208" s="175">
        <f ca="1">INDEX(Premium!$A$2:$D$12,MATCH(MAIN!$A76,Premium!$A$2:$A$12,0),MATCH(EOMONTH(MAIN!J206,-1)+1,Premium!$A$2:$D$2,0))</f>
        <v>-1.75</v>
      </c>
      <c r="K208" s="175">
        <f ca="1">INDEX(Premium!$A$2:$D$12,MATCH(MAIN!$A76,Premium!$A$2:$A$12,0),MATCH(EOMONTH(MAIN!K206,-1)+1,Premium!$A$2:$D$2,0))</f>
        <v>-1.75</v>
      </c>
      <c r="L208" s="175">
        <f ca="1">INDEX(Premium!$A$2:$D$12,MATCH(MAIN!$A76,Premium!$A$2:$A$12,0),MATCH(EOMONTH(MAIN!L206,-1)+1,Premium!$A$2:$D$2,0))</f>
        <v>-1.75</v>
      </c>
      <c r="M208" s="155"/>
    </row>
    <row r="209" spans="1:13" ht="15.75" thickBot="1" x14ac:dyDescent="0.3">
      <c r="A209" s="155"/>
      <c r="B209" s="172" t="s">
        <v>127</v>
      </c>
      <c r="C209" s="524"/>
      <c r="D209" s="525"/>
      <c r="E209" s="177" t="s">
        <v>273</v>
      </c>
      <c r="F209" s="180">
        <f ca="1">INDEX(Premium!$A$21:$D$34,MATCH(MAIN!$A207,Premium!$A$21:$A$34,0),MATCH(EOMONTH(MAIN!F228,-1)+1,Premium!$A$21:$D$21,0))</f>
        <v>-2</v>
      </c>
      <c r="G209" s="180">
        <f ca="1">INDEX(Premium!$A$21:$D$34,MATCH(MAIN!$A207,Premium!$A$21:$A$34,0),MATCH(EOMONTH(MAIN!G228,-1)+1,Premium!$A$21:$D$21,0))</f>
        <v>0</v>
      </c>
      <c r="H209" s="180">
        <f ca="1">INDEX(Premium!$A$21:$D$34,MATCH(MAIN!$A207,Premium!$A$21:$A$34,0),MATCH(EOMONTH(MAIN!H228,-1)+1,Premium!$A$21:$D$21,0))</f>
        <v>0</v>
      </c>
      <c r="I209" s="180" t="e">
        <f>INDEX(Premium!$A$21:$D$34,MATCH(MAIN!$A207,Premium!$A$21:$A$34,0),MATCH(EOMONTH(MAIN!I228,-1)+1,Premium!$A$21:$D$21,0))</f>
        <v>#VALUE!</v>
      </c>
      <c r="J209" s="180">
        <f ca="1">INDEX(Premium!$A$21:$D$34,MATCH(MAIN!$A207,Premium!$A$21:$A$34,0),MATCH(EOMONTH(MAIN!J228,-1)+1,Premium!$A$21:$D$21,0))</f>
        <v>-2</v>
      </c>
      <c r="K209" s="180">
        <f ca="1">INDEX(Premium!$A$21:$D$34,MATCH(MAIN!$A207,Premium!$A$21:$A$34,0),MATCH(EOMONTH(MAIN!K228,-1)+1,Premium!$A$21:$D$21,0))</f>
        <v>0</v>
      </c>
      <c r="L209" s="180">
        <f ca="1">INDEX(Premium!$A$21:$D$34,MATCH(MAIN!$A207,Premium!$A$21:$A$34,0),MATCH(EOMONTH(MAIN!L228,-1)+1,Premium!$A$21:$D$21,0))</f>
        <v>0</v>
      </c>
      <c r="M209" s="155"/>
    </row>
    <row r="210" spans="1:13" hidden="1" outlineLevel="1" x14ac:dyDescent="0.25">
      <c r="A210" s="155"/>
      <c r="B210" s="155" t="s">
        <v>53</v>
      </c>
      <c r="C210" s="522"/>
      <c r="D210" s="523"/>
      <c r="E210" s="6" t="s">
        <v>53</v>
      </c>
      <c r="F210" s="234">
        <f>INDEX('MED TO SING'!$A$6:$J$23,MATCH(MAIN!E210,'MED TO SING'!$A$6:$A$23,0),6)</f>
        <v>32</v>
      </c>
      <c r="G210" s="241">
        <f>INDEX('MED TO SING'!$A$6:$J$23,MATCH(MAIN!E210,'MED TO SING'!$A$6:$A$23,0),8)</f>
        <v>32</v>
      </c>
      <c r="H210" s="242">
        <f>INDEX('MED TO SING'!$A$6:$J$23,MATCH(MAIN!E210,'MED TO SING'!$A$6:$A$23,0),10)</f>
        <v>32</v>
      </c>
      <c r="I210" s="250" t="s">
        <v>53</v>
      </c>
      <c r="J210" s="234">
        <f>INDEX('MED TO SING'!$L$6:$U$23,MATCH(MAIN!I210,'MED TO SING'!$L$6:$L$23,0),6)</f>
        <v>43</v>
      </c>
      <c r="K210" s="241">
        <f>INDEX('MED TO SING'!$L$6:$U$23,MATCH(MAIN!I210,'MED TO SING'!$L$6:$L$23,0),8)</f>
        <v>43</v>
      </c>
      <c r="L210" s="242">
        <f>INDEX('MED TO SING'!$L$6:$U$23,MATCH(MAIN!I210,'MED TO SING'!$L$6:$L$23,0),10)</f>
        <v>43</v>
      </c>
      <c r="M210" s="155"/>
    </row>
    <row r="211" spans="1:13" hidden="1" outlineLevel="1" x14ac:dyDescent="0.25">
      <c r="A211" s="155"/>
      <c r="B211" s="155" t="s">
        <v>54</v>
      </c>
      <c r="C211" s="524"/>
      <c r="D211" s="525"/>
      <c r="E211" t="s">
        <v>54</v>
      </c>
      <c r="F211" s="175">
        <f>INDEX('MED TO SING'!$A$6:$J$23,MATCH(MAIN!E211,'MED TO SING'!$A$6:$A$23,0),6)</f>
        <v>0</v>
      </c>
      <c r="G211" s="178">
        <f>INDEX('MED TO SING'!$A$6:$J$23,MATCH(MAIN!E211,'MED TO SING'!$A$6:$A$23,0),8)</f>
        <v>0</v>
      </c>
      <c r="H211" s="176">
        <f>INDEX('MED TO SING'!$A$6:$J$23,MATCH(MAIN!E211,'MED TO SING'!$A$6:$A$23,0),10)</f>
        <v>0</v>
      </c>
      <c r="I211" s="179" t="s">
        <v>54</v>
      </c>
      <c r="J211" s="175">
        <f>INDEX('MED TO SING'!$L$6:$U$23,MATCH(MAIN!I211,'MED TO SING'!$L$6:$L$23,0),6)</f>
        <v>0</v>
      </c>
      <c r="K211" s="178">
        <f>INDEX('MED TO SING'!$L$6:$U$23,MATCH(MAIN!I211,'MED TO SING'!$L$6:$L$23,0),8)</f>
        <v>0</v>
      </c>
      <c r="L211" s="176">
        <f>INDEX('MED TO SING'!$L$6:$U$23,MATCH(MAIN!I211,'MED TO SING'!$L$6:$L$23,0),10)</f>
        <v>0</v>
      </c>
      <c r="M211" s="155"/>
    </row>
    <row r="212" spans="1:13" hidden="1" outlineLevel="1" x14ac:dyDescent="0.25">
      <c r="A212" s="155"/>
      <c r="B212" s="155" t="s">
        <v>55</v>
      </c>
      <c r="C212" s="524"/>
      <c r="D212" s="525"/>
      <c r="E212" t="s">
        <v>55</v>
      </c>
      <c r="F212" s="175">
        <f>INDEX('MED TO SING'!$A$6:$J$23,MATCH(MAIN!E212,'MED TO SING'!$A$6:$A$23,0),6)</f>
        <v>2.6833333333333331</v>
      </c>
      <c r="G212" s="178">
        <f>INDEX('MED TO SING'!$A$6:$J$23,MATCH(MAIN!E212,'MED TO SING'!$A$6:$A$23,0),8)</f>
        <v>2.6833333333333331</v>
      </c>
      <c r="H212" s="176">
        <f>INDEX('MED TO SING'!$A$6:$J$23,MATCH(MAIN!E212,'MED TO SING'!$A$6:$A$23,0),10)</f>
        <v>2.6833333333333331</v>
      </c>
      <c r="I212" s="179" t="s">
        <v>55</v>
      </c>
      <c r="J212" s="175">
        <f>INDEX('MED TO SING'!$L$6:$U$23,MATCH(MAIN!I212,'MED TO SING'!$L$6:$L$23,0),6)</f>
        <v>2.125</v>
      </c>
      <c r="K212" s="178">
        <f>INDEX('MED TO SING'!$L$6:$U$23,MATCH(MAIN!I212,'MED TO SING'!$L$6:$L$23,0),8)</f>
        <v>2.125</v>
      </c>
      <c r="L212" s="176">
        <f>INDEX('MED TO SING'!$L$6:$U$23,MATCH(MAIN!I212,'MED TO SING'!$L$6:$L$23,0),10)</f>
        <v>2.125</v>
      </c>
      <c r="M212" s="155"/>
    </row>
    <row r="213" spans="1:13" hidden="1" outlineLevel="1" x14ac:dyDescent="0.25">
      <c r="A213" s="155"/>
      <c r="B213" s="155" t="s">
        <v>56</v>
      </c>
      <c r="C213" s="524"/>
      <c r="D213" s="525"/>
      <c r="E213" t="s">
        <v>56</v>
      </c>
      <c r="F213" s="175">
        <f>INDEX('MED TO SING'!$A$6:$J$23,MATCH(MAIN!E213,'MED TO SING'!$A$6:$A$23,0),6)</f>
        <v>0.1</v>
      </c>
      <c r="G213" s="178">
        <f>INDEX('MED TO SING'!$A$6:$J$23,MATCH(MAIN!E213,'MED TO SING'!$A$6:$A$23,0),8)</f>
        <v>0.1</v>
      </c>
      <c r="H213" s="176">
        <f>INDEX('MED TO SING'!$A$6:$J$23,MATCH(MAIN!E213,'MED TO SING'!$A$6:$A$23,0),10)</f>
        <v>0.1</v>
      </c>
      <c r="I213" s="179" t="s">
        <v>56</v>
      </c>
      <c r="J213" s="175">
        <f>INDEX('MED TO SING'!$L$6:$U$23,MATCH(MAIN!I213,'MED TO SING'!$L$6:$L$23,0),6)</f>
        <v>8.5000000000000006E-2</v>
      </c>
      <c r="K213" s="178">
        <f>INDEX('MED TO SING'!$L$6:$U$23,MATCH(MAIN!I213,'MED TO SING'!$L$6:$L$23,0),8)</f>
        <v>8.5000000000000006E-2</v>
      </c>
      <c r="L213" s="176">
        <f>INDEX('MED TO SING'!$L$6:$U$23,MATCH(MAIN!I213,'MED TO SING'!$L$6:$L$23,0),10)</f>
        <v>8.5000000000000006E-2</v>
      </c>
      <c r="M213" s="155"/>
    </row>
    <row r="214" spans="1:13" hidden="1" outlineLevel="1" x14ac:dyDescent="0.25">
      <c r="A214" s="155"/>
      <c r="B214" s="155" t="s">
        <v>124</v>
      </c>
      <c r="C214" s="524"/>
      <c r="D214" s="525"/>
      <c r="E214" t="s">
        <v>124</v>
      </c>
      <c r="F214" s="175">
        <f>INDEX('MED TO SING'!$A$6:$J$23,MATCH(MAIN!E214,'MED TO SING'!$A$6:$A$23,0),6)</f>
        <v>0.16666666666666666</v>
      </c>
      <c r="G214" s="178">
        <f>INDEX('MED TO SING'!$A$6:$J$23,MATCH(MAIN!E214,'MED TO SING'!$A$6:$A$23,0),8)</f>
        <v>0.16666666666666666</v>
      </c>
      <c r="H214" s="176">
        <f>INDEX('MED TO SING'!$A$6:$J$23,MATCH(MAIN!E214,'MED TO SING'!$A$6:$A$23,0),10)</f>
        <v>0.16666666666666666</v>
      </c>
      <c r="I214" s="179" t="s">
        <v>124</v>
      </c>
      <c r="J214" s="175">
        <f>INDEX('MED TO SING'!$L$6:$U$23,MATCH(MAIN!I214,'MED TO SING'!$L$6:$L$23,0),6)</f>
        <v>0.25</v>
      </c>
      <c r="K214" s="178">
        <f>INDEX('MED TO SING'!$L$6:$U$23,MATCH(MAIN!I214,'MED TO SING'!$L$6:$L$23,0),8)</f>
        <v>0.25</v>
      </c>
      <c r="L214" s="176">
        <f>INDEX('MED TO SING'!$L$6:$U$23,MATCH(MAIN!I214,'MED TO SING'!$L$6:$L$23,0),10)</f>
        <v>0.25</v>
      </c>
    </row>
    <row r="215" spans="1:13" hidden="1" outlineLevel="1" x14ac:dyDescent="0.25">
      <c r="A215" s="155"/>
      <c r="B215" s="155" t="s">
        <v>125</v>
      </c>
      <c r="C215" s="524"/>
      <c r="D215" s="525"/>
      <c r="E215" t="s">
        <v>125</v>
      </c>
      <c r="F215" s="175">
        <f>INDEX('MED TO SING'!$A$6:$J$23,MATCH(MAIN!E215,'MED TO SING'!$A$6:$A$23,0),6)</f>
        <v>0.16666666666666666</v>
      </c>
      <c r="G215" s="178">
        <f>INDEX('MED TO SING'!$A$6:$J$23,MATCH(MAIN!E215,'MED TO SING'!$A$6:$A$23,0),8)</f>
        <v>0.16666666666666666</v>
      </c>
      <c r="H215" s="176">
        <f>INDEX('MED TO SING'!$A$6:$J$23,MATCH(MAIN!E215,'MED TO SING'!$A$6:$A$23,0),10)</f>
        <v>0.16666666666666666</v>
      </c>
      <c r="I215" s="179" t="s">
        <v>125</v>
      </c>
      <c r="J215" s="175">
        <f>INDEX('MED TO SING'!$L$6:$U$23,MATCH(MAIN!I215,'MED TO SING'!$L$6:$L$23,0),6)</f>
        <v>0.25</v>
      </c>
      <c r="K215" s="178">
        <f>INDEX('MED TO SING'!$L$6:$U$23,MATCH(MAIN!I215,'MED TO SING'!$L$6:$L$23,0),8)</f>
        <v>0.25</v>
      </c>
      <c r="L215" s="176">
        <f>INDEX('MED TO SING'!$L$6:$U$23,MATCH(MAIN!I215,'MED TO SING'!$L$6:$L$23,0),10)</f>
        <v>0.25</v>
      </c>
    </row>
    <row r="216" spans="1:13" hidden="1" outlineLevel="1" x14ac:dyDescent="0.25">
      <c r="A216" s="155"/>
      <c r="B216" s="155" t="s">
        <v>81</v>
      </c>
      <c r="C216" s="524"/>
      <c r="D216" s="525"/>
      <c r="E216" t="s">
        <v>81</v>
      </c>
      <c r="F216" s="175">
        <f ca="1">INDEX('MED TO SING'!$A$6:$J$23,MATCH(MAIN!E216,'MED TO SING'!$A$6:$A$23,0),6)</f>
        <v>4.005431998213222</v>
      </c>
      <c r="G216" s="178">
        <f ca="1">INDEX('MED TO SING'!$A$6:$J$23,MATCH(MAIN!E216,'MED TO SING'!$A$6:$A$23,0),8)</f>
        <v>3.9715278886241805</v>
      </c>
      <c r="H216" s="176">
        <f ca="1">INDEX('MED TO SING'!$A$6:$J$23,MATCH(MAIN!E216,'MED TO SING'!$A$6:$A$23,0),10)</f>
        <v>3.9715278886241805</v>
      </c>
      <c r="I216" s="179" t="s">
        <v>81</v>
      </c>
      <c r="J216" s="175">
        <f ca="1">INDEX('MED TO SING'!$L$6:$U$23,MATCH(MAIN!I216,'MED TO SING'!$L$6:$L$23,0),6)</f>
        <v>4.005431998213222</v>
      </c>
      <c r="K216" s="178">
        <f ca="1">INDEX('MED TO SING'!$L$6:$U$23,MATCH(MAIN!I216,'MED TO SING'!$L$6:$L$23,0),8)</f>
        <v>3.9715278886241805</v>
      </c>
      <c r="L216" s="176">
        <f ca="1">INDEX('MED TO SING'!$L$6:$U$23,MATCH(MAIN!I216,'MED TO SING'!$L$6:$L$23,0),10)</f>
        <v>3.9715278886241805</v>
      </c>
    </row>
    <row r="217" spans="1:13" hidden="1" outlineLevel="1" x14ac:dyDescent="0.25">
      <c r="A217" s="155"/>
      <c r="B217" s="155" t="s">
        <v>57</v>
      </c>
      <c r="C217" s="524"/>
      <c r="D217" s="525"/>
      <c r="E217" t="s">
        <v>57</v>
      </c>
      <c r="F217" s="175">
        <f>INDEX('MED TO SING'!$A$6:$J$23,MATCH(MAIN!E217,'MED TO SING'!$A$6:$A$23,0),6)</f>
        <v>0</v>
      </c>
      <c r="G217" s="178">
        <f>INDEX('MED TO SING'!$A$6:$J$23,MATCH(MAIN!E217,'MED TO SING'!$A$6:$A$23,0),8)</f>
        <v>0</v>
      </c>
      <c r="H217" s="176">
        <f>INDEX('MED TO SING'!$A$6:$J$23,MATCH(MAIN!E217,'MED TO SING'!$A$6:$A$23,0),10)</f>
        <v>0</v>
      </c>
      <c r="I217" s="179" t="s">
        <v>57</v>
      </c>
      <c r="J217" s="175">
        <f>INDEX('MED TO SING'!$L$6:$U$23,MATCH(MAIN!I217,'MED TO SING'!$L$6:$L$23,0),6)</f>
        <v>0</v>
      </c>
      <c r="K217" s="178">
        <f>INDEX('MED TO SING'!$L$6:$U$23,MATCH(MAIN!I217,'MED TO SING'!$L$6:$L$23,0),8)</f>
        <v>0</v>
      </c>
      <c r="L217" s="176">
        <f>INDEX('MED TO SING'!$L$6:$U$23,MATCH(MAIN!I217,'MED TO SING'!$L$6:$L$23,0),10)</f>
        <v>0</v>
      </c>
    </row>
    <row r="218" spans="1:13" hidden="1" outlineLevel="1" x14ac:dyDescent="0.25">
      <c r="A218" s="155"/>
      <c r="B218" s="155" t="s">
        <v>58</v>
      </c>
      <c r="C218" s="524"/>
      <c r="D218" s="525"/>
      <c r="E218" t="s">
        <v>58</v>
      </c>
      <c r="F218" s="175">
        <f ca="1">INDEX('MED TO SING'!$A$6:$J$23,MATCH(MAIN!E218,'MED TO SING'!$A$6:$A$23,0),6)</f>
        <v>0.33226879076086951</v>
      </c>
      <c r="G218" s="178">
        <f ca="1">INDEX('MED TO SING'!$A$6:$J$23,MATCH(MAIN!E218,'MED TO SING'!$A$6:$A$23,0),8)</f>
        <v>0.32945629076086952</v>
      </c>
      <c r="H218" s="176">
        <f ca="1">INDEX('MED TO SING'!$A$6:$J$23,MATCH(MAIN!E218,'MED TO SING'!$A$6:$A$23,0),10)</f>
        <v>0.32945629076086952</v>
      </c>
      <c r="I218" s="179" t="s">
        <v>58</v>
      </c>
      <c r="J218" s="175">
        <f ca="1">INDEX('MED TO SING'!$L$6:$U$23,MATCH(MAIN!I218,'MED TO SING'!$L$6:$L$23,0),6)</f>
        <v>0.33226879076086951</v>
      </c>
      <c r="K218" s="178">
        <f ca="1">INDEX('MED TO SING'!$L$6:$U$23,MATCH(MAIN!I218,'MED TO SING'!$L$6:$L$23,0),8)</f>
        <v>0.32945629076086952</v>
      </c>
      <c r="L218" s="176">
        <f ca="1">INDEX('MED TO SING'!$L$6:$U$23,MATCH(MAIN!I218,'MED TO SING'!$L$6:$L$23,0),10)</f>
        <v>0.32945629076086952</v>
      </c>
    </row>
    <row r="219" spans="1:13" hidden="1" outlineLevel="1" x14ac:dyDescent="0.25">
      <c r="A219" s="155"/>
      <c r="B219" s="155" t="s">
        <v>59</v>
      </c>
      <c r="C219" s="524"/>
      <c r="D219" s="525"/>
      <c r="E219" t="s">
        <v>59</v>
      </c>
      <c r="F219" s="175">
        <f ca="1">INDEX('MED TO SING'!$A$6:$J$23,MATCH(MAIN!E219,'MED TO SING'!$A$6:$A$23,0),6)</f>
        <v>1.1685000000000001</v>
      </c>
      <c r="G219" s="178">
        <f ca="1">INDEX('MED TO SING'!$A$6:$J$23,MATCH(MAIN!E219,'MED TO SING'!$A$6:$A$23,0),8)</f>
        <v>1.15425</v>
      </c>
      <c r="H219" s="176">
        <f ca="1">INDEX('MED TO SING'!$A$6:$J$23,MATCH(MAIN!E219,'MED TO SING'!$A$6:$A$23,0),10)</f>
        <v>1.15425</v>
      </c>
      <c r="I219" s="179" t="s">
        <v>59</v>
      </c>
      <c r="J219" s="175">
        <f ca="1">INDEX('MED TO SING'!$L$6:$U$23,MATCH(MAIN!I219,'MED TO SING'!$L$6:$L$23,0),6)</f>
        <v>1.1685000000000001</v>
      </c>
      <c r="K219" s="178">
        <f ca="1">INDEX('MED TO SING'!$L$6:$U$23,MATCH(MAIN!I219,'MED TO SING'!$L$6:$L$23,0),8)</f>
        <v>1.15425</v>
      </c>
      <c r="L219" s="176">
        <f ca="1">INDEX('MED TO SING'!$L$6:$U$23,MATCH(MAIN!I219,'MED TO SING'!$L$6:$L$23,0),10)</f>
        <v>1.15425</v>
      </c>
    </row>
    <row r="220" spans="1:13" hidden="1" outlineLevel="1" x14ac:dyDescent="0.25">
      <c r="A220" s="155"/>
      <c r="B220" s="155" t="s">
        <v>60</v>
      </c>
      <c r="C220" s="524"/>
      <c r="D220" s="525"/>
      <c r="E220" t="s">
        <v>60</v>
      </c>
      <c r="F220" s="175">
        <f>INDEX('MED TO SING'!$A$6:$J$23,MATCH(MAIN!E220,'MED TO SING'!$A$6:$A$23,0),6)</f>
        <v>8.3333333333333329E-2</v>
      </c>
      <c r="G220" s="178">
        <f>INDEX('MED TO SING'!$A$6:$J$23,MATCH(MAIN!E220,'MED TO SING'!$A$6:$A$23,0),8)</f>
        <v>8.3333333333333329E-2</v>
      </c>
      <c r="H220" s="176">
        <f>INDEX('MED TO SING'!$A$6:$J$23,MATCH(MAIN!E220,'MED TO SING'!$A$6:$A$23,0),10)</f>
        <v>8.3333333333333329E-2</v>
      </c>
      <c r="I220" s="179" t="s">
        <v>60</v>
      </c>
      <c r="J220" s="175">
        <f>INDEX('MED TO SING'!$L$6:$U$23,MATCH(MAIN!I220,'MED TO SING'!$L$6:$L$23,0),6)</f>
        <v>0.125</v>
      </c>
      <c r="K220" s="178">
        <f>INDEX('MED TO SING'!$L$6:$U$23,MATCH(MAIN!I220,'MED TO SING'!$L$6:$L$23,0),8)</f>
        <v>0.125</v>
      </c>
      <c r="L220" s="176">
        <f>INDEX('MED TO SING'!$L$6:$U$23,MATCH(MAIN!I220,'MED TO SING'!$L$6:$L$23,0),10)</f>
        <v>0.125</v>
      </c>
    </row>
    <row r="221" spans="1:13" hidden="1" outlineLevel="1" x14ac:dyDescent="0.25">
      <c r="A221" s="155"/>
      <c r="B221" s="155" t="s">
        <v>61</v>
      </c>
      <c r="C221" s="524"/>
      <c r="D221" s="525"/>
      <c r="E221" t="s">
        <v>61</v>
      </c>
      <c r="F221" s="175">
        <f>INDEX('MED TO SING'!$A$6:$J$23,MATCH(MAIN!E221,'MED TO SING'!$A$6:$A$23,0),6)</f>
        <v>8.3333333333333332E-3</v>
      </c>
      <c r="G221" s="178">
        <f>INDEX('MED TO SING'!$A$6:$J$23,MATCH(MAIN!E221,'MED TO SING'!$A$6:$A$23,0),8)</f>
        <v>8.3333333333333332E-3</v>
      </c>
      <c r="H221" s="176">
        <f>INDEX('MED TO SING'!$A$6:$J$23,MATCH(MAIN!E221,'MED TO SING'!$A$6:$A$23,0),10)</f>
        <v>8.3333333333333332E-3</v>
      </c>
      <c r="I221" s="179" t="s">
        <v>61</v>
      </c>
      <c r="J221" s="175">
        <f>INDEX('MED TO SING'!$L$6:$U$23,MATCH(MAIN!I221,'MED TO SING'!$L$6:$L$23,0),6)</f>
        <v>1.2500000000000001E-2</v>
      </c>
      <c r="K221" s="178">
        <f>INDEX('MED TO SING'!$L$6:$U$23,MATCH(MAIN!I221,'MED TO SING'!$L$6:$L$23,0),8)</f>
        <v>1.2500000000000001E-2</v>
      </c>
      <c r="L221" s="176">
        <f>INDEX('MED TO SING'!$L$6:$U$23,MATCH(MAIN!I221,'MED TO SING'!$L$6:$L$23,0),10)</f>
        <v>1.2500000000000001E-2</v>
      </c>
    </row>
    <row r="222" spans="1:13" hidden="1" outlineLevel="1" x14ac:dyDescent="0.25">
      <c r="A222" s="155"/>
      <c r="B222" s="155" t="s">
        <v>62</v>
      </c>
      <c r="C222" s="524"/>
      <c r="D222" s="525"/>
      <c r="E222" t="s">
        <v>62</v>
      </c>
      <c r="F222" s="175">
        <f>INDEX('MED TO SING'!$A$6:$J$23,MATCH(MAIN!E222,'MED TO SING'!$A$6:$A$23,0),6)</f>
        <v>8.3333333333333332E-3</v>
      </c>
      <c r="G222" s="178">
        <f>INDEX('MED TO SING'!$A$6:$J$23,MATCH(MAIN!E222,'MED TO SING'!$A$6:$A$23,0),8)</f>
        <v>8.3333333333333332E-3</v>
      </c>
      <c r="H222" s="176">
        <f>INDEX('MED TO SING'!$A$6:$J$23,MATCH(MAIN!E222,'MED TO SING'!$A$6:$A$23,0),10)</f>
        <v>8.3333333333333332E-3</v>
      </c>
      <c r="I222" s="179" t="s">
        <v>62</v>
      </c>
      <c r="J222" s="175">
        <f>INDEX('MED TO SING'!$L$6:$U$23,MATCH(MAIN!I222,'MED TO SING'!$L$6:$L$23,0),6)</f>
        <v>1.2500000000000001E-2</v>
      </c>
      <c r="K222" s="178">
        <f>INDEX('MED TO SING'!$L$6:$U$23,MATCH(MAIN!I222,'MED TO SING'!$L$6:$L$23,0),8)</f>
        <v>1.2500000000000001E-2</v>
      </c>
      <c r="L222" s="176">
        <f>INDEX('MED TO SING'!$L$6:$U$23,MATCH(MAIN!I222,'MED TO SING'!$L$6:$L$23,0),10)</f>
        <v>1.2500000000000001E-2</v>
      </c>
    </row>
    <row r="223" spans="1:13" hidden="1" outlineLevel="1" x14ac:dyDescent="0.25">
      <c r="A223" s="155"/>
      <c r="B223" s="155" t="s">
        <v>63</v>
      </c>
      <c r="C223" s="524"/>
      <c r="D223" s="525"/>
      <c r="E223" t="s">
        <v>63</v>
      </c>
      <c r="F223" s="175">
        <f>INDEX('MED TO SING'!$A$6:$J$23,MATCH(MAIN!E223,'MED TO SING'!$A$6:$A$23,0),6)</f>
        <v>0.1</v>
      </c>
      <c r="G223" s="178">
        <f>INDEX('MED TO SING'!$A$6:$J$23,MATCH(MAIN!E223,'MED TO SING'!$A$6:$A$23,0),8)</f>
        <v>0.1</v>
      </c>
      <c r="H223" s="176">
        <f>INDEX('MED TO SING'!$A$6:$J$23,MATCH(MAIN!E223,'MED TO SING'!$A$6:$A$23,0),10)</f>
        <v>0.1</v>
      </c>
      <c r="I223" s="179" t="s">
        <v>63</v>
      </c>
      <c r="J223" s="175">
        <f>INDEX('MED TO SING'!$L$6:$U$23,MATCH(MAIN!I223,'MED TO SING'!$L$6:$L$23,0),6)</f>
        <v>0.15</v>
      </c>
      <c r="K223" s="178">
        <f>INDEX('MED TO SING'!$L$6:$U$23,MATCH(MAIN!I223,'MED TO SING'!$L$6:$L$23,0),8)</f>
        <v>0.15</v>
      </c>
      <c r="L223" s="176">
        <f>INDEX('MED TO SING'!$L$6:$U$23,MATCH(MAIN!I223,'MED TO SING'!$L$6:$L$23,0),10)</f>
        <v>0.15</v>
      </c>
    </row>
    <row r="224" spans="1:13" hidden="1" outlineLevel="1" x14ac:dyDescent="0.25">
      <c r="A224" s="155"/>
      <c r="B224" s="155" t="s">
        <v>64</v>
      </c>
      <c r="C224" s="524"/>
      <c r="D224" s="525"/>
      <c r="E224" t="s">
        <v>64</v>
      </c>
      <c r="F224" s="175">
        <f>INDEX('MED TO SING'!$A$6:$J$23,MATCH(MAIN!E224,'MED TO SING'!$A$6:$A$23,0),6)</f>
        <v>6.6666666666666666E-2</v>
      </c>
      <c r="G224" s="178">
        <f>INDEX('MED TO SING'!$A$6:$J$23,MATCH(MAIN!E224,'MED TO SING'!$A$6:$A$23,0),8)</f>
        <v>6.6666666666666666E-2</v>
      </c>
      <c r="H224" s="176">
        <f>INDEX('MED TO SING'!$A$6:$J$23,MATCH(MAIN!E224,'MED TO SING'!$A$6:$A$23,0),10)</f>
        <v>6.6666666666666666E-2</v>
      </c>
      <c r="I224" s="179" t="s">
        <v>64</v>
      </c>
      <c r="J224" s="175">
        <f>INDEX('MED TO SING'!$L$6:$U$23,MATCH(MAIN!I224,'MED TO SING'!$L$6:$L$23,0),6)</f>
        <v>0.1</v>
      </c>
      <c r="K224" s="178">
        <f>INDEX('MED TO SING'!$L$6:$U$23,MATCH(MAIN!I224,'MED TO SING'!$L$6:$L$23,0),8)</f>
        <v>0.1</v>
      </c>
      <c r="L224" s="176">
        <f>INDEX('MED TO SING'!$L$6:$U$23,MATCH(MAIN!I224,'MED TO SING'!$L$6:$L$23,0),10)</f>
        <v>0.1</v>
      </c>
    </row>
    <row r="225" spans="1:13" hidden="1" outlineLevel="1" x14ac:dyDescent="0.25">
      <c r="A225" s="155"/>
      <c r="B225" s="155" t="s">
        <v>100</v>
      </c>
      <c r="C225" s="524"/>
      <c r="D225" s="525"/>
      <c r="E225" t="s">
        <v>100</v>
      </c>
      <c r="F225" s="175">
        <f ca="1">INDEX('MED TO SING'!$A$6:$J$23,MATCH(MAIN!E225,'MED TO SING'!$A$6:$A$23,0),6)</f>
        <v>40.889534122307431</v>
      </c>
      <c r="G225" s="178">
        <f ca="1">INDEX('MED TO SING'!$A$6:$J$23,MATCH(MAIN!E225,'MED TO SING'!$A$6:$A$23,0),8)</f>
        <v>40.838567512718377</v>
      </c>
      <c r="H225" s="176">
        <f ca="1">INDEX('MED TO SING'!$A$6:$J$23,MATCH(MAIN!E225,'MED TO SING'!$A$6:$A$23,0),10)</f>
        <v>40.838567512718377</v>
      </c>
      <c r="I225" s="179" t="s">
        <v>100</v>
      </c>
      <c r="J225" s="175">
        <f ca="1">INDEX('MED TO SING'!$L$6:$U$23,MATCH(MAIN!I225,'MED TO SING'!$L$6:$L$23,0),6)</f>
        <v>51.616200788974098</v>
      </c>
      <c r="K225" s="178">
        <f ca="1">INDEX('MED TO SING'!$L$6:$U$23,MATCH(MAIN!I225,'MED TO SING'!$L$6:$L$23,0),8)</f>
        <v>51.565234179385051</v>
      </c>
      <c r="L225" s="176">
        <f ca="1">INDEX('MED TO SING'!$L$6:$U$23,MATCH(MAIN!I225,'MED TO SING'!$L$6:$L$23,0),10)</f>
        <v>51.565234179385051</v>
      </c>
    </row>
    <row r="226" spans="1:13" hidden="1" outlineLevel="1" x14ac:dyDescent="0.25">
      <c r="A226" s="155"/>
      <c r="B226" s="155" t="s">
        <v>101</v>
      </c>
      <c r="C226" s="524"/>
      <c r="D226" s="525"/>
      <c r="E226" t="s">
        <v>101</v>
      </c>
      <c r="F226" s="175">
        <f ca="1">INDEX('MED TO SING'!$A$6:$J$23,MATCH(MAIN!E226,'MED TO SING'!$A$6:$A$23,0),6)</f>
        <v>26.442142857142951</v>
      </c>
      <c r="G226" s="178">
        <f ca="1">INDEX('MED TO SING'!$A$6:$J$23,MATCH(MAIN!E226,'MED TO SING'!$A$6:$A$23,0),8)</f>
        <v>28.210000000000093</v>
      </c>
      <c r="H226" s="176">
        <f ca="1">INDEX('MED TO SING'!$A$6:$J$23,MATCH(MAIN!E226,'MED TO SING'!$A$6:$A$23,0),10)</f>
        <v>28.567142857142951</v>
      </c>
      <c r="I226" s="179" t="s">
        <v>101</v>
      </c>
      <c r="J226" s="175">
        <f ca="1">INDEX('MED TO SING'!$L$6:$U$23,MATCH(MAIN!I226,'MED TO SING'!$L$6:$L$23,0),6)</f>
        <v>26.442142857142951</v>
      </c>
      <c r="K226" s="178">
        <f ca="1">INDEX('MED TO SING'!$L$6:$U$23,MATCH(MAIN!I226,'MED TO SING'!$L$6:$L$23,0),8)</f>
        <v>28.210000000000093</v>
      </c>
      <c r="L226" s="176">
        <f ca="1">INDEX('MED TO SING'!$L$6:$U$23,MATCH(MAIN!I226,'MED TO SING'!$L$6:$L$23,0),10)</f>
        <v>28.567142857142951</v>
      </c>
    </row>
    <row r="227" spans="1:13" hidden="1" outlineLevel="1" x14ac:dyDescent="0.25">
      <c r="A227" s="155"/>
      <c r="B227" s="155" t="s">
        <v>113</v>
      </c>
      <c r="C227" s="524"/>
      <c r="D227" s="525"/>
      <c r="E227" t="s">
        <v>113</v>
      </c>
      <c r="F227" s="175">
        <f ca="1">INDEX('MED TO SING'!$A$6:$J$23,MATCH(MAIN!E227,'MED TO SING'!$A$6:$A$23,0),6)</f>
        <v>-14.44739126516448</v>
      </c>
      <c r="G227" s="178">
        <f ca="1">INDEX('MED TO SING'!$A$6:$J$23,MATCH(MAIN!E227,'MED TO SING'!$A$6:$A$23,0),8)</f>
        <v>-12.628567512718284</v>
      </c>
      <c r="H227" s="176">
        <f ca="1">INDEX('MED TO SING'!$A$6:$J$23,MATCH(MAIN!E227,'MED TO SING'!$A$6:$A$23,0),10)</f>
        <v>-12.271424655575426</v>
      </c>
      <c r="I227" s="179" t="s">
        <v>113</v>
      </c>
      <c r="J227" s="175">
        <f ca="1">INDEX('MED TO SING'!$L$6:$U$23,MATCH(MAIN!I227,'MED TO SING'!$L$6:$L$23,0),6)</f>
        <v>-25.174057931831147</v>
      </c>
      <c r="K227" s="178">
        <f ca="1">INDEX('MED TO SING'!$L$6:$U$23,MATCH(MAIN!I227,'MED TO SING'!$L$6:$L$23,0),8)</f>
        <v>-23.355234179384958</v>
      </c>
      <c r="L227" s="176">
        <f ca="1">INDEX('MED TO SING'!$L$6:$U$23,MATCH(MAIN!I227,'MED TO SING'!$L$6:$L$23,0),10)</f>
        <v>-22.9980913222421</v>
      </c>
    </row>
    <row r="228" spans="1:13" hidden="1" outlineLevel="1" x14ac:dyDescent="0.25">
      <c r="A228" s="155"/>
      <c r="B228" s="155" t="s">
        <v>126</v>
      </c>
      <c r="C228" s="524"/>
      <c r="D228" s="525"/>
      <c r="E228" t="s">
        <v>126</v>
      </c>
      <c r="F228" s="147">
        <f ca="1">F173</f>
        <v>45918</v>
      </c>
      <c r="G228" s="147">
        <f t="shared" ref="G228:L228" ca="1" si="7">G173</f>
        <v>45932</v>
      </c>
      <c r="H228" s="147">
        <f t="shared" ca="1" si="7"/>
        <v>45946</v>
      </c>
      <c r="I228" s="147" t="str">
        <f t="shared" si="7"/>
        <v>Loading Month</v>
      </c>
      <c r="J228" s="147">
        <f ca="1">J173</f>
        <v>45918</v>
      </c>
      <c r="K228" s="147">
        <f t="shared" ca="1" si="7"/>
        <v>45932</v>
      </c>
      <c r="L228" s="147">
        <f t="shared" ca="1" si="7"/>
        <v>45946</v>
      </c>
    </row>
    <row r="229" spans="1:13" collapsed="1" x14ac:dyDescent="0.25">
      <c r="F229" s="155"/>
      <c r="G229" s="155"/>
      <c r="H229" s="155"/>
      <c r="I229" s="155"/>
      <c r="J229" s="155"/>
      <c r="K229" s="155"/>
      <c r="L229" s="155"/>
      <c r="M229" s="155"/>
    </row>
    <row r="230" spans="1:13" x14ac:dyDescent="0.25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</row>
    <row r="231" spans="1:13" ht="15.75" thickBot="1" x14ac:dyDescent="0.3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</row>
    <row r="232" spans="1:13" ht="15.75" thickBot="1" x14ac:dyDescent="0.3">
      <c r="A232" s="530" t="s">
        <v>210</v>
      </c>
      <c r="B232" s="155"/>
      <c r="C232" s="531"/>
      <c r="D232" s="532"/>
      <c r="E232" s="157"/>
      <c r="F232" s="526" t="s">
        <v>129</v>
      </c>
      <c r="G232" s="527"/>
      <c r="H232" s="528"/>
      <c r="I232" s="157"/>
      <c r="J232" s="526" t="s">
        <v>130</v>
      </c>
      <c r="K232" s="527"/>
      <c r="L232" s="528"/>
      <c r="M232" s="155"/>
    </row>
    <row r="233" spans="1:13" ht="15.75" thickBot="1" x14ac:dyDescent="0.3">
      <c r="A233" s="530"/>
      <c r="B233" s="199" t="s">
        <v>184</v>
      </c>
      <c r="C233" s="369"/>
      <c r="D233" s="370"/>
      <c r="E233" s="157"/>
      <c r="F233" s="367" t="str">
        <f ca="1">IF(DAY(F234)&lt;15,"1H-"&amp;VLOOKUP(MONTH(F234),Mapping!$A$1:$B$12,2,0),"2H-"&amp;VLOOKUP(MONTH(F234),Mapping!$A$1:$B$12,2,0))</f>
        <v>1H-OCT</v>
      </c>
      <c r="G233" s="186" t="str">
        <f ca="1">IF(DAY(G234)&lt;15,"1H-"&amp;VLOOKUP(MONTH(G234),Mapping!$A$1:$B$12,2,0),"2H-"&amp;VLOOKUP(MONTH(G234),Mapping!$A$1:$B$12,2,0))</f>
        <v>2H-OCT</v>
      </c>
      <c r="H233" s="368" t="str">
        <f ca="1">IF(DAY(H234)&lt;15,"1H-"&amp;VLOOKUP(MONTH(H234),Mapping!$A$1:$B$12,2,0),"2H-"&amp;VLOOKUP(MONTH(H234),Mapping!$A$1:$B$12,2,0))</f>
        <v>1H-NOV</v>
      </c>
      <c r="I233" s="200" t="e">
        <f>IF(DAY(I234)&lt;15,"1H-"&amp;VLOOKUP(MONTH(I234),Mapping!$A$1:$B$12,2,0),"2H-"&amp;VLOOKUP(MONTH(I234),Mapping!$A$1:$B$12,2,0))</f>
        <v>#VALUE!</v>
      </c>
      <c r="J233" s="367" t="str">
        <f ca="1">IF(DAY(J234)&lt;15,"1H-"&amp;VLOOKUP(MONTH(J234),Mapping!$A$1:$B$12,2,0),"2H-"&amp;VLOOKUP(MONTH(J234),Mapping!$A$1:$B$12,2,0))</f>
        <v>1H-OCT</v>
      </c>
      <c r="K233" s="186" t="str">
        <f ca="1">IF(DAY(K234)&lt;15,"1H-"&amp;VLOOKUP(MONTH(K234),Mapping!$A$1:$B$12,2,0),"2H-"&amp;VLOOKUP(MONTH(K234),Mapping!$A$1:$B$12,2,0))</f>
        <v>2H-OCT</v>
      </c>
      <c r="L233" s="368" t="str">
        <f ca="1">IF(DAY(L234)&lt;15,"1H-"&amp;VLOOKUP(MONTH(L234),Mapping!$A$1:$B$12,2,0),"2H-"&amp;VLOOKUP(MONTH(L234),Mapping!$A$1:$B$12,2,0))</f>
        <v>1H-NOV</v>
      </c>
      <c r="M233" s="155"/>
    </row>
    <row r="234" spans="1:13" x14ac:dyDescent="0.25">
      <c r="C234" s="522"/>
      <c r="D234" s="523"/>
      <c r="F234" s="158">
        <f ca="1">'Loading Arrival'!G9</f>
        <v>45934</v>
      </c>
      <c r="G234" s="194">
        <f ca="1">'Loading Arrival'!H9</f>
        <v>45948</v>
      </c>
      <c r="H234" s="195">
        <f ca="1">'Loading Arrival'!I9</f>
        <v>45962</v>
      </c>
      <c r="I234" s="164" t="str">
        <f>I185</f>
        <v>Loading PC</v>
      </c>
      <c r="J234" s="194">
        <f ca="1">F234</f>
        <v>45934</v>
      </c>
      <c r="K234" s="194">
        <f ca="1">G234</f>
        <v>45948</v>
      </c>
      <c r="L234" s="194">
        <f ca="1">H234</f>
        <v>45962</v>
      </c>
      <c r="M234" s="155"/>
    </row>
    <row r="235" spans="1:13" x14ac:dyDescent="0.25">
      <c r="A235" s="199" t="s">
        <v>227</v>
      </c>
      <c r="B235" s="168"/>
      <c r="C235" s="524"/>
      <c r="D235" s="525"/>
      <c r="F235" s="159">
        <f ca="1">F255+F236-F237</f>
        <v>-38.539267922374492</v>
      </c>
      <c r="G235" s="159">
        <f ca="1">G255+G236-G237</f>
        <v>-45.25770627853889</v>
      </c>
      <c r="H235" s="161">
        <f ca="1">H255+H236-H237</f>
        <v>-45.589608778538889</v>
      </c>
      <c r="I235" s="165"/>
      <c r="J235" s="160">
        <f ca="1">J255+J236-J237</f>
        <v>-7.8653025746883811</v>
      </c>
      <c r="K235" s="160">
        <f ca="1">K255+K236-K237</f>
        <v>-12.876835965099342</v>
      </c>
      <c r="L235" s="161">
        <f ca="1">L255+L236-L237</f>
        <v>-13.208738465099342</v>
      </c>
      <c r="M235" s="155"/>
    </row>
    <row r="236" spans="1:13" x14ac:dyDescent="0.25">
      <c r="A236" s="155"/>
      <c r="B236" s="169" t="s">
        <v>133</v>
      </c>
      <c r="C236" s="524"/>
      <c r="D236" s="525"/>
      <c r="E236" s="177" t="s">
        <v>128</v>
      </c>
      <c r="F236" s="175">
        <f ca="1">INDEX(Premium!$A$2:$D$15,MATCH(MAIN!$A235,Premium!$A$2:$A$15,0),MATCH(EOMONTH(F234,-1)+1,Premium!$A$2:$D$2,0))</f>
        <v>0.95</v>
      </c>
      <c r="G236" s="175">
        <f ca="1">INDEX(Premium!$A$2:$D$15,MATCH(MAIN!$A235,Premium!$A$2:$A$15,0),MATCH(EOMONTH(G234,-1)+1,Premium!$A$2:$D$2,0))</f>
        <v>0.95</v>
      </c>
      <c r="H236" s="175">
        <f ca="1">INDEX(Premium!$A$2:$D$15,MATCH(MAIN!$A235,Premium!$A$2:$A$15,0),MATCH(EOMONTH(H234,-1)+1,Premium!$A$2:$D$2,0))</f>
        <v>0.6</v>
      </c>
      <c r="I236" s="179" t="s">
        <v>128</v>
      </c>
      <c r="J236" s="175">
        <f ca="1">INDEX(Premium!$A$2:$D$15,MATCH(MAIN!$A235,Premium!$A$2:$A$15,0),MATCH(EOMONTH(J234,-1)+1,Premium!$A$2:$D$2,0))</f>
        <v>0.95</v>
      </c>
      <c r="K236" s="175">
        <f ca="1">INDEX(Premium!$A$2:$D$15,MATCH(MAIN!$A235,Premium!$A$2:$A$15,0),MATCH(EOMONTH(K234,-1)+1,Premium!$A$2:$D$2,0))</f>
        <v>0.95</v>
      </c>
      <c r="L236" s="175">
        <f ca="1">INDEX(Premium!$A$2:$D$15,MATCH(MAIN!$A235,Premium!$A$2:$A$15,0),MATCH(EOMONTH(L234,-1)+1,Premium!$A$2:$D$2,0))</f>
        <v>0.6</v>
      </c>
      <c r="M236" s="155"/>
    </row>
    <row r="237" spans="1:13" ht="15.75" thickBot="1" x14ac:dyDescent="0.3">
      <c r="A237" s="155"/>
      <c r="B237" s="170" t="s">
        <v>132</v>
      </c>
      <c r="C237" s="524"/>
      <c r="D237" s="525"/>
      <c r="E237" s="177" t="s">
        <v>272</v>
      </c>
      <c r="F237" s="180">
        <f ca="1">INDEX(Premium!$A$21:$D$31,MATCH(MAIN!$A338,Premium!$A$21:$A$31,0),MATCH(EOMONTH(MAIN!F256,-1)+1,Premium!$A$21:$D$21,0))</f>
        <v>3</v>
      </c>
      <c r="G237" s="180">
        <f ca="1">INDEX(Premium!$A$21:$D$31,MATCH(MAIN!$A338,Premium!$A$21:$A$31,0),MATCH(EOMONTH(MAIN!G256,-1)+1,Premium!$A$21:$D$21,0))</f>
        <v>3</v>
      </c>
      <c r="H237" s="180">
        <f ca="1">INDEX(Premium!$A$21:$D$31,MATCH(MAIN!$A338,Premium!$A$21:$A$31,0),MATCH(EOMONTH(MAIN!H256,-1)+1,Premium!$A$21:$D$21,0))</f>
        <v>3</v>
      </c>
      <c r="I237" s="180" t="e">
        <f>INDEX(Premium!$A$21:$D$31,MATCH(MAIN!$A338,Premium!$A$21:$A$31,0),MATCH(EOMONTH(MAIN!I256,-1)+1,Premium!$A$21:$D$21,0))</f>
        <v>#NUM!</v>
      </c>
      <c r="J237" s="180">
        <f ca="1">INDEX(Premium!$A$21:$D$31,MATCH(MAIN!$A338,Premium!$A$21:$A$31,0),MATCH(EOMONTH(MAIN!J256,-1)+1,Premium!$A$21:$D$21,0))</f>
        <v>3</v>
      </c>
      <c r="K237" s="180">
        <f ca="1">INDEX(Premium!$A$21:$D$31,MATCH(MAIN!$A338,Premium!$A$21:$A$31,0),MATCH(EOMONTH(MAIN!K256,-1)+1,Premium!$A$21:$D$21,0))</f>
        <v>3</v>
      </c>
      <c r="L237" s="180">
        <f ca="1">INDEX(Premium!$A$21:$D$31,MATCH(MAIN!$A338,Premium!$A$21:$A$31,0),MATCH(EOMONTH(MAIN!L256,-1)+1,Premium!$A$21:$D$21,0))</f>
        <v>3</v>
      </c>
      <c r="M237" s="155"/>
    </row>
    <row r="238" spans="1:13" hidden="1" outlineLevel="1" x14ac:dyDescent="0.25">
      <c r="A238" s="155"/>
      <c r="B238" s="254" t="s">
        <v>53</v>
      </c>
      <c r="C238" s="524"/>
      <c r="D238" s="525"/>
      <c r="E238" s="6" t="s">
        <v>53</v>
      </c>
      <c r="F238" s="234">
        <f>INDEX('ROTT TO USGC'!$A$6:$J$23,MATCH(MAIN!E238,'ROTT TO USGC'!$A$6:$A$23,0),5)</f>
        <v>28.391999999999999</v>
      </c>
      <c r="G238" s="241">
        <f>INDEX('ROTT TO USGC'!$A$6:$J$23,MATCH(MAIN!E238,'ROTT TO USGC'!$A$6:$A$23,0),7)</f>
        <v>28.391999999999999</v>
      </c>
      <c r="H238" s="242">
        <f>INDEX('ROTT TO USGC'!$A$6:$J$23,MATCH(MAIN!E238,'ROTT TO USGC'!$A$6:$A$23,0),9)</f>
        <v>28.391999999999999</v>
      </c>
      <c r="I238" s="250" t="s">
        <v>53</v>
      </c>
      <c r="J238" s="234">
        <f>INDEX('ROTT TO USGC'!$L$6:$U$23,MATCH(MAIN!$I238,'ROTT TO USGC'!$L$6:$L$23,0),6)</f>
        <v>17.828571428571429</v>
      </c>
      <c r="K238" s="241">
        <f>INDEX('ROTT TO USGC'!$L$6:$U$23,MATCH(MAIN!$I238,'ROTT TO USGC'!$L$6:$L$23,0),8)</f>
        <v>17.828571428571429</v>
      </c>
      <c r="L238" s="242">
        <f>INDEX('ROTT TO USGC'!$L$6:$U$23,MATCH(MAIN!$I238,'ROTT TO USGC'!$L$6:$L$23,0),10)</f>
        <v>17.828571428571429</v>
      </c>
      <c r="M238" s="155"/>
    </row>
    <row r="239" spans="1:13" hidden="1" outlineLevel="1" x14ac:dyDescent="0.25">
      <c r="A239" s="155"/>
      <c r="B239" s="255" t="s">
        <v>54</v>
      </c>
      <c r="C239" s="524"/>
      <c r="D239" s="525"/>
      <c r="E239" t="s">
        <v>54</v>
      </c>
      <c r="F239" s="175">
        <f>INDEX('ROTT TO USGC'!$A$6:$J$23,MATCH(MAIN!E239,'ROTT TO USGC'!$A$6:$A$23,0),5)</f>
        <v>0</v>
      </c>
      <c r="G239" s="178">
        <f>INDEX('ROTT TO USGC'!$A$6:$J$23,MATCH(MAIN!E239,'ROTT TO USGC'!$A$6:$A$23,0),7)</f>
        <v>0</v>
      </c>
      <c r="H239" s="176">
        <f>INDEX('ROTT TO USGC'!$A$6:$J$23,MATCH(MAIN!E239,'ROTT TO USGC'!$A$6:$A$23,0),9)</f>
        <v>0</v>
      </c>
      <c r="I239" s="179" t="s">
        <v>54</v>
      </c>
      <c r="J239" s="175">
        <f>INDEX('ROTT TO USGC'!$L$6:$U$23,MATCH(MAIN!$I239,'ROTT TO USGC'!$L$6:$L$23,0),6)</f>
        <v>0</v>
      </c>
      <c r="K239" s="178">
        <f>INDEX('ROTT TO USGC'!$L$6:$U$23,MATCH(MAIN!$I239,'ROTT TO USGC'!$L$6:$L$23,0),8)</f>
        <v>0</v>
      </c>
      <c r="L239" s="176">
        <f>INDEX('ROTT TO USGC'!$L$6:$U$23,MATCH(MAIN!$I239,'ROTT TO USGC'!$L$6:$L$23,0),10)</f>
        <v>0</v>
      </c>
      <c r="M239" s="155"/>
    </row>
    <row r="240" spans="1:13" hidden="1" outlineLevel="1" x14ac:dyDescent="0.25">
      <c r="A240" s="155"/>
      <c r="B240" s="255" t="s">
        <v>55</v>
      </c>
      <c r="C240" s="524"/>
      <c r="D240" s="525"/>
      <c r="E240" t="s">
        <v>55</v>
      </c>
      <c r="F240" s="175">
        <f>INDEX('ROTT TO USGC'!$A$6:$J$23,MATCH(MAIN!E240,'ROTT TO USGC'!$A$6:$A$23,0),5)</f>
        <v>3.8333333333333335</v>
      </c>
      <c r="G240" s="178">
        <f>INDEX('ROTT TO USGC'!$A$6:$J$23,MATCH(MAIN!E240,'ROTT TO USGC'!$A$6:$A$23,0),7)</f>
        <v>3.8333333333333335</v>
      </c>
      <c r="H240" s="176">
        <f>INDEX('ROTT TO USGC'!$A$6:$J$23,MATCH(MAIN!E240,'ROTT TO USGC'!$A$6:$A$23,0),9)</f>
        <v>3.8333333333333335</v>
      </c>
      <c r="I240" s="179" t="s">
        <v>55</v>
      </c>
      <c r="J240" s="175">
        <f>INDEX('ROTT TO USGC'!$L$6:$U$23,MATCH(MAIN!$I240,'ROTT TO USGC'!$L$6:$L$23,0),6)</f>
        <v>3.0357142857142856</v>
      </c>
      <c r="K240" s="178">
        <f>INDEX('ROTT TO USGC'!$L$6:$U$23,MATCH(MAIN!$I240,'ROTT TO USGC'!$L$6:$L$23,0),8)</f>
        <v>3.0357142857142856</v>
      </c>
      <c r="L240" s="176">
        <f>INDEX('ROTT TO USGC'!$L$6:$U$23,MATCH(MAIN!$I240,'ROTT TO USGC'!$L$6:$L$23,0),10)</f>
        <v>3.0357142857142856</v>
      </c>
      <c r="M240" s="155"/>
    </row>
    <row r="241" spans="1:13" hidden="1" outlineLevel="1" x14ac:dyDescent="0.25">
      <c r="A241" s="155"/>
      <c r="B241" s="255" t="s">
        <v>56</v>
      </c>
      <c r="C241" s="524"/>
      <c r="D241" s="525"/>
      <c r="E241" t="s">
        <v>56</v>
      </c>
      <c r="F241" s="175">
        <f>INDEX('ROTT TO USGC'!$A$6:$J$23,MATCH(MAIN!E241,'ROTT TO USGC'!$A$6:$A$23,0),5)</f>
        <v>0.1</v>
      </c>
      <c r="G241" s="178">
        <f>INDEX('ROTT TO USGC'!$A$6:$J$23,MATCH(MAIN!E241,'ROTT TO USGC'!$A$6:$A$23,0),7)</f>
        <v>0.1</v>
      </c>
      <c r="H241" s="176">
        <f>INDEX('ROTT TO USGC'!$A$6:$J$23,MATCH(MAIN!E241,'ROTT TO USGC'!$A$6:$A$23,0),9)</f>
        <v>0.1</v>
      </c>
      <c r="I241" s="179" t="s">
        <v>56</v>
      </c>
      <c r="J241" s="175">
        <f>INDEX('ROTT TO USGC'!$L$6:$U$23,MATCH(MAIN!$I241,'ROTT TO USGC'!$L$6:$L$23,0),6)</f>
        <v>0.15306122448979592</v>
      </c>
      <c r="K241" s="178">
        <f>INDEX('ROTT TO USGC'!$L$6:$U$23,MATCH(MAIN!$I241,'ROTT TO USGC'!$L$6:$L$23,0),8)</f>
        <v>0.15306122448979592</v>
      </c>
      <c r="L241" s="176">
        <f>INDEX('ROTT TO USGC'!$L$6:$U$23,MATCH(MAIN!$I241,'ROTT TO USGC'!$L$6:$L$23,0),10)</f>
        <v>0.15306122448979592</v>
      </c>
      <c r="M241" s="155"/>
    </row>
    <row r="242" spans="1:13" hidden="1" outlineLevel="1" x14ac:dyDescent="0.25">
      <c r="A242" s="155"/>
      <c r="B242" s="255" t="s">
        <v>124</v>
      </c>
      <c r="C242" s="524"/>
      <c r="D242" s="525"/>
      <c r="E242" t="s">
        <v>124</v>
      </c>
      <c r="F242" s="175">
        <f>INDEX('ROTT TO USGC'!$A$6:$J$23,MATCH(MAIN!E242,'ROTT TO USGC'!$A$6:$A$23,0),5)</f>
        <v>0.16666666666666666</v>
      </c>
      <c r="G242" s="178">
        <f>INDEX('ROTT TO USGC'!$A$6:$J$23,MATCH(MAIN!E242,'ROTT TO USGC'!$A$6:$A$23,0),7)</f>
        <v>0.16666666666666666</v>
      </c>
      <c r="H242" s="176">
        <f>INDEX('ROTT TO USGC'!$A$6:$J$23,MATCH(MAIN!E242,'ROTT TO USGC'!$A$6:$A$23,0),9)</f>
        <v>0.16666666666666666</v>
      </c>
      <c r="I242" s="179" t="s">
        <v>124</v>
      </c>
      <c r="J242" s="175">
        <f>INDEX('ROTT TO USGC'!$L$6:$U$23,MATCH(MAIN!$I242,'ROTT TO USGC'!$L$6:$L$23,0),6)</f>
        <v>0.25510204081632654</v>
      </c>
      <c r="K242" s="178">
        <f>INDEX('ROTT TO USGC'!$L$6:$U$23,MATCH(MAIN!$I242,'ROTT TO USGC'!$L$6:$L$23,0),8)</f>
        <v>0.25510204081632654</v>
      </c>
      <c r="L242" s="176">
        <f>INDEX('ROTT TO USGC'!$L$6:$U$23,MATCH(MAIN!$I242,'ROTT TO USGC'!$L$6:$L$23,0),10)</f>
        <v>0.25510204081632654</v>
      </c>
      <c r="M242" s="155"/>
    </row>
    <row r="243" spans="1:13" hidden="1" outlineLevel="1" x14ac:dyDescent="0.25">
      <c r="A243" s="155"/>
      <c r="B243" s="255" t="s">
        <v>125</v>
      </c>
      <c r="C243" s="524"/>
      <c r="D243" s="525"/>
      <c r="E243" t="s">
        <v>125</v>
      </c>
      <c r="F243" s="175">
        <f>INDEX('ROTT TO USGC'!$A$6:$J$23,MATCH(MAIN!E243,'ROTT TO USGC'!$A$6:$A$23,0),5)</f>
        <v>0.16666666666666666</v>
      </c>
      <c r="G243" s="178">
        <f>INDEX('ROTT TO USGC'!$A$6:$J$23,MATCH(MAIN!E243,'ROTT TO USGC'!$A$6:$A$23,0),7)</f>
        <v>0.16666666666666666</v>
      </c>
      <c r="H243" s="176">
        <f>INDEX('ROTT TO USGC'!$A$6:$J$23,MATCH(MAIN!E243,'ROTT TO USGC'!$A$6:$A$23,0),9)</f>
        <v>0.16666666666666666</v>
      </c>
      <c r="I243" s="179" t="s">
        <v>125</v>
      </c>
      <c r="J243" s="175">
        <f>INDEX('ROTT TO USGC'!$L$6:$U$23,MATCH(MAIN!$I243,'ROTT TO USGC'!$L$6:$L$23,0),6)</f>
        <v>0.25510204081632654</v>
      </c>
      <c r="K243" s="178">
        <f>INDEX('ROTT TO USGC'!$L$6:$U$23,MATCH(MAIN!$I243,'ROTT TO USGC'!$L$6:$L$23,0),8)</f>
        <v>0.25510204081632654</v>
      </c>
      <c r="L243" s="176">
        <f>INDEX('ROTT TO USGC'!$L$6:$U$23,MATCH(MAIN!$I243,'ROTT TO USGC'!$L$6:$L$23,0),10)</f>
        <v>0.25510204081632654</v>
      </c>
      <c r="M243" s="155"/>
    </row>
    <row r="244" spans="1:13" hidden="1" outlineLevel="1" x14ac:dyDescent="0.25">
      <c r="A244" s="155"/>
      <c r="B244" s="255" t="s">
        <v>81</v>
      </c>
      <c r="C244" s="524"/>
      <c r="D244" s="525"/>
      <c r="E244" t="s">
        <v>81</v>
      </c>
      <c r="F244" s="175">
        <f ca="1">INDEX('ROTT TO USGC'!$A$6:$J$23,MATCH(MAIN!E244,'ROTT TO USGC'!$A$6:$A$23,0),5)</f>
        <v>3.379109589041096</v>
      </c>
      <c r="G244" s="178">
        <f ca="1">INDEX('ROTT TO USGC'!$A$6:$J$23,MATCH(MAIN!E244,'ROTT TO USGC'!$A$6:$A$23,0),7)</f>
        <v>3.3655479452054795</v>
      </c>
      <c r="H244" s="176">
        <f ca="1">INDEX('ROTT TO USGC'!$A$6:$J$23,MATCH(MAIN!E244,'ROTT TO USGC'!$A$6:$A$23,0),9)</f>
        <v>3.3655479452054795</v>
      </c>
      <c r="I244" s="179" t="s">
        <v>81</v>
      </c>
      <c r="J244" s="175">
        <f ca="1">INDEX('ROTT TO USGC'!$L$6:$U$23,MATCH(MAIN!$I244,'ROTT TO USGC'!$L$6:$L$23,0),6)</f>
        <v>4.005431998213222</v>
      </c>
      <c r="K244" s="178">
        <f ca="1">INDEX('ROTT TO USGC'!$L$6:$U$23,MATCH(MAIN!$I244,'ROTT TO USGC'!$L$6:$L$23,0),8)</f>
        <v>3.9715278886241805</v>
      </c>
      <c r="L244" s="176">
        <f ca="1">INDEX('ROTT TO USGC'!$L$6:$U$23,MATCH(MAIN!$I244,'ROTT TO USGC'!$L$6:$L$23,0),10)</f>
        <v>3.9715278886241805</v>
      </c>
      <c r="M244" s="155"/>
    </row>
    <row r="245" spans="1:13" hidden="1" outlineLevel="1" x14ac:dyDescent="0.25">
      <c r="A245" s="155"/>
      <c r="B245" s="255" t="s">
        <v>57</v>
      </c>
      <c r="C245" s="524"/>
      <c r="D245" s="525"/>
      <c r="E245" t="s">
        <v>57</v>
      </c>
      <c r="F245" s="175">
        <f>INDEX('ROTT TO USGC'!$A$6:$J$23,MATCH(MAIN!E245,'ROTT TO USGC'!$A$6:$A$23,0),5)</f>
        <v>0</v>
      </c>
      <c r="G245" s="178">
        <f>INDEX('ROTT TO USGC'!$A$6:$J$23,MATCH(MAIN!E245,'ROTT TO USGC'!$A$6:$A$23,0),7)</f>
        <v>0</v>
      </c>
      <c r="H245" s="176">
        <f>INDEX('ROTT TO USGC'!$A$6:$J$23,MATCH(MAIN!E245,'ROTT TO USGC'!$A$6:$A$23,0),9)</f>
        <v>0</v>
      </c>
      <c r="I245" s="179" t="s">
        <v>57</v>
      </c>
      <c r="J245" s="175">
        <f>INDEX('ROTT TO USGC'!$L$6:$U$23,MATCH(MAIN!$I245,'ROTT TO USGC'!$L$6:$L$23,0),6)</f>
        <v>0</v>
      </c>
      <c r="K245" s="178">
        <f>INDEX('ROTT TO USGC'!$L$6:$U$23,MATCH(MAIN!$I245,'ROTT TO USGC'!$L$6:$L$23,0),8)</f>
        <v>0</v>
      </c>
      <c r="L245" s="176">
        <f>INDEX('ROTT TO USGC'!$L$6:$U$23,MATCH(MAIN!$I245,'ROTT TO USGC'!$L$6:$L$23,0),10)</f>
        <v>0</v>
      </c>
      <c r="M245" s="155"/>
    </row>
    <row r="246" spans="1:13" hidden="1" outlineLevel="1" x14ac:dyDescent="0.25">
      <c r="A246" s="155"/>
      <c r="B246" s="255" t="s">
        <v>58</v>
      </c>
      <c r="C246" s="524"/>
      <c r="D246" s="525"/>
      <c r="E246" t="s">
        <v>58</v>
      </c>
      <c r="F246" s="175">
        <f ca="1">INDEX('ROTT TO USGC'!$A$6:$J$23,MATCH(MAIN!E246,'ROTT TO USGC'!$A$6:$A$23,0),5)</f>
        <v>0.28031250000000002</v>
      </c>
      <c r="G246" s="178">
        <f ca="1">INDEX('ROTT TO USGC'!$A$6:$J$23,MATCH(MAIN!E246,'ROTT TO USGC'!$A$6:$A$23,0),7)</f>
        <v>0.27918750000000003</v>
      </c>
      <c r="H246" s="176">
        <f ca="1">INDEX('ROTT TO USGC'!$A$6:$J$23,MATCH(MAIN!E246,'ROTT TO USGC'!$A$6:$A$23,0),9)</f>
        <v>0.27918750000000003</v>
      </c>
      <c r="I246" s="179" t="s">
        <v>58</v>
      </c>
      <c r="J246" s="175">
        <f ca="1">INDEX('ROTT TO USGC'!$L$6:$U$23,MATCH(MAIN!$I246,'ROTT TO USGC'!$L$6:$L$23,0),6)</f>
        <v>0.33226879076086951</v>
      </c>
      <c r="K246" s="178">
        <f ca="1">INDEX('ROTT TO USGC'!$L$6:$U$23,MATCH(MAIN!$I246,'ROTT TO USGC'!$L$6:$L$23,0),8)</f>
        <v>0.32945629076086952</v>
      </c>
      <c r="L246" s="176">
        <f ca="1">INDEX('ROTT TO USGC'!$L$6:$U$23,MATCH(MAIN!$I246,'ROTT TO USGC'!$L$6:$L$23,0),10)</f>
        <v>0.32945629076086952</v>
      </c>
      <c r="M246" s="155"/>
    </row>
    <row r="247" spans="1:13" hidden="1" outlineLevel="1" x14ac:dyDescent="0.25">
      <c r="A247" s="155"/>
      <c r="B247" s="255" t="s">
        <v>59</v>
      </c>
      <c r="C247" s="524"/>
      <c r="D247" s="525"/>
      <c r="E247" t="s">
        <v>59</v>
      </c>
      <c r="F247" s="175">
        <f ca="1">INDEX('ROTT TO USGC'!$A$6:$J$23,MATCH(MAIN!E247,'ROTT TO USGC'!$A$6:$A$23,0),5)</f>
        <v>1.1001374999999998</v>
      </c>
      <c r="G247" s="178">
        <f ca="1">INDEX('ROTT TO USGC'!$A$6:$J$23,MATCH(MAIN!E247,'ROTT TO USGC'!$A$6:$A$23,0),7)</f>
        <v>1.1001374999999998</v>
      </c>
      <c r="H247" s="176">
        <f ca="1">INDEX('ROTT TO USGC'!$A$6:$J$23,MATCH(MAIN!E247,'ROTT TO USGC'!$A$6:$A$23,0),9)</f>
        <v>1.0820399999999997</v>
      </c>
      <c r="I247" s="179" t="s">
        <v>59</v>
      </c>
      <c r="J247" s="175">
        <f ca="1">INDEX('ROTT TO USGC'!$L$6:$U$23,MATCH(MAIN!$I247,'ROTT TO USGC'!$L$6:$L$23,0),6)</f>
        <v>1.1001374999999998</v>
      </c>
      <c r="K247" s="178">
        <f ca="1">INDEX('ROTT TO USGC'!$L$6:$U$23,MATCH(MAIN!$I247,'ROTT TO USGC'!$L$6:$L$23,0),8)</f>
        <v>1.1001374999999998</v>
      </c>
      <c r="L247" s="176">
        <f ca="1">INDEX('ROTT TO USGC'!$L$6:$U$23,MATCH(MAIN!$I247,'ROTT TO USGC'!$L$6:$L$23,0),10)</f>
        <v>1.0820399999999997</v>
      </c>
      <c r="M247" s="155"/>
    </row>
    <row r="248" spans="1:13" hidden="1" outlineLevel="1" x14ac:dyDescent="0.25">
      <c r="A248" s="155"/>
      <c r="B248" s="255" t="s">
        <v>60</v>
      </c>
      <c r="C248" s="524"/>
      <c r="D248" s="525"/>
      <c r="E248" t="s">
        <v>60</v>
      </c>
      <c r="F248" s="175">
        <f>INDEX('ROTT TO USGC'!$A$6:$J$23,MATCH(MAIN!E248,'ROTT TO USGC'!$A$6:$A$23,0),5)</f>
        <v>8.3333333333333329E-2</v>
      </c>
      <c r="G248" s="178">
        <f>INDEX('ROTT TO USGC'!$A$6:$J$23,MATCH(MAIN!E248,'ROTT TO USGC'!$A$6:$A$23,0),7)</f>
        <v>8.3333333333333329E-2</v>
      </c>
      <c r="H248" s="176">
        <f>INDEX('ROTT TO USGC'!$A$6:$J$23,MATCH(MAIN!E248,'ROTT TO USGC'!$A$6:$A$23,0),9)</f>
        <v>8.3333333333333329E-2</v>
      </c>
      <c r="I248" s="179" t="s">
        <v>60</v>
      </c>
      <c r="J248" s="175">
        <f>INDEX('ROTT TO USGC'!$L$6:$U$23,MATCH(MAIN!$I248,'ROTT TO USGC'!$L$6:$L$23,0),6)</f>
        <v>0.12755102040816327</v>
      </c>
      <c r="K248" s="178">
        <f>INDEX('ROTT TO USGC'!$L$6:$U$23,MATCH(MAIN!$I248,'ROTT TO USGC'!$L$6:$L$23,0),8)</f>
        <v>0.12755102040816327</v>
      </c>
      <c r="L248" s="176">
        <f>INDEX('ROTT TO USGC'!$L$6:$U$23,MATCH(MAIN!$I248,'ROTT TO USGC'!$L$6:$L$23,0),10)</f>
        <v>0.12755102040816327</v>
      </c>
      <c r="M248" s="155"/>
    </row>
    <row r="249" spans="1:13" hidden="1" outlineLevel="1" x14ac:dyDescent="0.25">
      <c r="A249" s="155"/>
      <c r="B249" s="255" t="s">
        <v>61</v>
      </c>
      <c r="C249" s="524"/>
      <c r="D249" s="525"/>
      <c r="E249" t="s">
        <v>61</v>
      </c>
      <c r="F249" s="175">
        <f>INDEX('ROTT TO USGC'!$A$6:$J$23,MATCH(MAIN!E249,'ROTT TO USGC'!$A$6:$A$23,0),5)</f>
        <v>8.3333333333333332E-3</v>
      </c>
      <c r="G249" s="178">
        <f>INDEX('ROTT TO USGC'!$A$6:$J$23,MATCH(MAIN!E249,'ROTT TO USGC'!$A$6:$A$23,0),7)</f>
        <v>8.3333333333333332E-3</v>
      </c>
      <c r="H249" s="176">
        <f>INDEX('ROTT TO USGC'!$A$6:$J$23,MATCH(MAIN!E249,'ROTT TO USGC'!$A$6:$A$23,0),9)</f>
        <v>8.3333333333333332E-3</v>
      </c>
      <c r="I249" s="179" t="s">
        <v>61</v>
      </c>
      <c r="J249" s="175">
        <f>INDEX('ROTT TO USGC'!$L$6:$U$23,MATCH(MAIN!$I249,'ROTT TO USGC'!$L$6:$L$23,0),6)</f>
        <v>1.2755102040816327E-2</v>
      </c>
      <c r="K249" s="178">
        <f>INDEX('ROTT TO USGC'!$L$6:$U$23,MATCH(MAIN!$I249,'ROTT TO USGC'!$L$6:$L$23,0),8)</f>
        <v>1.2755102040816327E-2</v>
      </c>
      <c r="L249" s="176">
        <f>INDEX('ROTT TO USGC'!$L$6:$U$23,MATCH(MAIN!$I249,'ROTT TO USGC'!$L$6:$L$23,0),10)</f>
        <v>1.2755102040816327E-2</v>
      </c>
      <c r="M249" s="155"/>
    </row>
    <row r="250" spans="1:13" hidden="1" outlineLevel="1" x14ac:dyDescent="0.25">
      <c r="A250" s="155"/>
      <c r="B250" s="255" t="s">
        <v>62</v>
      </c>
      <c r="C250" s="524"/>
      <c r="D250" s="525"/>
      <c r="E250" t="s">
        <v>62</v>
      </c>
      <c r="F250" s="175">
        <f>INDEX('ROTT TO USGC'!$A$6:$J$23,MATCH(MAIN!E250,'ROTT TO USGC'!$A$6:$A$23,0),5)</f>
        <v>8.3333333333333332E-3</v>
      </c>
      <c r="G250" s="178">
        <f>INDEX('ROTT TO USGC'!$A$6:$J$23,MATCH(MAIN!E250,'ROTT TO USGC'!$A$6:$A$23,0),7)</f>
        <v>8.3333333333333332E-3</v>
      </c>
      <c r="H250" s="176">
        <f>INDEX('ROTT TO USGC'!$A$6:$J$23,MATCH(MAIN!E250,'ROTT TO USGC'!$A$6:$A$23,0),9)</f>
        <v>8.3333333333333332E-3</v>
      </c>
      <c r="I250" s="179" t="s">
        <v>62</v>
      </c>
      <c r="J250" s="175">
        <f>INDEX('ROTT TO USGC'!$L$6:$U$23,MATCH(MAIN!$I250,'ROTT TO USGC'!$L$6:$L$23,0),6)</f>
        <v>1.2755102040816327E-2</v>
      </c>
      <c r="K250" s="178">
        <f>INDEX('ROTT TO USGC'!$L$6:$U$23,MATCH(MAIN!$I250,'ROTT TO USGC'!$L$6:$L$23,0),8)</f>
        <v>1.2755102040816327E-2</v>
      </c>
      <c r="L250" s="176">
        <f>INDEX('ROTT TO USGC'!$L$6:$U$23,MATCH(MAIN!$I250,'ROTT TO USGC'!$L$6:$L$23,0),10)</f>
        <v>1.2755102040816327E-2</v>
      </c>
      <c r="M250" s="155"/>
    </row>
    <row r="251" spans="1:13" hidden="1" outlineLevel="1" x14ac:dyDescent="0.25">
      <c r="A251" s="155"/>
      <c r="B251" s="255" t="s">
        <v>63</v>
      </c>
      <c r="C251" s="524"/>
      <c r="D251" s="525"/>
      <c r="E251" t="s">
        <v>63</v>
      </c>
      <c r="F251" s="175">
        <f>INDEX('ROTT TO USGC'!$A$6:$J$23,MATCH(MAIN!E251,'ROTT TO USGC'!$A$6:$A$23,0),5)</f>
        <v>0.1</v>
      </c>
      <c r="G251" s="178">
        <f>INDEX('ROTT TO USGC'!$A$6:$J$23,MATCH(MAIN!E251,'ROTT TO USGC'!$A$6:$A$23,0),7)</f>
        <v>0.1</v>
      </c>
      <c r="H251" s="176">
        <f>INDEX('ROTT TO USGC'!$A$6:$J$23,MATCH(MAIN!E251,'ROTT TO USGC'!$A$6:$A$23,0),9)</f>
        <v>0.1</v>
      </c>
      <c r="I251" s="179" t="s">
        <v>63</v>
      </c>
      <c r="J251" s="175">
        <f>INDEX('ROTT TO USGC'!$L$6:$U$23,MATCH(MAIN!$I251,'ROTT TO USGC'!$L$6:$L$23,0),6)</f>
        <v>0.15306122448979592</v>
      </c>
      <c r="K251" s="178">
        <f>INDEX('ROTT TO USGC'!$L$6:$U$23,MATCH(MAIN!$I251,'ROTT TO USGC'!$L$6:$L$23,0),8)</f>
        <v>0.15306122448979592</v>
      </c>
      <c r="L251" s="176">
        <f>INDEX('ROTT TO USGC'!$L$6:$U$23,MATCH(MAIN!$I251,'ROTT TO USGC'!$L$6:$L$23,0),10)</f>
        <v>0.15306122448979592</v>
      </c>
      <c r="M251" s="155"/>
    </row>
    <row r="252" spans="1:13" hidden="1" outlineLevel="1" x14ac:dyDescent="0.25">
      <c r="A252" s="155"/>
      <c r="B252" s="255" t="s">
        <v>64</v>
      </c>
      <c r="C252" s="524"/>
      <c r="D252" s="525"/>
      <c r="E252" t="s">
        <v>64</v>
      </c>
      <c r="F252" s="175">
        <f>INDEX('ROTT TO USGC'!$A$6:$J$23,MATCH(MAIN!E252,'ROTT TO USGC'!$A$6:$A$23,0),5)</f>
        <v>6.6666666666666666E-2</v>
      </c>
      <c r="G252" s="178">
        <f>INDEX('ROTT TO USGC'!$A$6:$J$23,MATCH(MAIN!E252,'ROTT TO USGC'!$A$6:$A$23,0),7)</f>
        <v>6.6666666666666666E-2</v>
      </c>
      <c r="H252" s="176">
        <f>INDEX('ROTT TO USGC'!$A$6:$J$23,MATCH(MAIN!E252,'ROTT TO USGC'!$A$6:$A$23,0),9)</f>
        <v>6.6666666666666666E-2</v>
      </c>
      <c r="I252" s="179" t="s">
        <v>64</v>
      </c>
      <c r="J252" s="175">
        <f>INDEX('ROTT TO USGC'!$L$6:$U$23,MATCH(MAIN!$I252,'ROTT TO USGC'!$L$6:$L$23,0),6)</f>
        <v>0.10204081632653061</v>
      </c>
      <c r="K252" s="178">
        <f>INDEX('ROTT TO USGC'!$L$6:$U$23,MATCH(MAIN!$I252,'ROTT TO USGC'!$L$6:$L$23,0),8)</f>
        <v>0.10204081632653061</v>
      </c>
      <c r="L252" s="176">
        <f>INDEX('ROTT TO USGC'!$L$6:$U$23,MATCH(MAIN!$I252,'ROTT TO USGC'!$L$6:$L$23,0),10)</f>
        <v>0.10204081632653061</v>
      </c>
      <c r="M252" s="155"/>
    </row>
    <row r="253" spans="1:13" hidden="1" outlineLevel="1" x14ac:dyDescent="0.25">
      <c r="A253" s="155"/>
      <c r="B253" s="255" t="s">
        <v>100</v>
      </c>
      <c r="C253" s="524"/>
      <c r="D253" s="525"/>
      <c r="E253" t="s">
        <v>100</v>
      </c>
      <c r="F253" s="175">
        <f ca="1">INDEX('ROTT TO USGC'!$A$6:$J$23,MATCH(MAIN!E253,'ROTT TO USGC'!$A$6:$A$23,0),5)</f>
        <v>37.684892922374431</v>
      </c>
      <c r="G253" s="178">
        <f ca="1">INDEX('ROTT TO USGC'!$A$6:$J$23,MATCH(MAIN!E253,'ROTT TO USGC'!$A$6:$A$23,0),7)</f>
        <v>37.670206278538814</v>
      </c>
      <c r="H253" s="176">
        <f ca="1">INDEX('ROTT TO USGC'!$A$6:$J$23,MATCH(MAIN!E253,'ROTT TO USGC'!$A$6:$A$23,0),9)</f>
        <v>37.65210877853881</v>
      </c>
      <c r="I253" s="179" t="s">
        <v>100</v>
      </c>
      <c r="J253" s="175">
        <f ca="1">INDEX('ROTT TO USGC'!$L$6:$U$23,MATCH(MAIN!$I253,'ROTT TO USGC'!$L$6:$L$23,0),6)</f>
        <v>27.373552574688379</v>
      </c>
      <c r="K253" s="178">
        <f ca="1">INDEX('ROTT TO USGC'!$L$6:$U$23,MATCH(MAIN!$I253,'ROTT TO USGC'!$L$6:$L$23,0),8)</f>
        <v>27.336835965099336</v>
      </c>
      <c r="L253" s="176">
        <f ca="1">INDEX('ROTT TO USGC'!$L$6:$U$23,MATCH(MAIN!$I253,'ROTT TO USGC'!$L$6:$L$23,0),10)</f>
        <v>27.318738465099337</v>
      </c>
      <c r="M253" s="155"/>
    </row>
    <row r="254" spans="1:13" hidden="1" outlineLevel="1" x14ac:dyDescent="0.25">
      <c r="A254" s="155"/>
      <c r="B254" s="255" t="s">
        <v>101</v>
      </c>
      <c r="C254" s="524"/>
      <c r="D254" s="525"/>
      <c r="E254" t="s">
        <v>101</v>
      </c>
      <c r="F254" s="175">
        <f ca="1">INDEX('ROTT TO USGC'!$A$6:$J$23,MATCH(MAIN!E254,'ROTT TO USGC'!$A$6:$A$23,0),5)</f>
        <v>1.1956249999999358</v>
      </c>
      <c r="G254" s="178">
        <f ca="1">INDEX('ROTT TO USGC'!$A$6:$J$23,MATCH(MAIN!E254,'ROTT TO USGC'!$A$6:$A$23,0),7)</f>
        <v>-5.5375000000000796</v>
      </c>
      <c r="H254" s="176">
        <f ca="1">INDEX('ROTT TO USGC'!$A$6:$J$23,MATCH(MAIN!E254,'ROTT TO USGC'!$A$6:$A$23,0),9)</f>
        <v>-5.5375000000000796</v>
      </c>
      <c r="I254" s="179" t="s">
        <v>101</v>
      </c>
      <c r="J254" s="175">
        <f ca="1">INDEX('ROTT TO USGC'!$L$6:$U$23,MATCH(MAIN!$I254,'ROTT TO USGC'!$L$6:$L$23,0),6)</f>
        <v>21.558249999999997</v>
      </c>
      <c r="K254" s="178">
        <f ca="1">INDEX('ROTT TO USGC'!$L$6:$U$23,MATCH(MAIN!$I254,'ROTT TO USGC'!$L$6:$L$23,0),8)</f>
        <v>16.509999999999994</v>
      </c>
      <c r="L254" s="176">
        <f ca="1">INDEX('ROTT TO USGC'!$L$6:$U$23,MATCH(MAIN!$I254,'ROTT TO USGC'!$L$6:$L$23,0),10)</f>
        <v>16.509999999999994</v>
      </c>
      <c r="M254" s="155"/>
    </row>
    <row r="255" spans="1:13" hidden="1" outlineLevel="1" x14ac:dyDescent="0.25">
      <c r="A255" s="155"/>
      <c r="B255" s="255" t="s">
        <v>113</v>
      </c>
      <c r="C255" s="524"/>
      <c r="D255" s="525"/>
      <c r="E255" t="s">
        <v>113</v>
      </c>
      <c r="F255" s="175">
        <f ca="1">INDEX('ROTT TO USGC'!$A$6:$J$23,MATCH(MAIN!E255,'ROTT TO USGC'!$A$6:$A$23,0),5)</f>
        <v>-36.489267922374495</v>
      </c>
      <c r="G255" s="178">
        <f ca="1">INDEX('ROTT TO USGC'!$A$6:$J$23,MATCH(MAIN!E255,'ROTT TO USGC'!$A$6:$A$23,0),7)</f>
        <v>-43.207706278538893</v>
      </c>
      <c r="H255" s="176">
        <f ca="1">INDEX('ROTT TO USGC'!$A$6:$J$23,MATCH(MAIN!E255,'ROTT TO USGC'!$A$6:$A$23,0),9)</f>
        <v>-43.18960877853889</v>
      </c>
      <c r="I255" s="179" t="s">
        <v>113</v>
      </c>
      <c r="J255" s="175">
        <f ca="1">INDEX('ROTT TO USGC'!$L$6:$U$23,MATCH(MAIN!$I255,'ROTT TO USGC'!$L$6:$L$23,0),6)</f>
        <v>-5.8153025746883813</v>
      </c>
      <c r="K255" s="178">
        <f ca="1">INDEX('ROTT TO USGC'!$L$6:$U$23,MATCH(MAIN!$I255,'ROTT TO USGC'!$L$6:$L$23,0),8)</f>
        <v>-10.826835965099342</v>
      </c>
      <c r="L255" s="176">
        <f ca="1">INDEX('ROTT TO USGC'!$L$6:$U$23,MATCH(MAIN!$I255,'ROTT TO USGC'!$L$6:$L$23,0),10)</f>
        <v>-10.808738465099342</v>
      </c>
      <c r="M255" s="155"/>
    </row>
    <row r="256" spans="1:13" ht="15.75" hidden="1" outlineLevel="1" thickBot="1" x14ac:dyDescent="0.3">
      <c r="A256" s="155"/>
      <c r="B256" s="255" t="s">
        <v>126</v>
      </c>
      <c r="C256" s="524"/>
      <c r="D256" s="525"/>
      <c r="E256" t="s">
        <v>126</v>
      </c>
      <c r="F256" s="217">
        <f ca="1">F234</f>
        <v>45934</v>
      </c>
      <c r="G256" s="217">
        <f t="shared" ref="G256:H256" ca="1" si="8">G234</f>
        <v>45948</v>
      </c>
      <c r="H256" s="217">
        <f t="shared" ca="1" si="8"/>
        <v>45962</v>
      </c>
      <c r="I256" s="220">
        <f>I230</f>
        <v>0</v>
      </c>
      <c r="J256" s="217">
        <f ca="1">J234</f>
        <v>45934</v>
      </c>
      <c r="K256" s="217">
        <f ca="1">K234</f>
        <v>45948</v>
      </c>
      <c r="L256" s="217">
        <f ca="1">L234</f>
        <v>45962</v>
      </c>
      <c r="M256" s="155"/>
    </row>
    <row r="257" spans="1:13" ht="15.75" collapsed="1" thickBot="1" x14ac:dyDescent="0.3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</row>
    <row r="258" spans="1:13" x14ac:dyDescent="0.25">
      <c r="A258" s="155"/>
      <c r="B258" s="155"/>
      <c r="C258" s="522"/>
      <c r="D258" s="523"/>
      <c r="F258" s="158">
        <f ca="1">F234</f>
        <v>45934</v>
      </c>
      <c r="G258" s="158">
        <f t="shared" ref="G258:H258" ca="1" si="9">G234</f>
        <v>45948</v>
      </c>
      <c r="H258" s="158">
        <f t="shared" ca="1" si="9"/>
        <v>45962</v>
      </c>
      <c r="I258" s="164" t="e">
        <f>I209</f>
        <v>#VALUE!</v>
      </c>
      <c r="J258" s="194">
        <f ca="1">F258</f>
        <v>45934</v>
      </c>
      <c r="K258" s="194">
        <f ca="1">G258</f>
        <v>45948</v>
      </c>
      <c r="L258" s="194">
        <f ca="1">H258</f>
        <v>45962</v>
      </c>
      <c r="M258" s="155"/>
    </row>
    <row r="259" spans="1:13" x14ac:dyDescent="0.25">
      <c r="A259" s="199" t="s">
        <v>228</v>
      </c>
      <c r="B259" s="168"/>
      <c r="C259" s="524"/>
      <c r="D259" s="525"/>
      <c r="F259" s="159">
        <f ca="1">F279+F260-F261</f>
        <v>-17.174921622307437</v>
      </c>
      <c r="G259" s="159">
        <f ca="1">G279+G260-G261</f>
        <v>-22.18645501271839</v>
      </c>
      <c r="H259" s="161">
        <f ca="1">H279+H260-H261</f>
        <v>-22.268357512718385</v>
      </c>
      <c r="I259" s="165"/>
      <c r="J259" s="160">
        <f ca="1">J279+J260-J261</f>
        <v>-6.1853025746883805</v>
      </c>
      <c r="K259" s="160">
        <f ca="1">K279+K260-K261</f>
        <v>-11.196835965099341</v>
      </c>
      <c r="L259" s="161">
        <f ca="1">L279+L260-L261</f>
        <v>-11.278738465099341</v>
      </c>
      <c r="M259" s="155"/>
    </row>
    <row r="260" spans="1:13" x14ac:dyDescent="0.25">
      <c r="A260" s="155"/>
      <c r="B260" s="169" t="s">
        <v>133</v>
      </c>
      <c r="C260" s="524"/>
      <c r="D260" s="525"/>
      <c r="E260" s="177" t="s">
        <v>128</v>
      </c>
      <c r="F260" s="175">
        <f ca="1">INDEX(Premium!$A$2:$D$15,MATCH(MAIN!$A259,Premium!$A$2:$A$15,0),MATCH(EOMONTH(F258,-1)+1,Premium!$A$2:$D$2,0))</f>
        <v>0.4</v>
      </c>
      <c r="G260" s="175">
        <f ca="1">INDEX(Premium!$A$2:$D$15,MATCH(MAIN!$A259,Premium!$A$2:$A$15,0),MATCH(EOMONTH(G258,-1)+1,Premium!$A$2:$D$2,0))</f>
        <v>0.4</v>
      </c>
      <c r="H260" s="175">
        <f ca="1">INDEX(Premium!$A$2:$D$15,MATCH(MAIN!$A259,Premium!$A$2:$A$15,0),MATCH(EOMONTH(H258,-1)+1,Premium!$A$2:$D$2,0))</f>
        <v>0.3</v>
      </c>
      <c r="I260" s="179" t="s">
        <v>128</v>
      </c>
      <c r="J260" s="175">
        <f ca="1">INDEX(Premium!$A$2:$D$15,MATCH(MAIN!$A259,Premium!$A$2:$A$15,0),MATCH(EOMONTH(J258,-1)+1,Premium!$A$2:$D$2,0))</f>
        <v>0.4</v>
      </c>
      <c r="K260" s="175">
        <f ca="1">INDEX(Premium!$A$2:$D$15,MATCH(MAIN!$A259,Premium!$A$2:$A$15,0),MATCH(EOMONTH(K258,-1)+1,Premium!$A$2:$D$2,0))</f>
        <v>0.4</v>
      </c>
      <c r="L260" s="175">
        <f ca="1">INDEX(Premium!$A$2:$D$15,MATCH(MAIN!$A259,Premium!$A$2:$A$15,0),MATCH(EOMONTH(L258,-1)+1,Premium!$A$2:$D$2,0))</f>
        <v>0.3</v>
      </c>
      <c r="M260" s="155"/>
    </row>
    <row r="261" spans="1:13" ht="15.75" thickBot="1" x14ac:dyDescent="0.3">
      <c r="A261" s="155"/>
      <c r="B261" s="170" t="s">
        <v>132</v>
      </c>
      <c r="C261" s="524"/>
      <c r="D261" s="525"/>
      <c r="E261" s="177" t="s">
        <v>272</v>
      </c>
      <c r="F261" s="180">
        <f ca="1">INDEX(Premium!$A$21:$D$29,MATCH(MAIN!$A413,Premium!$A$21:$A$29,0),MATCH(EOMONTH(MAIN!F280,-1)+1,Premium!$A$21:$D$21,0))</f>
        <v>0.77</v>
      </c>
      <c r="G261" s="180">
        <f ca="1">INDEX(Premium!$A$21:$D$29,MATCH(MAIN!$A413,Premium!$A$21:$A$29,0),MATCH(EOMONTH(MAIN!G280,-1)+1,Premium!$A$21:$D$21,0))</f>
        <v>0.77</v>
      </c>
      <c r="H261" s="180">
        <f ca="1">INDEX(Premium!$A$21:$D$29,MATCH(MAIN!$A413,Premium!$A$21:$A$29,0),MATCH(EOMONTH(MAIN!H280,-1)+1,Premium!$A$21:$D$21,0))</f>
        <v>0.77</v>
      </c>
      <c r="I261" s="180" t="e">
        <f>INDEX(Premium!$A$21:$D$29,MATCH(MAIN!$A413,Premium!$A$21:$A$29,0),MATCH(EOMONTH(MAIN!I280,-1)+1,Premium!$A$21:$D$21,0))</f>
        <v>#VALUE!</v>
      </c>
      <c r="J261" s="180">
        <f ca="1">INDEX(Premium!$A$21:$D$29,MATCH(MAIN!$A413,Premium!$A$21:$A$29,0),MATCH(EOMONTH(MAIN!J280,-1)+1,Premium!$A$21:$D$21,0))</f>
        <v>0.77</v>
      </c>
      <c r="K261" s="180">
        <f ca="1">INDEX(Premium!$A$21:$D$29,MATCH(MAIN!$A413,Premium!$A$21:$A$29,0),MATCH(EOMONTH(MAIN!K280,-1)+1,Premium!$A$21:$D$21,0))</f>
        <v>0.77</v>
      </c>
      <c r="L261" s="180">
        <f ca="1">INDEX(Premium!$A$21:$D$29,MATCH(MAIN!$A413,Premium!$A$21:$A$29,0),MATCH(EOMONTH(MAIN!L280,-1)+1,Premium!$A$21:$D$21,0))</f>
        <v>0.77</v>
      </c>
      <c r="M261" s="155"/>
    </row>
    <row r="262" spans="1:13" hidden="1" outlineLevel="1" x14ac:dyDescent="0.25">
      <c r="A262" s="155"/>
      <c r="B262" s="254" t="s">
        <v>53</v>
      </c>
      <c r="C262" s="524"/>
      <c r="D262" s="525"/>
      <c r="E262" s="6" t="s">
        <v>53</v>
      </c>
      <c r="F262" s="234">
        <f>INDEX('ROTT TO USGC'!$A$6:$J$23,MATCH(MAIN!E262,'ROTT TO USGC'!$A$6:$A$23,0),6)</f>
        <v>28.391999999999999</v>
      </c>
      <c r="G262" s="241">
        <f>INDEX('ROTT TO USGC'!$A$6:$J$23,MATCH(MAIN!E262,'ROTT TO USGC'!$A$6:$A$23,0),8)</f>
        <v>28.391999999999999</v>
      </c>
      <c r="H262" s="242">
        <f>INDEX('ROTT TO USGC'!$A$6:$J$23,MATCH(MAIN!E262,'ROTT TO USGC'!$A$6:$A$23,0),10)</f>
        <v>28.391999999999999</v>
      </c>
      <c r="I262" s="250" t="s">
        <v>53</v>
      </c>
      <c r="J262" s="234">
        <f>INDEX('ROTT TO USGC'!$L$6:$U$23,MATCH(MAIN!$I262,'ROTT TO USGC'!$L$6:$L$23,0),6)</f>
        <v>17.828571428571429</v>
      </c>
      <c r="K262" s="241">
        <f>INDEX('ROTT TO USGC'!$L$6:$U$23,MATCH(MAIN!$I262,'ROTT TO USGC'!$L$6:$L$23,0),8)</f>
        <v>17.828571428571429</v>
      </c>
      <c r="L262" s="242">
        <f>INDEX('ROTT TO USGC'!$L$6:$U$23,MATCH(MAIN!$I262,'ROTT TO USGC'!$L$6:$L$23,0),10)</f>
        <v>17.828571428571429</v>
      </c>
    </row>
    <row r="263" spans="1:13" hidden="1" outlineLevel="1" x14ac:dyDescent="0.25">
      <c r="A263" s="155"/>
      <c r="B263" s="255" t="s">
        <v>54</v>
      </c>
      <c r="C263" s="524"/>
      <c r="D263" s="525"/>
      <c r="E263" t="s">
        <v>54</v>
      </c>
      <c r="F263" s="175">
        <f>INDEX('ROTT TO USGC'!$A$6:$J$23,MATCH(MAIN!E263,'ROTT TO USGC'!$A$6:$A$23,0),6)</f>
        <v>0</v>
      </c>
      <c r="G263" s="178">
        <f>INDEX('ROTT TO USGC'!$A$6:$J$23,MATCH(MAIN!E263,'ROTT TO USGC'!$A$6:$A$23,0),8)</f>
        <v>0</v>
      </c>
      <c r="H263" s="176">
        <f>INDEX('ROTT TO USGC'!$A$6:$J$23,MATCH(MAIN!E263,'ROTT TO USGC'!$A$6:$A$23,0),10)</f>
        <v>0</v>
      </c>
      <c r="I263" s="179" t="s">
        <v>54</v>
      </c>
      <c r="J263" s="175">
        <f>INDEX('ROTT TO USGC'!$L$6:$U$23,MATCH(MAIN!$I263,'ROTT TO USGC'!$L$6:$L$23,0),6)</f>
        <v>0</v>
      </c>
      <c r="K263" s="178">
        <f>INDEX('ROTT TO USGC'!$L$6:$U$23,MATCH(MAIN!$I263,'ROTT TO USGC'!$L$6:$L$23,0),8)</f>
        <v>0</v>
      </c>
      <c r="L263" s="176">
        <f>INDEX('ROTT TO USGC'!$L$6:$U$23,MATCH(MAIN!$I263,'ROTT TO USGC'!$L$6:$L$23,0),10)</f>
        <v>0</v>
      </c>
    </row>
    <row r="264" spans="1:13" hidden="1" outlineLevel="1" x14ac:dyDescent="0.25">
      <c r="A264" s="155"/>
      <c r="B264" s="255" t="s">
        <v>55</v>
      </c>
      <c r="C264" s="524"/>
      <c r="D264" s="525"/>
      <c r="E264" t="s">
        <v>55</v>
      </c>
      <c r="F264" s="175">
        <f>INDEX('ROTT TO USGC'!$A$6:$J$23,MATCH(MAIN!E264,'ROTT TO USGC'!$A$6:$A$23,0),6)</f>
        <v>3.8333333333333335</v>
      </c>
      <c r="G264" s="178">
        <f>INDEX('ROTT TO USGC'!$A$6:$J$23,MATCH(MAIN!E264,'ROTT TO USGC'!$A$6:$A$23,0),8)</f>
        <v>3.8333333333333335</v>
      </c>
      <c r="H264" s="176">
        <f>INDEX('ROTT TO USGC'!$A$6:$J$23,MATCH(MAIN!E264,'ROTT TO USGC'!$A$6:$A$23,0),10)</f>
        <v>3.8333333333333335</v>
      </c>
      <c r="I264" s="179" t="s">
        <v>55</v>
      </c>
      <c r="J264" s="175">
        <f>INDEX('ROTT TO USGC'!$L$6:$U$23,MATCH(MAIN!$I264,'ROTT TO USGC'!$L$6:$L$23,0),6)</f>
        <v>3.0357142857142856</v>
      </c>
      <c r="K264" s="178">
        <f>INDEX('ROTT TO USGC'!$L$6:$U$23,MATCH(MAIN!$I264,'ROTT TO USGC'!$L$6:$L$23,0),8)</f>
        <v>3.0357142857142856</v>
      </c>
      <c r="L264" s="176">
        <f>INDEX('ROTT TO USGC'!$L$6:$U$23,MATCH(MAIN!$I264,'ROTT TO USGC'!$L$6:$L$23,0),10)</f>
        <v>3.0357142857142856</v>
      </c>
    </row>
    <row r="265" spans="1:13" hidden="1" outlineLevel="1" x14ac:dyDescent="0.25">
      <c r="A265" s="155"/>
      <c r="B265" s="255" t="s">
        <v>56</v>
      </c>
      <c r="C265" s="524"/>
      <c r="D265" s="525"/>
      <c r="E265" t="s">
        <v>56</v>
      </c>
      <c r="F265" s="175">
        <f>INDEX('ROTT TO USGC'!$A$6:$J$23,MATCH(MAIN!E265,'ROTT TO USGC'!$A$6:$A$23,0),6)</f>
        <v>0.1</v>
      </c>
      <c r="G265" s="178">
        <f>INDEX('ROTT TO USGC'!$A$6:$J$23,MATCH(MAIN!E265,'ROTT TO USGC'!$A$6:$A$23,0),8)</f>
        <v>0.1</v>
      </c>
      <c r="H265" s="176">
        <f>INDEX('ROTT TO USGC'!$A$6:$J$23,MATCH(MAIN!E265,'ROTT TO USGC'!$A$6:$A$23,0),10)</f>
        <v>0.1</v>
      </c>
      <c r="I265" s="179" t="s">
        <v>56</v>
      </c>
      <c r="J265" s="175">
        <f>INDEX('ROTT TO USGC'!$L$6:$U$23,MATCH(MAIN!$I265,'ROTT TO USGC'!$L$6:$L$23,0),6)</f>
        <v>0.15306122448979592</v>
      </c>
      <c r="K265" s="178">
        <f>INDEX('ROTT TO USGC'!$L$6:$U$23,MATCH(MAIN!$I265,'ROTT TO USGC'!$L$6:$L$23,0),8)</f>
        <v>0.15306122448979592</v>
      </c>
      <c r="L265" s="176">
        <f>INDEX('ROTT TO USGC'!$L$6:$U$23,MATCH(MAIN!$I265,'ROTT TO USGC'!$L$6:$L$23,0),10)</f>
        <v>0.15306122448979592</v>
      </c>
    </row>
    <row r="266" spans="1:13" hidden="1" outlineLevel="1" x14ac:dyDescent="0.25">
      <c r="A266" s="155"/>
      <c r="B266" s="255" t="s">
        <v>124</v>
      </c>
      <c r="C266" s="524"/>
      <c r="D266" s="525"/>
      <c r="E266" t="s">
        <v>124</v>
      </c>
      <c r="F266" s="175">
        <f>INDEX('ROTT TO USGC'!$A$6:$J$23,MATCH(MAIN!E266,'ROTT TO USGC'!$A$6:$A$23,0),6)</f>
        <v>0.16666666666666666</v>
      </c>
      <c r="G266" s="178">
        <f>INDEX('ROTT TO USGC'!$A$6:$J$23,MATCH(MAIN!E266,'ROTT TO USGC'!$A$6:$A$23,0),8)</f>
        <v>0.16666666666666666</v>
      </c>
      <c r="H266" s="176">
        <f>INDEX('ROTT TO USGC'!$A$6:$J$23,MATCH(MAIN!E266,'ROTT TO USGC'!$A$6:$A$23,0),10)</f>
        <v>0.16666666666666666</v>
      </c>
      <c r="I266" s="179" t="s">
        <v>124</v>
      </c>
      <c r="J266" s="175">
        <f>INDEX('ROTT TO USGC'!$L$6:$U$23,MATCH(MAIN!$I266,'ROTT TO USGC'!$L$6:$L$23,0),6)</f>
        <v>0.25510204081632654</v>
      </c>
      <c r="K266" s="178">
        <f>INDEX('ROTT TO USGC'!$L$6:$U$23,MATCH(MAIN!$I266,'ROTT TO USGC'!$L$6:$L$23,0),8)</f>
        <v>0.25510204081632654</v>
      </c>
      <c r="L266" s="176">
        <f>INDEX('ROTT TO USGC'!$L$6:$U$23,MATCH(MAIN!$I266,'ROTT TO USGC'!$L$6:$L$23,0),10)</f>
        <v>0.25510204081632654</v>
      </c>
    </row>
    <row r="267" spans="1:13" hidden="1" outlineLevel="1" x14ac:dyDescent="0.25">
      <c r="A267" s="155"/>
      <c r="B267" s="255" t="s">
        <v>125</v>
      </c>
      <c r="C267" s="524"/>
      <c r="D267" s="525"/>
      <c r="E267" t="s">
        <v>125</v>
      </c>
      <c r="F267" s="175">
        <f>INDEX('ROTT TO USGC'!$A$6:$J$23,MATCH(MAIN!E267,'ROTT TO USGC'!$A$6:$A$23,0),6)</f>
        <v>0.16666666666666666</v>
      </c>
      <c r="G267" s="178">
        <f>INDEX('ROTT TO USGC'!$A$6:$J$23,MATCH(MAIN!E267,'ROTT TO USGC'!$A$6:$A$23,0),8)</f>
        <v>0.16666666666666666</v>
      </c>
      <c r="H267" s="176">
        <f>INDEX('ROTT TO USGC'!$A$6:$J$23,MATCH(MAIN!E267,'ROTT TO USGC'!$A$6:$A$23,0),10)</f>
        <v>0.16666666666666666</v>
      </c>
      <c r="I267" s="179" t="s">
        <v>125</v>
      </c>
      <c r="J267" s="175">
        <f>INDEX('ROTT TO USGC'!$L$6:$U$23,MATCH(MAIN!$I267,'ROTT TO USGC'!$L$6:$L$23,0),6)</f>
        <v>0.25510204081632654</v>
      </c>
      <c r="K267" s="178">
        <f>INDEX('ROTT TO USGC'!$L$6:$U$23,MATCH(MAIN!$I267,'ROTT TO USGC'!$L$6:$L$23,0),8)</f>
        <v>0.25510204081632654</v>
      </c>
      <c r="L267" s="176">
        <f>INDEX('ROTT TO USGC'!$L$6:$U$23,MATCH(MAIN!$I267,'ROTT TO USGC'!$L$6:$L$23,0),10)</f>
        <v>0.25510204081632654</v>
      </c>
    </row>
    <row r="268" spans="1:13" hidden="1" outlineLevel="1" x14ac:dyDescent="0.25">
      <c r="A268" s="155"/>
      <c r="B268" s="255" t="s">
        <v>81</v>
      </c>
      <c r="C268" s="524"/>
      <c r="D268" s="525"/>
      <c r="E268" t="s">
        <v>81</v>
      </c>
      <c r="F268" s="175">
        <f ca="1">INDEX('ROTT TO USGC'!$A$6:$J$23,MATCH(MAIN!E268,'ROTT TO USGC'!$A$6:$A$23,0),6)</f>
        <v>4.005431998213222</v>
      </c>
      <c r="G268" s="178">
        <f ca="1">INDEX('ROTT TO USGC'!$A$6:$J$23,MATCH(MAIN!E268,'ROTT TO USGC'!$A$6:$A$23,0),8)</f>
        <v>3.9715278886241805</v>
      </c>
      <c r="H268" s="176">
        <f ca="1">INDEX('ROTT TO USGC'!$A$6:$J$23,MATCH(MAIN!E268,'ROTT TO USGC'!$A$6:$A$23,0),10)</f>
        <v>3.9715278886241805</v>
      </c>
      <c r="I268" s="179" t="s">
        <v>81</v>
      </c>
      <c r="J268" s="175">
        <f ca="1">INDEX('ROTT TO USGC'!$L$6:$U$23,MATCH(MAIN!$I268,'ROTT TO USGC'!$L$6:$L$23,0),6)</f>
        <v>4.005431998213222</v>
      </c>
      <c r="K268" s="178">
        <f ca="1">INDEX('ROTT TO USGC'!$L$6:$U$23,MATCH(MAIN!$I268,'ROTT TO USGC'!$L$6:$L$23,0),8)</f>
        <v>3.9715278886241805</v>
      </c>
      <c r="L268" s="176">
        <f ca="1">INDEX('ROTT TO USGC'!$L$6:$U$23,MATCH(MAIN!$I268,'ROTT TO USGC'!$L$6:$L$23,0),10)</f>
        <v>3.9715278886241805</v>
      </c>
    </row>
    <row r="269" spans="1:13" hidden="1" outlineLevel="1" x14ac:dyDescent="0.25">
      <c r="A269" s="155"/>
      <c r="B269" s="255" t="s">
        <v>57</v>
      </c>
      <c r="C269" s="524"/>
      <c r="D269" s="525"/>
      <c r="E269" t="s">
        <v>57</v>
      </c>
      <c r="F269" s="175">
        <f>INDEX('ROTT TO USGC'!$A$6:$J$23,MATCH(MAIN!E269,'ROTT TO USGC'!$A$6:$A$23,0),6)</f>
        <v>0</v>
      </c>
      <c r="G269" s="178">
        <f>INDEX('ROTT TO USGC'!$A$6:$J$23,MATCH(MAIN!E269,'ROTT TO USGC'!$A$6:$A$23,0),8)</f>
        <v>0</v>
      </c>
      <c r="H269" s="176">
        <f>INDEX('ROTT TO USGC'!$A$6:$J$23,MATCH(MAIN!E269,'ROTT TO USGC'!$A$6:$A$23,0),10)</f>
        <v>0</v>
      </c>
      <c r="I269" s="179" t="s">
        <v>57</v>
      </c>
      <c r="J269" s="175">
        <f>INDEX('ROTT TO USGC'!$L$6:$U$23,MATCH(MAIN!$I269,'ROTT TO USGC'!$L$6:$L$23,0),6)</f>
        <v>0</v>
      </c>
      <c r="K269" s="178">
        <f>INDEX('ROTT TO USGC'!$L$6:$U$23,MATCH(MAIN!$I269,'ROTT TO USGC'!$L$6:$L$23,0),8)</f>
        <v>0</v>
      </c>
      <c r="L269" s="176">
        <f>INDEX('ROTT TO USGC'!$L$6:$U$23,MATCH(MAIN!$I269,'ROTT TO USGC'!$L$6:$L$23,0),10)</f>
        <v>0</v>
      </c>
    </row>
    <row r="270" spans="1:13" hidden="1" outlineLevel="1" x14ac:dyDescent="0.25">
      <c r="A270" s="155"/>
      <c r="B270" s="255" t="s">
        <v>58</v>
      </c>
      <c r="C270" s="524"/>
      <c r="D270" s="525"/>
      <c r="E270" t="s">
        <v>58</v>
      </c>
      <c r="F270" s="175">
        <f ca="1">INDEX('ROTT TO USGC'!$A$6:$J$23,MATCH(MAIN!E270,'ROTT TO USGC'!$A$6:$A$23,0),6)</f>
        <v>0.33226879076086951</v>
      </c>
      <c r="G270" s="178">
        <f ca="1">INDEX('ROTT TO USGC'!$A$6:$J$23,MATCH(MAIN!E270,'ROTT TO USGC'!$A$6:$A$23,0),8)</f>
        <v>0.32945629076086952</v>
      </c>
      <c r="H270" s="176">
        <f ca="1">INDEX('ROTT TO USGC'!$A$6:$J$23,MATCH(MAIN!E270,'ROTT TO USGC'!$A$6:$A$23,0),10)</f>
        <v>0.32945629076086952</v>
      </c>
      <c r="I270" s="179" t="s">
        <v>58</v>
      </c>
      <c r="J270" s="175">
        <f ca="1">INDEX('ROTT TO USGC'!$L$6:$U$23,MATCH(MAIN!$I270,'ROTT TO USGC'!$L$6:$L$23,0),6)</f>
        <v>0.33226879076086951</v>
      </c>
      <c r="K270" s="178">
        <f ca="1">INDEX('ROTT TO USGC'!$L$6:$U$23,MATCH(MAIN!$I270,'ROTT TO USGC'!$L$6:$L$23,0),8)</f>
        <v>0.32945629076086952</v>
      </c>
      <c r="L270" s="176">
        <f ca="1">INDEX('ROTT TO USGC'!$L$6:$U$23,MATCH(MAIN!$I270,'ROTT TO USGC'!$L$6:$L$23,0),10)</f>
        <v>0.32945629076086952</v>
      </c>
    </row>
    <row r="271" spans="1:13" hidden="1" outlineLevel="1" x14ac:dyDescent="0.25">
      <c r="A271" s="155"/>
      <c r="B271" s="255" t="s">
        <v>59</v>
      </c>
      <c r="C271" s="524"/>
      <c r="D271" s="525"/>
      <c r="E271" t="s">
        <v>59</v>
      </c>
      <c r="F271" s="175">
        <f ca="1">INDEX('ROTT TO USGC'!$A$6:$J$23,MATCH(MAIN!E271,'ROTT TO USGC'!$A$6:$A$23,0),6)</f>
        <v>1.1001374999999998</v>
      </c>
      <c r="G271" s="178">
        <f ca="1">INDEX('ROTT TO USGC'!$A$6:$J$23,MATCH(MAIN!E271,'ROTT TO USGC'!$A$6:$A$23,0),8)</f>
        <v>1.1001374999999998</v>
      </c>
      <c r="H271" s="176">
        <f ca="1">INDEX('ROTT TO USGC'!$A$6:$J$23,MATCH(MAIN!E271,'ROTT TO USGC'!$A$6:$A$23,0),10)</f>
        <v>1.0820399999999997</v>
      </c>
      <c r="I271" s="179" t="s">
        <v>59</v>
      </c>
      <c r="J271" s="175">
        <f ca="1">INDEX('ROTT TO USGC'!$L$6:$U$23,MATCH(MAIN!$I271,'ROTT TO USGC'!$L$6:$L$23,0),6)</f>
        <v>1.1001374999999998</v>
      </c>
      <c r="K271" s="178">
        <f ca="1">INDEX('ROTT TO USGC'!$L$6:$U$23,MATCH(MAIN!$I271,'ROTT TO USGC'!$L$6:$L$23,0),8)</f>
        <v>1.1001374999999998</v>
      </c>
      <c r="L271" s="176">
        <f ca="1">INDEX('ROTT TO USGC'!$L$6:$U$23,MATCH(MAIN!$I271,'ROTT TO USGC'!$L$6:$L$23,0),10)</f>
        <v>1.0820399999999997</v>
      </c>
    </row>
    <row r="272" spans="1:13" hidden="1" outlineLevel="1" x14ac:dyDescent="0.25">
      <c r="A272" s="155"/>
      <c r="B272" s="255" t="s">
        <v>60</v>
      </c>
      <c r="C272" s="524"/>
      <c r="D272" s="525"/>
      <c r="E272" t="s">
        <v>60</v>
      </c>
      <c r="F272" s="175">
        <f>INDEX('ROTT TO USGC'!$A$6:$J$23,MATCH(MAIN!E272,'ROTT TO USGC'!$A$6:$A$23,0),6)</f>
        <v>8.3333333333333329E-2</v>
      </c>
      <c r="G272" s="178">
        <f>INDEX('ROTT TO USGC'!$A$6:$J$23,MATCH(MAIN!E272,'ROTT TO USGC'!$A$6:$A$23,0),8)</f>
        <v>8.3333333333333329E-2</v>
      </c>
      <c r="H272" s="176">
        <f>INDEX('ROTT TO USGC'!$A$6:$J$23,MATCH(MAIN!E272,'ROTT TO USGC'!$A$6:$A$23,0),10)</f>
        <v>8.3333333333333329E-2</v>
      </c>
      <c r="I272" s="179" t="s">
        <v>60</v>
      </c>
      <c r="J272" s="175">
        <f>INDEX('ROTT TO USGC'!$L$6:$U$23,MATCH(MAIN!$I272,'ROTT TO USGC'!$L$6:$L$23,0),6)</f>
        <v>0.12755102040816327</v>
      </c>
      <c r="K272" s="178">
        <f>INDEX('ROTT TO USGC'!$L$6:$U$23,MATCH(MAIN!$I272,'ROTT TO USGC'!$L$6:$L$23,0),8)</f>
        <v>0.12755102040816327</v>
      </c>
      <c r="L272" s="176">
        <f>INDEX('ROTT TO USGC'!$L$6:$U$23,MATCH(MAIN!$I272,'ROTT TO USGC'!$L$6:$L$23,0),10)</f>
        <v>0.12755102040816327</v>
      </c>
    </row>
    <row r="273" spans="1:14" hidden="1" outlineLevel="1" x14ac:dyDescent="0.25">
      <c r="A273" s="155"/>
      <c r="B273" s="255" t="s">
        <v>61</v>
      </c>
      <c r="C273" s="524"/>
      <c r="D273" s="525"/>
      <c r="E273" t="s">
        <v>61</v>
      </c>
      <c r="F273" s="175">
        <f>INDEX('ROTT TO USGC'!$A$6:$J$23,MATCH(MAIN!E273,'ROTT TO USGC'!$A$6:$A$23,0),6)</f>
        <v>8.3333333333333332E-3</v>
      </c>
      <c r="G273" s="178">
        <f>INDEX('ROTT TO USGC'!$A$6:$J$23,MATCH(MAIN!E273,'ROTT TO USGC'!$A$6:$A$23,0),8)</f>
        <v>8.3333333333333332E-3</v>
      </c>
      <c r="H273" s="176">
        <f>INDEX('ROTT TO USGC'!$A$6:$J$23,MATCH(MAIN!E273,'ROTT TO USGC'!$A$6:$A$23,0),10)</f>
        <v>8.3333333333333332E-3</v>
      </c>
      <c r="I273" s="179" t="s">
        <v>61</v>
      </c>
      <c r="J273" s="175">
        <f>INDEX('ROTT TO USGC'!$L$6:$U$23,MATCH(MAIN!$I273,'ROTT TO USGC'!$L$6:$L$23,0),6)</f>
        <v>1.2755102040816327E-2</v>
      </c>
      <c r="K273" s="178">
        <f>INDEX('ROTT TO USGC'!$L$6:$U$23,MATCH(MAIN!$I273,'ROTT TO USGC'!$L$6:$L$23,0),8)</f>
        <v>1.2755102040816327E-2</v>
      </c>
      <c r="L273" s="176">
        <f>INDEX('ROTT TO USGC'!$L$6:$U$23,MATCH(MAIN!$I273,'ROTT TO USGC'!$L$6:$L$23,0),10)</f>
        <v>1.2755102040816327E-2</v>
      </c>
    </row>
    <row r="274" spans="1:14" hidden="1" outlineLevel="1" x14ac:dyDescent="0.25">
      <c r="A274" s="155"/>
      <c r="B274" s="255" t="s">
        <v>62</v>
      </c>
      <c r="C274" s="524"/>
      <c r="D274" s="525"/>
      <c r="E274" t="s">
        <v>62</v>
      </c>
      <c r="F274" s="175">
        <f>INDEX('ROTT TO USGC'!$A$6:$J$23,MATCH(MAIN!E274,'ROTT TO USGC'!$A$6:$A$23,0),6)</f>
        <v>8.3333333333333332E-3</v>
      </c>
      <c r="G274" s="178">
        <f>INDEX('ROTT TO USGC'!$A$6:$J$23,MATCH(MAIN!E274,'ROTT TO USGC'!$A$6:$A$23,0),8)</f>
        <v>8.3333333333333332E-3</v>
      </c>
      <c r="H274" s="176">
        <f>INDEX('ROTT TO USGC'!$A$6:$J$23,MATCH(MAIN!E274,'ROTT TO USGC'!$A$6:$A$23,0),10)</f>
        <v>8.3333333333333332E-3</v>
      </c>
      <c r="I274" s="179" t="s">
        <v>62</v>
      </c>
      <c r="J274" s="175">
        <f>INDEX('ROTT TO USGC'!$L$6:$U$23,MATCH(MAIN!$I274,'ROTT TO USGC'!$L$6:$L$23,0),6)</f>
        <v>1.2755102040816327E-2</v>
      </c>
      <c r="K274" s="178">
        <f>INDEX('ROTT TO USGC'!$L$6:$U$23,MATCH(MAIN!$I274,'ROTT TO USGC'!$L$6:$L$23,0),8)</f>
        <v>1.2755102040816327E-2</v>
      </c>
      <c r="L274" s="176">
        <f>INDEX('ROTT TO USGC'!$L$6:$U$23,MATCH(MAIN!$I274,'ROTT TO USGC'!$L$6:$L$23,0),10)</f>
        <v>1.2755102040816327E-2</v>
      </c>
    </row>
    <row r="275" spans="1:14" hidden="1" outlineLevel="1" x14ac:dyDescent="0.25">
      <c r="A275" s="155"/>
      <c r="B275" s="255" t="s">
        <v>63</v>
      </c>
      <c r="C275" s="524"/>
      <c r="D275" s="525"/>
      <c r="E275" t="s">
        <v>63</v>
      </c>
      <c r="F275" s="175">
        <f>INDEX('ROTT TO USGC'!$A$6:$J$23,MATCH(MAIN!E275,'ROTT TO USGC'!$A$6:$A$23,0),6)</f>
        <v>0.1</v>
      </c>
      <c r="G275" s="178">
        <f>INDEX('ROTT TO USGC'!$A$6:$J$23,MATCH(MAIN!E275,'ROTT TO USGC'!$A$6:$A$23,0),8)</f>
        <v>0.1</v>
      </c>
      <c r="H275" s="176">
        <f>INDEX('ROTT TO USGC'!$A$6:$J$23,MATCH(MAIN!E275,'ROTT TO USGC'!$A$6:$A$23,0),10)</f>
        <v>0.1</v>
      </c>
      <c r="I275" s="179" t="s">
        <v>63</v>
      </c>
      <c r="J275" s="175">
        <f>INDEX('ROTT TO USGC'!$L$6:$U$23,MATCH(MAIN!$I275,'ROTT TO USGC'!$L$6:$L$23,0),6)</f>
        <v>0.15306122448979592</v>
      </c>
      <c r="K275" s="178">
        <f>INDEX('ROTT TO USGC'!$L$6:$U$23,MATCH(MAIN!$I275,'ROTT TO USGC'!$L$6:$L$23,0),8)</f>
        <v>0.15306122448979592</v>
      </c>
      <c r="L275" s="176">
        <f>INDEX('ROTT TO USGC'!$L$6:$U$23,MATCH(MAIN!$I275,'ROTT TO USGC'!$L$6:$L$23,0),10)</f>
        <v>0.15306122448979592</v>
      </c>
    </row>
    <row r="276" spans="1:14" hidden="1" outlineLevel="1" x14ac:dyDescent="0.25">
      <c r="A276" s="155"/>
      <c r="B276" s="255" t="s">
        <v>64</v>
      </c>
      <c r="C276" s="524"/>
      <c r="D276" s="525"/>
      <c r="E276" t="s">
        <v>64</v>
      </c>
      <c r="F276" s="175">
        <f>INDEX('ROTT TO USGC'!$A$6:$J$23,MATCH(MAIN!E276,'ROTT TO USGC'!$A$6:$A$23,0),6)</f>
        <v>6.6666666666666666E-2</v>
      </c>
      <c r="G276" s="178">
        <f>INDEX('ROTT TO USGC'!$A$6:$J$23,MATCH(MAIN!E276,'ROTT TO USGC'!$A$6:$A$23,0),8)</f>
        <v>6.6666666666666666E-2</v>
      </c>
      <c r="H276" s="176">
        <f>INDEX('ROTT TO USGC'!$A$6:$J$23,MATCH(MAIN!E276,'ROTT TO USGC'!$A$6:$A$23,0),10)</f>
        <v>6.6666666666666666E-2</v>
      </c>
      <c r="I276" s="179" t="s">
        <v>64</v>
      </c>
      <c r="J276" s="175">
        <f>INDEX('ROTT TO USGC'!$L$6:$U$23,MATCH(MAIN!$I276,'ROTT TO USGC'!$L$6:$L$23,0),6)</f>
        <v>0.10204081632653061</v>
      </c>
      <c r="K276" s="178">
        <f>INDEX('ROTT TO USGC'!$L$6:$U$23,MATCH(MAIN!$I276,'ROTT TO USGC'!$L$6:$L$23,0),8)</f>
        <v>0.10204081632653061</v>
      </c>
      <c r="L276" s="176">
        <f>INDEX('ROTT TO USGC'!$L$6:$U$23,MATCH(MAIN!$I276,'ROTT TO USGC'!$L$6:$L$23,0),10)</f>
        <v>0.10204081632653061</v>
      </c>
    </row>
    <row r="277" spans="1:14" hidden="1" outlineLevel="1" x14ac:dyDescent="0.25">
      <c r="A277" s="155"/>
      <c r="B277" s="255" t="s">
        <v>100</v>
      </c>
      <c r="C277" s="524"/>
      <c r="D277" s="525"/>
      <c r="E277" t="s">
        <v>100</v>
      </c>
      <c r="F277" s="175">
        <f ca="1">INDEX('ROTT TO USGC'!$A$6:$J$23,MATCH(MAIN!E277,'ROTT TO USGC'!$A$6:$A$23,0),6)</f>
        <v>38.363171622307433</v>
      </c>
      <c r="G277" s="178">
        <f ca="1">INDEX('ROTT TO USGC'!$A$6:$J$23,MATCH(MAIN!E277,'ROTT TO USGC'!$A$6:$A$23,0),8)</f>
        <v>38.326455012718384</v>
      </c>
      <c r="H277" s="176">
        <f ca="1">INDEX('ROTT TO USGC'!$A$6:$J$23,MATCH(MAIN!E277,'ROTT TO USGC'!$A$6:$A$23,0),10)</f>
        <v>38.308357512718381</v>
      </c>
      <c r="I277" s="179" t="s">
        <v>100</v>
      </c>
      <c r="J277" s="175">
        <f ca="1">INDEX('ROTT TO USGC'!$L$6:$U$23,MATCH(MAIN!$I277,'ROTT TO USGC'!$L$6:$L$23,0),6)</f>
        <v>27.373552574688379</v>
      </c>
      <c r="K277" s="178">
        <f ca="1">INDEX('ROTT TO USGC'!$L$6:$U$23,MATCH(MAIN!$I277,'ROTT TO USGC'!$L$6:$L$23,0),8)</f>
        <v>27.336835965099336</v>
      </c>
      <c r="L277" s="176">
        <f ca="1">INDEX('ROTT TO USGC'!$L$6:$U$23,MATCH(MAIN!$I277,'ROTT TO USGC'!$L$6:$L$23,0),10)</f>
        <v>27.318738465099337</v>
      </c>
    </row>
    <row r="278" spans="1:14" hidden="1" outlineLevel="1" x14ac:dyDescent="0.25">
      <c r="A278" s="155"/>
      <c r="B278" s="255" t="s">
        <v>101</v>
      </c>
      <c r="C278" s="524"/>
      <c r="D278" s="525"/>
      <c r="E278" t="s">
        <v>101</v>
      </c>
      <c r="F278" s="175">
        <f ca="1">INDEX('ROTT TO USGC'!$A$6:$J$23,MATCH(MAIN!E278,'ROTT TO USGC'!$A$6:$A$23,0),6)</f>
        <v>21.558249999999997</v>
      </c>
      <c r="G278" s="178">
        <f ca="1">INDEX('ROTT TO USGC'!$A$6:$J$23,MATCH(MAIN!E278,'ROTT TO USGC'!$A$6:$A$23,0),8)</f>
        <v>16.509999999999994</v>
      </c>
      <c r="H278" s="176">
        <f ca="1">INDEX('ROTT TO USGC'!$A$6:$J$23,MATCH(MAIN!E278,'ROTT TO USGC'!$A$6:$A$23,0),10)</f>
        <v>16.509999999999994</v>
      </c>
      <c r="I278" s="179" t="s">
        <v>101</v>
      </c>
      <c r="J278" s="175">
        <f ca="1">INDEX('ROTT TO USGC'!$L$6:$U$23,MATCH(MAIN!$I278,'ROTT TO USGC'!$L$6:$L$23,0),6)</f>
        <v>21.558249999999997</v>
      </c>
      <c r="K278" s="178">
        <f ca="1">INDEX('ROTT TO USGC'!$L$6:$U$23,MATCH(MAIN!$I278,'ROTT TO USGC'!$L$6:$L$23,0),8)</f>
        <v>16.509999999999994</v>
      </c>
      <c r="L278" s="176">
        <f ca="1">INDEX('ROTT TO USGC'!$L$6:$U$23,MATCH(MAIN!$I278,'ROTT TO USGC'!$L$6:$L$23,0),10)</f>
        <v>16.509999999999994</v>
      </c>
    </row>
    <row r="279" spans="1:14" hidden="1" outlineLevel="1" x14ac:dyDescent="0.25">
      <c r="A279" s="155"/>
      <c r="B279" s="255" t="s">
        <v>113</v>
      </c>
      <c r="C279" s="524"/>
      <c r="D279" s="525"/>
      <c r="E279" t="s">
        <v>113</v>
      </c>
      <c r="F279" s="175">
        <f ca="1">INDEX('ROTT TO USGC'!$A$6:$J$23,MATCH(MAIN!E279,'ROTT TO USGC'!$A$6:$A$23,0),6)</f>
        <v>-16.804921622307436</v>
      </c>
      <c r="G279" s="178">
        <f ca="1">INDEX('ROTT TO USGC'!$A$6:$J$23,MATCH(MAIN!E279,'ROTT TO USGC'!$A$6:$A$23,0),8)</f>
        <v>-21.816455012718389</v>
      </c>
      <c r="H279" s="176">
        <f ca="1">INDEX('ROTT TO USGC'!$A$6:$J$23,MATCH(MAIN!E279,'ROTT TO USGC'!$A$6:$A$23,0),10)</f>
        <v>-21.798357512718386</v>
      </c>
      <c r="I279" s="179" t="s">
        <v>113</v>
      </c>
      <c r="J279" s="175">
        <f ca="1">INDEX('ROTT TO USGC'!$L$6:$U$23,MATCH(MAIN!$I279,'ROTT TO USGC'!$L$6:$L$23,0),6)</f>
        <v>-5.8153025746883813</v>
      </c>
      <c r="K279" s="178">
        <f ca="1">INDEX('ROTT TO USGC'!$L$6:$U$23,MATCH(MAIN!$I279,'ROTT TO USGC'!$L$6:$L$23,0),8)</f>
        <v>-10.826835965099342</v>
      </c>
      <c r="L279" s="176">
        <f ca="1">INDEX('ROTT TO USGC'!$L$6:$U$23,MATCH(MAIN!$I279,'ROTT TO USGC'!$L$6:$L$23,0),10)</f>
        <v>-10.808738465099342</v>
      </c>
    </row>
    <row r="280" spans="1:14" ht="15.75" hidden="1" outlineLevel="1" thickBot="1" x14ac:dyDescent="0.3">
      <c r="A280" s="155"/>
      <c r="B280" s="255" t="s">
        <v>126</v>
      </c>
      <c r="C280" s="524"/>
      <c r="D280" s="525"/>
      <c r="E280" t="s">
        <v>126</v>
      </c>
      <c r="F280" s="217">
        <f ca="1">F258</f>
        <v>45934</v>
      </c>
      <c r="G280" s="217">
        <f t="shared" ref="G280:H280" ca="1" si="10">G258</f>
        <v>45948</v>
      </c>
      <c r="H280" s="217">
        <f t="shared" ca="1" si="10"/>
        <v>45962</v>
      </c>
      <c r="I280" s="220" t="str">
        <f>I254</f>
        <v>ROLL</v>
      </c>
      <c r="J280" s="217">
        <f ca="1">J234</f>
        <v>45934</v>
      </c>
      <c r="K280" s="217">
        <f ca="1">K234</f>
        <v>45948</v>
      </c>
      <c r="L280" s="217">
        <f ca="1">L234</f>
        <v>45962</v>
      </c>
    </row>
    <row r="281" spans="1:14" collapsed="1" x14ac:dyDescent="0.25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</row>
    <row r="283" spans="1:14" ht="15.75" thickBot="1" x14ac:dyDescent="0.3"/>
    <row r="284" spans="1:14" ht="15.75" thickBot="1" x14ac:dyDescent="0.3">
      <c r="A284" s="542" t="s">
        <v>242</v>
      </c>
      <c r="B284" s="481"/>
      <c r="C284" s="543"/>
      <c r="D284" s="544"/>
      <c r="E284" s="481"/>
      <c r="F284" s="545" t="s">
        <v>129</v>
      </c>
      <c r="G284" s="546"/>
      <c r="H284" s="547"/>
      <c r="I284" s="481"/>
      <c r="J284" s="545" t="s">
        <v>130</v>
      </c>
      <c r="K284" s="546"/>
      <c r="L284" s="547"/>
    </row>
    <row r="285" spans="1:14" ht="15.75" thickBot="1" x14ac:dyDescent="0.3">
      <c r="A285" s="542"/>
      <c r="B285" s="482" t="s">
        <v>184</v>
      </c>
      <c r="C285" s="483"/>
      <c r="D285" s="484"/>
      <c r="E285" s="481"/>
      <c r="F285" s="485" t="str">
        <f ca="1">IF(DAY(F286)&lt;15,"1H-"&amp;VLOOKUP(MONTH(F286),Mapping!$A$1:$B$12,2,0),"2H-"&amp;VLOOKUP(MONTH(F286),Mapping!$A$1:$B$12,2,0))</f>
        <v>2H-SEP</v>
      </c>
      <c r="G285" s="486" t="str">
        <f ca="1">IF(DAY(G286)&lt;15,"1H-"&amp;VLOOKUP(MONTH(G286),Mapping!$A$1:$B$12,2,0),"2H-"&amp;VLOOKUP(MONTH(G286),Mapping!$A$1:$B$12,2,0))</f>
        <v>1H-OCT</v>
      </c>
      <c r="H285" s="487" t="str">
        <f ca="1">IF(DAY(H286)&lt;15,"1H-"&amp;VLOOKUP(MONTH(H286),Mapping!$A$1:$B$12,2,0),"2H-"&amp;VLOOKUP(MONTH(H286),Mapping!$A$1:$B$12,2,0))</f>
        <v>2H-OCT</v>
      </c>
      <c r="I285" s="488" t="e">
        <f>IF(DAY(I286)&lt;15,"1H-"&amp;VLOOKUP(MONTH(I286),Mapping!$A$1:$B$12,2,0),"2H-"&amp;VLOOKUP(MONTH(I286),Mapping!$A$1:$B$12,2,0))</f>
        <v>#NUM!</v>
      </c>
      <c r="J285" s="485" t="str">
        <f ca="1">IF(DAY(J286)&lt;15,"1H-"&amp;VLOOKUP(MONTH(J286),Mapping!$A$1:$B$12,2,0),"2H-"&amp;VLOOKUP(MONTH(J286),Mapping!$A$1:$B$12,2,0))</f>
        <v>2H-SEP</v>
      </c>
      <c r="K285" s="486" t="str">
        <f ca="1">IF(DAY(K286)&lt;15,"1H-"&amp;VLOOKUP(MONTH(K286),Mapping!$A$1:$B$12,2,0),"2H-"&amp;VLOOKUP(MONTH(K286),Mapping!$A$1:$B$12,2,0))</f>
        <v>1H-OCT</v>
      </c>
      <c r="L285" s="487" t="str">
        <f ca="1">IF(DAY(L286)&lt;15,"1H-"&amp;VLOOKUP(MONTH(L286),Mapping!$A$1:$B$12,2,0),"2H-"&amp;VLOOKUP(MONTH(L286),Mapping!$A$1:$B$12,2,0))</f>
        <v>2H-OCT</v>
      </c>
    </row>
    <row r="286" spans="1:14" x14ac:dyDescent="0.25">
      <c r="C286" s="522"/>
      <c r="D286" s="523"/>
      <c r="F286" s="505">
        <f ca="1">'Loading Arrival'!L3</f>
        <v>45918</v>
      </c>
      <c r="G286" s="506">
        <f ca="1">'Loading Arrival'!M3</f>
        <v>45932</v>
      </c>
      <c r="H286" s="507">
        <f ca="1">'Loading Arrival'!N3</f>
        <v>45946</v>
      </c>
      <c r="I286" s="164" t="e">
        <f>I237</f>
        <v>#NUM!</v>
      </c>
      <c r="J286" s="194">
        <f ca="1">F286</f>
        <v>45918</v>
      </c>
      <c r="K286" s="194">
        <f ca="1">G286</f>
        <v>45932</v>
      </c>
      <c r="L286" s="194">
        <f ca="1">H286</f>
        <v>45946</v>
      </c>
      <c r="N286" t="s">
        <v>274</v>
      </c>
    </row>
    <row r="287" spans="1:14" x14ac:dyDescent="0.25">
      <c r="A287" s="199" t="s">
        <v>227</v>
      </c>
      <c r="B287" s="168"/>
      <c r="C287" s="524"/>
      <c r="D287" s="525"/>
      <c r="F287" s="508" t="e">
        <f ca="1">F307+F288-F289</f>
        <v>#N/A</v>
      </c>
      <c r="G287" s="508" t="e">
        <f ca="1">G307+G288-G289</f>
        <v>#N/A</v>
      </c>
      <c r="H287" s="509" t="e">
        <f ca="1">H307+H288-H289</f>
        <v>#N/A</v>
      </c>
      <c r="I287" s="165"/>
      <c r="J287" s="160">
        <f ca="1">J307+J288-J289</f>
        <v>-10.179511374755453</v>
      </c>
      <c r="K287" s="160">
        <f ca="1">K307+K288-K289</f>
        <v>-17.597949730919851</v>
      </c>
      <c r="L287" s="161">
        <f ca="1">L307+L288-L289</f>
        <v>-17.597949730919851</v>
      </c>
    </row>
    <row r="288" spans="1:14" x14ac:dyDescent="0.25">
      <c r="A288" s="155"/>
      <c r="B288" s="169" t="s">
        <v>133</v>
      </c>
      <c r="C288" s="524"/>
      <c r="D288" s="525"/>
      <c r="E288" s="177" t="s">
        <v>128</v>
      </c>
      <c r="F288" s="510">
        <f ca="1">INDEX(Premium!$A$2:$D$15,MATCH(MAIN!$A287,Premium!$A$2:$A$15,0),MATCH(EOMONTH(F286,-1)+1,Premium!$A$2:$D$2,0))</f>
        <v>1.65</v>
      </c>
      <c r="G288" s="510">
        <f ca="1">INDEX(Premium!$A$2:$D$15,MATCH(MAIN!$A287,Premium!$A$2:$A$15,0),MATCH(EOMONTH(G286,-1)+1,Premium!$A$2:$D$2,0))</f>
        <v>0.95</v>
      </c>
      <c r="H288" s="510">
        <f ca="1">INDEX(Premium!$A$2:$D$15,MATCH(MAIN!$A287,Premium!$A$2:$A$15,0),MATCH(EOMONTH(H286,-1)+1,Premium!$A$2:$D$2,0))</f>
        <v>0.95</v>
      </c>
      <c r="I288" s="179" t="s">
        <v>128</v>
      </c>
      <c r="J288" s="175">
        <f ca="1">INDEX(Premium!$A$2:$D$15,MATCH(MAIN!$A287,Premium!$A$2:$A$15,0),MATCH(EOMONTH(J286,-1)+1,Premium!$A$2:$D$2,0))</f>
        <v>1.65</v>
      </c>
      <c r="K288" s="175">
        <f ca="1">INDEX(Premium!$A$2:$D$15,MATCH(MAIN!$A287,Premium!$A$2:$A$15,0),MATCH(EOMONTH(K286,-1)+1,Premium!$A$2:$D$2,0))</f>
        <v>0.95</v>
      </c>
      <c r="L288" s="175">
        <f ca="1">INDEX(Premium!$A$2:$D$15,MATCH(MAIN!$A287,Premium!$A$2:$A$15,0),MATCH(EOMONTH(L286,-1)+1,Premium!$A$2:$D$2,0))</f>
        <v>0.95</v>
      </c>
    </row>
    <row r="289" spans="1:12" ht="15.75" thickBot="1" x14ac:dyDescent="0.3">
      <c r="A289" s="155"/>
      <c r="B289" s="170" t="s">
        <v>132</v>
      </c>
      <c r="C289" s="524"/>
      <c r="D289" s="525"/>
      <c r="E289" s="177" t="s">
        <v>273</v>
      </c>
      <c r="F289" s="511" t="e">
        <f>INDEX(Premium!$A$21:$D$31,MATCH(MAIN!$A207,Premium!$A$21:$A$31,0),MATCH(EOMONTH(MAIN!F308,-1)+1,Premium!$A$21:$D$21,0))</f>
        <v>#N/A</v>
      </c>
      <c r="G289" s="511" t="e">
        <f>INDEX(Premium!$A$21:$D$31,MATCH(MAIN!$A207,Premium!$A$21:$A$31,0),MATCH(EOMONTH(MAIN!G308,-1)+1,Premium!$A$21:$D$21,0))</f>
        <v>#N/A</v>
      </c>
      <c r="H289" s="511" t="e">
        <f>INDEX(Premium!$A$21:$D$31,MATCH(MAIN!$A207,Premium!$A$21:$A$31,0),MATCH(EOMONTH(MAIN!H308,-1)+1,Premium!$A$21:$D$21,0))</f>
        <v>#N/A</v>
      </c>
      <c r="I289" s="180" t="e">
        <f>INDEX(Premium!$A$21:$D$31,MATCH(MAIN!$A207,Premium!$A$21:$A$31,0),MATCH(EOMONTH(MAIN!I308,-1)+1,Premium!$A$21:$D$21,0))</f>
        <v>#N/A</v>
      </c>
      <c r="J289" s="180">
        <f ca="1">INDEX(Premium!$A$21:$D$34,MATCH(MAIN!$A152,Premium!$A$21:$A$34,0),MATCH(EOMONTH(MAIN!J308,-1)+1,Premium!$A$21:$D$21,0))</f>
        <v>-7.25</v>
      </c>
      <c r="K289" s="180">
        <f ca="1">INDEX(Premium!$A$21:$D$34,MATCH(MAIN!$A152,Premium!$A$21:$A$34,0),MATCH(EOMONTH(MAIN!K308,-1)+1,Premium!$A$21:$D$21,0))</f>
        <v>-7.25</v>
      </c>
      <c r="L289" s="180">
        <f ca="1">INDEX(Premium!$A$21:$D$34,MATCH(MAIN!$A152,Premium!$A$21:$A$34,0),MATCH(EOMONTH(MAIN!L308,-1)+1,Premium!$A$21:$D$21,0))</f>
        <v>-7.25</v>
      </c>
    </row>
    <row r="290" spans="1:12" hidden="1" outlineLevel="1" x14ac:dyDescent="0.25">
      <c r="A290" s="155"/>
      <c r="B290" s="254" t="s">
        <v>53</v>
      </c>
      <c r="C290" s="524"/>
      <c r="D290" s="525"/>
      <c r="E290" s="6" t="s">
        <v>53</v>
      </c>
      <c r="F290" s="512"/>
      <c r="G290" s="513"/>
      <c r="H290" s="514"/>
      <c r="I290" s="242">
        <f>INDEX('SKIKDA TO USGC'!$A$6:$J$23,MATCH(MAIN!$E290,'SKIKDA TO USGC'!$A$6:$A$23,0),9)</f>
        <v>13.222857142857142</v>
      </c>
      <c r="J290" s="234">
        <f>INDEX('SKIKDA TO USGC'!$A$6:$J$23,MATCH(MAIN!$E290,'SKIKDA TO USGC'!$A$6:$A$23,0),5)</f>
        <v>13.222857142857142</v>
      </c>
      <c r="K290" s="241">
        <f>INDEX('SKIKDA TO USGC'!$A$6:$J$23,MATCH(MAIN!$E290,'SKIKDA TO USGC'!$A$6:$A$23,0),7)</f>
        <v>13.222857142857142</v>
      </c>
      <c r="L290" s="242">
        <f>INDEX('SKIKDA TO USGC'!$A$6:$J$23,MATCH(MAIN!$E290,'SKIKDA TO USGC'!$A$6:$A$23,0),9)</f>
        <v>13.222857142857142</v>
      </c>
    </row>
    <row r="291" spans="1:12" hidden="1" outlineLevel="1" x14ac:dyDescent="0.25">
      <c r="A291" s="155"/>
      <c r="B291" s="255" t="s">
        <v>54</v>
      </c>
      <c r="C291" s="524"/>
      <c r="D291" s="525"/>
      <c r="E291" t="s">
        <v>54</v>
      </c>
      <c r="F291" s="510"/>
      <c r="G291" s="515"/>
      <c r="H291" s="516"/>
      <c r="I291" s="179" t="s">
        <v>54</v>
      </c>
      <c r="J291" s="175">
        <f>INDEX('SKIKDA TO USGC'!$A$6:$J$23,MATCH(MAIN!$E291,'SKIKDA TO USGC'!$A$6:$A$23,0),5)</f>
        <v>0</v>
      </c>
      <c r="K291" s="178">
        <f>INDEX('SKIKDA TO USGC'!$A$6:$J$23,MATCH(MAIN!$E291,'SKIKDA TO USGC'!$A$6:$A$23,0),7)</f>
        <v>0</v>
      </c>
      <c r="L291" s="176">
        <f>INDEX('SKIKDA TO USGC'!$A$6:$J$23,MATCH(MAIN!$E291,'SKIKDA TO USGC'!$A$6:$A$23,0),9)</f>
        <v>0</v>
      </c>
    </row>
    <row r="292" spans="1:12" hidden="1" outlineLevel="1" x14ac:dyDescent="0.25">
      <c r="A292" s="155"/>
      <c r="B292" s="255" t="s">
        <v>55</v>
      </c>
      <c r="C292" s="524"/>
      <c r="D292" s="525"/>
      <c r="E292" t="s">
        <v>55</v>
      </c>
      <c r="F292" s="510"/>
      <c r="G292" s="515"/>
      <c r="H292" s="516"/>
      <c r="I292" s="179" t="s">
        <v>55</v>
      </c>
      <c r="J292" s="175">
        <f>INDEX('SKIKDA TO USGC'!$A$6:$J$23,MATCH(MAIN!$E292,'SKIKDA TO USGC'!$A$6:$A$23,0),5)</f>
        <v>2.3214285714285716</v>
      </c>
      <c r="K292" s="178">
        <f>INDEX('SKIKDA TO USGC'!$A$6:$J$23,MATCH(MAIN!$E292,'SKIKDA TO USGC'!$A$6:$A$23,0),7)</f>
        <v>2.3214285714285716</v>
      </c>
      <c r="L292" s="176">
        <f>INDEX('SKIKDA TO USGC'!$A$6:$J$23,MATCH(MAIN!$E292,'SKIKDA TO USGC'!$A$6:$A$23,0),9)</f>
        <v>2.3214285714285716</v>
      </c>
    </row>
    <row r="293" spans="1:12" hidden="1" outlineLevel="1" x14ac:dyDescent="0.25">
      <c r="A293" s="155"/>
      <c r="B293" s="255" t="s">
        <v>56</v>
      </c>
      <c r="C293" s="524"/>
      <c r="D293" s="525"/>
      <c r="E293" t="s">
        <v>56</v>
      </c>
      <c r="F293" s="510"/>
      <c r="G293" s="515"/>
      <c r="H293" s="516"/>
      <c r="I293" s="179" t="s">
        <v>56</v>
      </c>
      <c r="J293" s="175">
        <f>INDEX('SKIKDA TO USGC'!$A$6:$J$23,MATCH(MAIN!$E293,'SKIKDA TO USGC'!$A$6:$A$23,0),5)</f>
        <v>0.15306122448979592</v>
      </c>
      <c r="K293" s="178">
        <f>INDEX('SKIKDA TO USGC'!$A$6:$J$23,MATCH(MAIN!$E293,'SKIKDA TO USGC'!$A$6:$A$23,0),7)</f>
        <v>0.15306122448979592</v>
      </c>
      <c r="L293" s="176">
        <f>INDEX('SKIKDA TO USGC'!$A$6:$J$23,MATCH(MAIN!$E293,'SKIKDA TO USGC'!$A$6:$A$23,0),9)</f>
        <v>0.15306122448979592</v>
      </c>
    </row>
    <row r="294" spans="1:12" hidden="1" outlineLevel="1" x14ac:dyDescent="0.25">
      <c r="A294" s="155"/>
      <c r="B294" s="255" t="s">
        <v>124</v>
      </c>
      <c r="C294" s="524"/>
      <c r="D294" s="525"/>
      <c r="E294" t="s">
        <v>124</v>
      </c>
      <c r="F294" s="510"/>
      <c r="G294" s="515"/>
      <c r="H294" s="516"/>
      <c r="I294" s="179" t="s">
        <v>124</v>
      </c>
      <c r="J294" s="175">
        <f>INDEX('SKIKDA TO USGC'!$A$6:$J$23,MATCH(MAIN!$E294,'SKIKDA TO USGC'!$A$6:$A$23,0),5)</f>
        <v>0.25510204081632654</v>
      </c>
      <c r="K294" s="178">
        <f>INDEX('SKIKDA TO USGC'!$A$6:$J$23,MATCH(MAIN!$E294,'SKIKDA TO USGC'!$A$6:$A$23,0),7)</f>
        <v>0.25510204081632654</v>
      </c>
      <c r="L294" s="176">
        <f>INDEX('SKIKDA TO USGC'!$A$6:$J$23,MATCH(MAIN!$E294,'SKIKDA TO USGC'!$A$6:$A$23,0),9)</f>
        <v>0.25510204081632654</v>
      </c>
    </row>
    <row r="295" spans="1:12" hidden="1" outlineLevel="1" x14ac:dyDescent="0.25">
      <c r="A295" s="155"/>
      <c r="B295" s="255" t="s">
        <v>125</v>
      </c>
      <c r="C295" s="524"/>
      <c r="D295" s="525"/>
      <c r="E295" t="s">
        <v>125</v>
      </c>
      <c r="F295" s="510"/>
      <c r="G295" s="515"/>
      <c r="H295" s="516"/>
      <c r="I295" s="179" t="s">
        <v>125</v>
      </c>
      <c r="J295" s="175">
        <f>INDEX('SKIKDA TO USGC'!$A$6:$J$23,MATCH(MAIN!$E295,'SKIKDA TO USGC'!$A$6:$A$23,0),5)</f>
        <v>0.25510204081632654</v>
      </c>
      <c r="K295" s="178">
        <f>INDEX('SKIKDA TO USGC'!$A$6:$J$23,MATCH(MAIN!$E295,'SKIKDA TO USGC'!$A$6:$A$23,0),7)</f>
        <v>0.25510204081632654</v>
      </c>
      <c r="L295" s="176">
        <f>INDEX('SKIKDA TO USGC'!$A$6:$J$23,MATCH(MAIN!$E295,'SKIKDA TO USGC'!$A$6:$A$23,0),9)</f>
        <v>0.25510204081632654</v>
      </c>
    </row>
    <row r="296" spans="1:12" hidden="1" outlineLevel="1" x14ac:dyDescent="0.25">
      <c r="A296" s="155"/>
      <c r="B296" s="255" t="s">
        <v>81</v>
      </c>
      <c r="C296" s="524"/>
      <c r="D296" s="525"/>
      <c r="E296" t="s">
        <v>81</v>
      </c>
      <c r="F296" s="510"/>
      <c r="G296" s="515"/>
      <c r="H296" s="516"/>
      <c r="I296" s="179" t="s">
        <v>81</v>
      </c>
      <c r="J296" s="175">
        <f ca="1">INDEX('SKIKDA TO USGC'!$A$6:$J$23,MATCH(MAIN!$E296,'SKIKDA TO USGC'!$A$6:$A$23,0),5)</f>
        <v>3.379109589041096</v>
      </c>
      <c r="K296" s="178">
        <f ca="1">INDEX('SKIKDA TO USGC'!$A$6:$J$23,MATCH(MAIN!$E296,'SKIKDA TO USGC'!$A$6:$A$23,0),7)</f>
        <v>3.3655479452054795</v>
      </c>
      <c r="L296" s="176">
        <f ca="1">INDEX('SKIKDA TO USGC'!$A$6:$J$23,MATCH(MAIN!$E296,'SKIKDA TO USGC'!$A$6:$A$23,0),9)</f>
        <v>3.3655479452054795</v>
      </c>
    </row>
    <row r="297" spans="1:12" hidden="1" outlineLevel="1" x14ac:dyDescent="0.25">
      <c r="A297" s="155"/>
      <c r="B297" s="255" t="s">
        <v>57</v>
      </c>
      <c r="C297" s="524"/>
      <c r="D297" s="525"/>
      <c r="E297" t="s">
        <v>57</v>
      </c>
      <c r="F297" s="510"/>
      <c r="G297" s="515"/>
      <c r="H297" s="516"/>
      <c r="I297" s="179" t="s">
        <v>57</v>
      </c>
      <c r="J297" s="175">
        <f>INDEX('SKIKDA TO USGC'!$A$6:$J$23,MATCH(MAIN!$E297,'SKIKDA TO USGC'!$A$6:$A$23,0),5)</f>
        <v>0</v>
      </c>
      <c r="K297" s="178">
        <f>INDEX('SKIKDA TO USGC'!$A$6:$J$23,MATCH(MAIN!$E297,'SKIKDA TO USGC'!$A$6:$A$23,0),7)</f>
        <v>0</v>
      </c>
      <c r="L297" s="176">
        <f>INDEX('SKIKDA TO USGC'!$A$6:$J$23,MATCH(MAIN!$E297,'SKIKDA TO USGC'!$A$6:$A$23,0),9)</f>
        <v>0</v>
      </c>
    </row>
    <row r="298" spans="1:12" hidden="1" outlineLevel="1" x14ac:dyDescent="0.25">
      <c r="A298" s="155"/>
      <c r="B298" s="255" t="s">
        <v>58</v>
      </c>
      <c r="C298" s="524"/>
      <c r="D298" s="525"/>
      <c r="E298" t="s">
        <v>58</v>
      </c>
      <c r="F298" s="510"/>
      <c r="G298" s="515"/>
      <c r="H298" s="516"/>
      <c r="I298" s="179" t="s">
        <v>58</v>
      </c>
      <c r="J298" s="175">
        <f ca="1">INDEX('SKIKDA TO USGC'!$A$6:$J$23,MATCH(MAIN!$E298,'SKIKDA TO USGC'!$A$6:$A$23,0),5)</f>
        <v>0.28031250000000002</v>
      </c>
      <c r="K298" s="178">
        <f ca="1">INDEX('SKIKDA TO USGC'!$A$6:$J$23,MATCH(MAIN!$E298,'SKIKDA TO USGC'!$A$6:$A$23,0),7)</f>
        <v>0.27918750000000003</v>
      </c>
      <c r="L298" s="176">
        <f ca="1">INDEX('SKIKDA TO USGC'!$A$6:$J$23,MATCH(MAIN!$E298,'SKIKDA TO USGC'!$A$6:$A$23,0),9)</f>
        <v>0.27918750000000003</v>
      </c>
    </row>
    <row r="299" spans="1:12" hidden="1" outlineLevel="1" x14ac:dyDescent="0.25">
      <c r="A299" s="155"/>
      <c r="B299" s="255" t="s">
        <v>59</v>
      </c>
      <c r="C299" s="524"/>
      <c r="D299" s="525"/>
      <c r="E299" t="s">
        <v>59</v>
      </c>
      <c r="F299" s="510"/>
      <c r="G299" s="515"/>
      <c r="H299" s="516"/>
      <c r="I299" s="179" t="s">
        <v>59</v>
      </c>
      <c r="J299" s="175">
        <f ca="1">INDEX('SKIKDA TO USGC'!$A$6:$J$23,MATCH(MAIN!$E299,'SKIKDA TO USGC'!$A$6:$A$23,0),5)</f>
        <v>0</v>
      </c>
      <c r="K299" s="178">
        <f ca="1">INDEX('SKIKDA TO USGC'!$A$6:$J$23,MATCH(MAIN!$E299,'SKIKDA TO USGC'!$A$6:$A$23,0),7)</f>
        <v>0</v>
      </c>
      <c r="L299" s="176">
        <f ca="1">INDEX('SKIKDA TO USGC'!$A$6:$J$23,MATCH(MAIN!$E299,'SKIKDA TO USGC'!$A$6:$A$23,0),9)</f>
        <v>0</v>
      </c>
    </row>
    <row r="300" spans="1:12" hidden="1" outlineLevel="1" x14ac:dyDescent="0.25">
      <c r="A300" s="155"/>
      <c r="B300" s="255" t="s">
        <v>60</v>
      </c>
      <c r="C300" s="524"/>
      <c r="D300" s="525"/>
      <c r="E300" t="s">
        <v>60</v>
      </c>
      <c r="F300" s="510"/>
      <c r="G300" s="515"/>
      <c r="H300" s="516"/>
      <c r="I300" s="179" t="s">
        <v>60</v>
      </c>
      <c r="J300" s="175">
        <f>INDEX('SKIKDA TO USGC'!$A$6:$J$23,MATCH(MAIN!$E300,'SKIKDA TO USGC'!$A$6:$A$23,0),5)</f>
        <v>0.12755102040816327</v>
      </c>
      <c r="K300" s="178">
        <f>INDEX('SKIKDA TO USGC'!$A$6:$J$23,MATCH(MAIN!$E300,'SKIKDA TO USGC'!$A$6:$A$23,0),7)</f>
        <v>0.12755102040816327</v>
      </c>
      <c r="L300" s="176">
        <f>INDEX('SKIKDA TO USGC'!$A$6:$J$23,MATCH(MAIN!$E300,'SKIKDA TO USGC'!$A$6:$A$23,0),9)</f>
        <v>0.12755102040816327</v>
      </c>
    </row>
    <row r="301" spans="1:12" hidden="1" outlineLevel="1" x14ac:dyDescent="0.25">
      <c r="A301" s="155"/>
      <c r="B301" s="255" t="s">
        <v>61</v>
      </c>
      <c r="C301" s="524"/>
      <c r="D301" s="525"/>
      <c r="E301" t="s">
        <v>61</v>
      </c>
      <c r="F301" s="510"/>
      <c r="G301" s="515"/>
      <c r="H301" s="516"/>
      <c r="I301" s="179" t="s">
        <v>61</v>
      </c>
      <c r="J301" s="175">
        <f>INDEX('SKIKDA TO USGC'!$A$6:$J$23,MATCH(MAIN!$E301,'SKIKDA TO USGC'!$A$6:$A$23,0),5)</f>
        <v>1.2755102040816327E-2</v>
      </c>
      <c r="K301" s="178">
        <f>INDEX('SKIKDA TO USGC'!$A$6:$J$23,MATCH(MAIN!$E301,'SKIKDA TO USGC'!$A$6:$A$23,0),7)</f>
        <v>1.2755102040816327E-2</v>
      </c>
      <c r="L301" s="176">
        <f>INDEX('SKIKDA TO USGC'!$A$6:$J$23,MATCH(MAIN!$E301,'SKIKDA TO USGC'!$A$6:$A$23,0),9)</f>
        <v>1.2755102040816327E-2</v>
      </c>
    </row>
    <row r="302" spans="1:12" hidden="1" outlineLevel="1" x14ac:dyDescent="0.25">
      <c r="A302" s="155"/>
      <c r="B302" s="255" t="s">
        <v>62</v>
      </c>
      <c r="C302" s="524"/>
      <c r="D302" s="525"/>
      <c r="E302" t="s">
        <v>62</v>
      </c>
      <c r="F302" s="510"/>
      <c r="G302" s="515"/>
      <c r="H302" s="516"/>
      <c r="I302" s="179" t="s">
        <v>62</v>
      </c>
      <c r="J302" s="175">
        <f>INDEX('SKIKDA TO USGC'!$A$6:$J$23,MATCH(MAIN!$E302,'SKIKDA TO USGC'!$A$6:$A$23,0),5)</f>
        <v>1.2755102040816327E-2</v>
      </c>
      <c r="K302" s="178">
        <f>INDEX('SKIKDA TO USGC'!$A$6:$J$23,MATCH(MAIN!$E302,'SKIKDA TO USGC'!$A$6:$A$23,0),7)</f>
        <v>1.2755102040816327E-2</v>
      </c>
      <c r="L302" s="176">
        <f>INDEX('SKIKDA TO USGC'!$A$6:$J$23,MATCH(MAIN!$E302,'SKIKDA TO USGC'!$A$6:$A$23,0),9)</f>
        <v>1.2755102040816327E-2</v>
      </c>
    </row>
    <row r="303" spans="1:12" hidden="1" outlineLevel="1" x14ac:dyDescent="0.25">
      <c r="A303" s="155"/>
      <c r="B303" s="255" t="s">
        <v>63</v>
      </c>
      <c r="C303" s="524"/>
      <c r="D303" s="525"/>
      <c r="E303" t="s">
        <v>63</v>
      </c>
      <c r="F303" s="510"/>
      <c r="G303" s="515"/>
      <c r="H303" s="516"/>
      <c r="I303" s="179" t="s">
        <v>63</v>
      </c>
      <c r="J303" s="175">
        <f>INDEX('SKIKDA TO USGC'!$A$6:$J$23,MATCH(MAIN!$E303,'SKIKDA TO USGC'!$A$6:$A$23,0),5)</f>
        <v>0.15306122448979592</v>
      </c>
      <c r="K303" s="178">
        <f>INDEX('SKIKDA TO USGC'!$A$6:$J$23,MATCH(MAIN!$E303,'SKIKDA TO USGC'!$A$6:$A$23,0),7)</f>
        <v>0.15306122448979592</v>
      </c>
      <c r="L303" s="176">
        <f>INDEX('SKIKDA TO USGC'!$A$6:$J$23,MATCH(MAIN!$E303,'SKIKDA TO USGC'!$A$6:$A$23,0),9)</f>
        <v>0.15306122448979592</v>
      </c>
    </row>
    <row r="304" spans="1:12" hidden="1" outlineLevel="1" x14ac:dyDescent="0.25">
      <c r="A304" s="155"/>
      <c r="B304" s="255" t="s">
        <v>64</v>
      </c>
      <c r="C304" s="524"/>
      <c r="D304" s="525"/>
      <c r="E304" t="s">
        <v>64</v>
      </c>
      <c r="F304" s="510"/>
      <c r="G304" s="515"/>
      <c r="H304" s="516"/>
      <c r="I304" s="179" t="s">
        <v>64</v>
      </c>
      <c r="J304" s="175">
        <f>INDEX('SKIKDA TO USGC'!$A$6:$J$23,MATCH(MAIN!$E304,'SKIKDA TO USGC'!$A$6:$A$23,0),5)</f>
        <v>0.10204081632653061</v>
      </c>
      <c r="K304" s="178">
        <f>INDEX('SKIKDA TO USGC'!$A$6:$J$23,MATCH(MAIN!$E304,'SKIKDA TO USGC'!$A$6:$A$23,0),7)</f>
        <v>0.10204081632653061</v>
      </c>
      <c r="L304" s="176">
        <f>INDEX('SKIKDA TO USGC'!$A$6:$J$23,MATCH(MAIN!$E304,'SKIKDA TO USGC'!$A$6:$A$23,0),9)</f>
        <v>0.10204081632653061</v>
      </c>
    </row>
    <row r="305" spans="1:12" hidden="1" outlineLevel="1" x14ac:dyDescent="0.25">
      <c r="A305" s="155"/>
      <c r="B305" s="255" t="s">
        <v>100</v>
      </c>
      <c r="C305" s="524"/>
      <c r="D305" s="525"/>
      <c r="E305" t="s">
        <v>100</v>
      </c>
      <c r="F305" s="510"/>
      <c r="G305" s="515"/>
      <c r="H305" s="516"/>
      <c r="I305" s="179" t="s">
        <v>100</v>
      </c>
      <c r="J305" s="175">
        <f ca="1">INDEX('SKIKDA TO USGC'!$A$6:$J$23,MATCH(MAIN!$E305,'SKIKDA TO USGC'!$A$6:$A$23,0),5)</f>
        <v>20.275136374755387</v>
      </c>
      <c r="K305" s="178">
        <f ca="1">INDEX('SKIKDA TO USGC'!$A$6:$J$23,MATCH(MAIN!$E305,'SKIKDA TO USGC'!$A$6:$A$23,0),7)</f>
        <v>20.26044973091977</v>
      </c>
      <c r="L305" s="176">
        <f ca="1">INDEX('SKIKDA TO USGC'!$A$6:$J$23,MATCH(MAIN!$E305,'SKIKDA TO USGC'!$A$6:$A$23,0),9)</f>
        <v>20.26044973091977</v>
      </c>
    </row>
    <row r="306" spans="1:12" hidden="1" outlineLevel="1" x14ac:dyDescent="0.25">
      <c r="A306" s="155"/>
      <c r="B306" s="255" t="s">
        <v>101</v>
      </c>
      <c r="C306" s="524"/>
      <c r="D306" s="525"/>
      <c r="E306" t="s">
        <v>101</v>
      </c>
      <c r="F306" s="510"/>
      <c r="G306" s="515"/>
      <c r="H306" s="516"/>
      <c r="I306" s="179" t="s">
        <v>101</v>
      </c>
      <c r="J306" s="175">
        <f ca="1">INDEX('SKIKDA TO USGC'!$A$6:$J$23,MATCH(MAIN!$E306,'SKIKDA TO USGC'!$A$6:$A$23,0),5)</f>
        <v>1.1956249999999358</v>
      </c>
      <c r="K306" s="178">
        <f ca="1">INDEX('SKIKDA TO USGC'!$A$6:$J$23,MATCH(MAIN!$E306,'SKIKDA TO USGC'!$A$6:$A$23,0),7)</f>
        <v>-5.5375000000000796</v>
      </c>
      <c r="L306" s="176">
        <f ca="1">INDEX('SKIKDA TO USGC'!$A$6:$J$23,MATCH(MAIN!$E306,'SKIKDA TO USGC'!$A$6:$A$23,0),9)</f>
        <v>-5.5375000000000796</v>
      </c>
    </row>
    <row r="307" spans="1:12" hidden="1" outlineLevel="1" x14ac:dyDescent="0.25">
      <c r="A307" s="155"/>
      <c r="B307" s="255" t="s">
        <v>113</v>
      </c>
      <c r="C307" s="524"/>
      <c r="D307" s="525"/>
      <c r="E307" t="s">
        <v>113</v>
      </c>
      <c r="F307" s="510"/>
      <c r="G307" s="515"/>
      <c r="H307" s="516"/>
      <c r="I307" s="179" t="s">
        <v>113</v>
      </c>
      <c r="J307" s="175">
        <f ca="1">INDEX('SKIKDA TO USGC'!$A$6:$J$23,MATCH(MAIN!$E307,'SKIKDA TO USGC'!$A$6:$A$23,0),5)</f>
        <v>-19.079511374755452</v>
      </c>
      <c r="K307" s="178">
        <f ca="1">INDEX('SKIKDA TO USGC'!$A$6:$J$23,MATCH(MAIN!$E307,'SKIKDA TO USGC'!$A$6:$A$23,0),7)</f>
        <v>-25.79794973091985</v>
      </c>
      <c r="L307" s="176">
        <f ca="1">INDEX('SKIKDA TO USGC'!$A$6:$J$23,MATCH(MAIN!$E307,'SKIKDA TO USGC'!$A$6:$A$23,0),9)</f>
        <v>-25.79794973091985</v>
      </c>
    </row>
    <row r="308" spans="1:12" ht="15.75" hidden="1" outlineLevel="1" thickBot="1" x14ac:dyDescent="0.3">
      <c r="A308" s="155"/>
      <c r="B308" s="255" t="s">
        <v>126</v>
      </c>
      <c r="C308" s="524"/>
      <c r="D308" s="525"/>
      <c r="E308" t="s">
        <v>126</v>
      </c>
      <c r="F308" s="517"/>
      <c r="G308" s="517"/>
      <c r="H308" s="517"/>
      <c r="I308" s="220">
        <f>I282</f>
        <v>0</v>
      </c>
      <c r="J308" s="217">
        <f ca="1">J286</f>
        <v>45918</v>
      </c>
      <c r="K308" s="217">
        <f ca="1">K286</f>
        <v>45932</v>
      </c>
      <c r="L308" s="217">
        <f ca="1">L286</f>
        <v>45946</v>
      </c>
    </row>
    <row r="309" spans="1:12" ht="15.75" hidden="1" outlineLevel="1" thickBot="1" x14ac:dyDescent="0.3">
      <c r="A309" s="155"/>
      <c r="B309" s="155"/>
      <c r="C309" s="155"/>
      <c r="D309" s="155"/>
      <c r="E309" s="155"/>
      <c r="F309" s="518"/>
      <c r="G309" s="518"/>
      <c r="H309" s="518"/>
      <c r="I309" s="155"/>
      <c r="J309" s="155"/>
      <c r="K309" s="155"/>
      <c r="L309" s="155"/>
    </row>
    <row r="310" spans="1:12" hidden="1" outlineLevel="1" x14ac:dyDescent="0.25">
      <c r="A310" s="155"/>
      <c r="B310" s="155"/>
      <c r="C310" s="522"/>
      <c r="D310" s="523"/>
      <c r="F310" s="505">
        <f ca="1">F286</f>
        <v>45918</v>
      </c>
      <c r="G310" s="505">
        <f t="shared" ref="G310:H310" ca="1" si="11">G286</f>
        <v>45932</v>
      </c>
      <c r="H310" s="505">
        <f t="shared" ca="1" si="11"/>
        <v>45946</v>
      </c>
      <c r="I310" s="164" t="e">
        <f>I261</f>
        <v>#VALUE!</v>
      </c>
      <c r="J310" s="194">
        <f ca="1">F310</f>
        <v>45918</v>
      </c>
      <c r="K310" s="194">
        <f ca="1">G310</f>
        <v>45932</v>
      </c>
      <c r="L310" s="194">
        <f ca="1">H310</f>
        <v>45946</v>
      </c>
    </row>
    <row r="311" spans="1:12" collapsed="1" x14ac:dyDescent="0.25">
      <c r="A311" s="199" t="s">
        <v>228</v>
      </c>
      <c r="B311" s="168"/>
      <c r="C311" s="524"/>
      <c r="D311" s="525"/>
      <c r="F311" s="508" t="e">
        <f ca="1">F331+F312-F313</f>
        <v>#N/A</v>
      </c>
      <c r="G311" s="508" t="e">
        <f ca="1">G331+G312-G313</f>
        <v>#N/A</v>
      </c>
      <c r="H311" s="509" t="e">
        <f ca="1">H331+H312-H313</f>
        <v>#N/A</v>
      </c>
      <c r="I311" s="165"/>
      <c r="J311" s="160">
        <f ca="1">J331+J312-J313</f>
        <v>3.9048349253116141</v>
      </c>
      <c r="K311" s="160">
        <f ca="1">K331+K312-K313</f>
        <v>-4.0066984650993458</v>
      </c>
      <c r="L311" s="161">
        <f ca="1">L331+L312-L313</f>
        <v>-4.0066984650993458</v>
      </c>
    </row>
    <row r="312" spans="1:12" x14ac:dyDescent="0.25">
      <c r="A312" s="155"/>
      <c r="B312" s="169" t="s">
        <v>133</v>
      </c>
      <c r="C312" s="524"/>
      <c r="D312" s="525"/>
      <c r="E312" s="177" t="s">
        <v>128</v>
      </c>
      <c r="F312" s="510">
        <f ca="1">INDEX(Premium!$A$2:$D$15,MATCH(MAIN!$A311,Premium!$A$2:$A$15,0),MATCH(EOMONTH(F310,-1)+1,Premium!$A$2:$D$2,0))</f>
        <v>1.3</v>
      </c>
      <c r="G312" s="510">
        <f ca="1">INDEX(Premium!$A$2:$D$15,MATCH(MAIN!$A311,Premium!$A$2:$A$15,0),MATCH(EOMONTH(G310,-1)+1,Premium!$A$2:$D$2,0))</f>
        <v>0.4</v>
      </c>
      <c r="H312" s="510">
        <f ca="1">INDEX(Premium!$A$2:$D$15,MATCH(MAIN!$A311,Premium!$A$2:$A$15,0),MATCH(EOMONTH(H310,-1)+1,Premium!$A$2:$D$2,0))</f>
        <v>0.4</v>
      </c>
      <c r="I312" s="179" t="s">
        <v>128</v>
      </c>
      <c r="J312" s="175">
        <f ca="1">INDEX(Premium!$A$2:$D$15,MATCH(MAIN!$A311,Premium!$A$2:$A$15,0),MATCH(EOMONTH(J310,-1)+1,Premium!$A$2:$D$2,0))</f>
        <v>1.3</v>
      </c>
      <c r="K312" s="175">
        <f ca="1">INDEX(Premium!$A$2:$D$15,MATCH(MAIN!$A311,Premium!$A$2:$A$15,0),MATCH(EOMONTH(K310,-1)+1,Premium!$A$2:$D$2,0))</f>
        <v>0.4</v>
      </c>
      <c r="L312" s="175">
        <f ca="1">INDEX(Premium!$A$2:$D$15,MATCH(MAIN!$A311,Premium!$A$2:$A$15,0),MATCH(EOMONTH(L310,-1)+1,Premium!$A$2:$D$2,0))</f>
        <v>0.4</v>
      </c>
    </row>
    <row r="313" spans="1:12" ht="15.75" thickBot="1" x14ac:dyDescent="0.3">
      <c r="A313" s="155"/>
      <c r="B313" s="170" t="s">
        <v>132</v>
      </c>
      <c r="C313" s="524"/>
      <c r="D313" s="525"/>
      <c r="E313" s="177" t="s">
        <v>273</v>
      </c>
      <c r="F313" s="511" t="e">
        <f>INDEX(Premium!$A$21:$D$29,MATCH(MAIN!$A128,Premium!$A$21:$A$29,0),MATCH(EOMONTH(MAIN!F332,-1)+1,Premium!$A$21:$D$21,0))</f>
        <v>#N/A</v>
      </c>
      <c r="G313" s="511" t="e">
        <f>INDEX(Premium!$A$21:$D$29,MATCH(MAIN!$A128,Premium!$A$21:$A$29,0),MATCH(EOMONTH(MAIN!G332,-1)+1,Premium!$A$21:$D$21,0))</f>
        <v>#N/A</v>
      </c>
      <c r="H313" s="511" t="e">
        <f>INDEX(Premium!$A$21:$D$29,MATCH(MAIN!$A128,Premium!$A$21:$A$29,0),MATCH(EOMONTH(MAIN!H332,-1)+1,Premium!$A$21:$D$21,0))</f>
        <v>#N/A</v>
      </c>
      <c r="I313" s="179" t="s">
        <v>127</v>
      </c>
      <c r="J313" s="180">
        <f ca="1">INDEX(Premium!$A$21:$D$34,MATCH(MAIN!$A207,Premium!$A$21:$A$34,0),MATCH(EOMONTH(MAIN!J332,-1)+1,Premium!$A$21:$D$21,0))</f>
        <v>-2</v>
      </c>
      <c r="K313" s="180">
        <f ca="1">INDEX(Premium!$A$21:$D$34,MATCH(MAIN!$A207,Premium!$A$21:$A$34,0),MATCH(EOMONTH(MAIN!K332,-1)+1,Premium!$A$21:$D$21,0))</f>
        <v>0</v>
      </c>
      <c r="L313" s="180">
        <f ca="1">INDEX(Premium!$A$21:$D$34,MATCH(MAIN!$A207,Premium!$A$21:$A$34,0),MATCH(EOMONTH(MAIN!L332,-1)+1,Premium!$A$21:$D$21,0))</f>
        <v>0</v>
      </c>
    </row>
    <row r="314" spans="1:12" hidden="1" outlineLevel="1" x14ac:dyDescent="0.25">
      <c r="A314" s="155"/>
      <c r="B314" s="254" t="s">
        <v>53</v>
      </c>
      <c r="C314" s="524"/>
      <c r="D314" s="525"/>
      <c r="E314" s="6" t="s">
        <v>53</v>
      </c>
      <c r="F314" s="234"/>
      <c r="G314" s="241"/>
      <c r="H314" s="242"/>
      <c r="I314" s="250" t="s">
        <v>53</v>
      </c>
      <c r="J314" s="234">
        <f>INDEX('SKIKDA TO USGC'!$A$6:$J$23,MATCH(MAIN!$E314,'SKIKDA TO USGC'!$A$6:$A$23,0),6)</f>
        <v>13.222857142857142</v>
      </c>
      <c r="K314" s="241">
        <f>INDEX('SKIKDA TO USGC'!$A$6:$J$23,MATCH(MAIN!$E314,'SKIKDA TO USGC'!$A$6:$A$23,0),8)</f>
        <v>13.222857142857142</v>
      </c>
      <c r="L314" s="242">
        <f>INDEX('SKIKDA TO USGC'!$A$6:$J$23,MATCH(MAIN!$E314,'SKIKDA TO USGC'!$A$6:$A$23,0),10)</f>
        <v>13.222857142857142</v>
      </c>
    </row>
    <row r="315" spans="1:12" hidden="1" outlineLevel="1" x14ac:dyDescent="0.25">
      <c r="A315" s="155"/>
      <c r="B315" s="255" t="s">
        <v>54</v>
      </c>
      <c r="C315" s="524"/>
      <c r="D315" s="525"/>
      <c r="E315" t="s">
        <v>54</v>
      </c>
      <c r="F315" s="175"/>
      <c r="G315" s="178"/>
      <c r="H315" s="176"/>
      <c r="I315" s="179" t="s">
        <v>54</v>
      </c>
      <c r="J315" s="175">
        <f>INDEX('SKIKDA TO USGC'!$A$6:$J$23,MATCH(MAIN!$E315,'SKIKDA TO USGC'!$A$6:$A$23,0),6)</f>
        <v>0</v>
      </c>
      <c r="K315" s="178">
        <f>INDEX('SKIKDA TO USGC'!$A$6:$J$23,MATCH(MAIN!$E315,'SKIKDA TO USGC'!$A$6:$A$23,0),8)</f>
        <v>0</v>
      </c>
      <c r="L315" s="176">
        <f>INDEX('SKIKDA TO USGC'!$A$6:$J$23,MATCH(MAIN!$E315,'SKIKDA TO USGC'!$A$6:$A$23,0),10)</f>
        <v>0</v>
      </c>
    </row>
    <row r="316" spans="1:12" hidden="1" outlineLevel="1" x14ac:dyDescent="0.25">
      <c r="A316" s="155"/>
      <c r="B316" s="255" t="s">
        <v>55</v>
      </c>
      <c r="C316" s="524"/>
      <c r="D316" s="525"/>
      <c r="E316" t="s">
        <v>55</v>
      </c>
      <c r="F316" s="175"/>
      <c r="G316" s="178"/>
      <c r="H316" s="176"/>
      <c r="I316" s="179" t="s">
        <v>55</v>
      </c>
      <c r="J316" s="175">
        <f>INDEX('SKIKDA TO USGC'!$A$6:$J$23,MATCH(MAIN!$E316,'SKIKDA TO USGC'!$A$6:$A$23,0),6)</f>
        <v>2.3214285714285716</v>
      </c>
      <c r="K316" s="178">
        <f>INDEX('SKIKDA TO USGC'!$A$6:$J$23,MATCH(MAIN!$E316,'SKIKDA TO USGC'!$A$6:$A$23,0),8)</f>
        <v>2.3214285714285716</v>
      </c>
      <c r="L316" s="176">
        <f>INDEX('SKIKDA TO USGC'!$A$6:$J$23,MATCH(MAIN!$E316,'SKIKDA TO USGC'!$A$6:$A$23,0),10)</f>
        <v>2.3214285714285716</v>
      </c>
    </row>
    <row r="317" spans="1:12" hidden="1" outlineLevel="1" x14ac:dyDescent="0.25">
      <c r="A317" s="155"/>
      <c r="B317" s="255" t="s">
        <v>56</v>
      </c>
      <c r="C317" s="524"/>
      <c r="D317" s="525"/>
      <c r="E317" t="s">
        <v>56</v>
      </c>
      <c r="F317" s="175"/>
      <c r="G317" s="178"/>
      <c r="H317" s="176"/>
      <c r="I317" s="179" t="s">
        <v>56</v>
      </c>
      <c r="J317" s="175">
        <f>INDEX('SKIKDA TO USGC'!$A$6:$J$23,MATCH(MAIN!$E317,'SKIKDA TO USGC'!$A$6:$A$23,0),6)</f>
        <v>0.15306122448979592</v>
      </c>
      <c r="K317" s="178">
        <f>INDEX('SKIKDA TO USGC'!$A$6:$J$23,MATCH(MAIN!$E317,'SKIKDA TO USGC'!$A$6:$A$23,0),8)</f>
        <v>0.15306122448979592</v>
      </c>
      <c r="L317" s="176">
        <f>INDEX('SKIKDA TO USGC'!$A$6:$J$23,MATCH(MAIN!$E317,'SKIKDA TO USGC'!$A$6:$A$23,0),10)</f>
        <v>0.15306122448979592</v>
      </c>
    </row>
    <row r="318" spans="1:12" hidden="1" outlineLevel="1" x14ac:dyDescent="0.25">
      <c r="A318" s="155"/>
      <c r="B318" s="255" t="s">
        <v>124</v>
      </c>
      <c r="C318" s="524"/>
      <c r="D318" s="525"/>
      <c r="E318" t="s">
        <v>124</v>
      </c>
      <c r="F318" s="175"/>
      <c r="G318" s="178"/>
      <c r="H318" s="176"/>
      <c r="I318" s="179" t="s">
        <v>124</v>
      </c>
      <c r="J318" s="175">
        <f>INDEX('SKIKDA TO USGC'!$A$6:$J$23,MATCH(MAIN!$E318,'SKIKDA TO USGC'!$A$6:$A$23,0),6)</f>
        <v>0.25510204081632654</v>
      </c>
      <c r="K318" s="178">
        <f>INDEX('SKIKDA TO USGC'!$A$6:$J$23,MATCH(MAIN!$E318,'SKIKDA TO USGC'!$A$6:$A$23,0),8)</f>
        <v>0.25510204081632654</v>
      </c>
      <c r="L318" s="176">
        <f>INDEX('SKIKDA TO USGC'!$A$6:$J$23,MATCH(MAIN!$E318,'SKIKDA TO USGC'!$A$6:$A$23,0),10)</f>
        <v>0.25510204081632654</v>
      </c>
    </row>
    <row r="319" spans="1:12" hidden="1" outlineLevel="1" x14ac:dyDescent="0.25">
      <c r="A319" s="155"/>
      <c r="B319" s="255" t="s">
        <v>125</v>
      </c>
      <c r="C319" s="524"/>
      <c r="D319" s="525"/>
      <c r="E319" t="s">
        <v>125</v>
      </c>
      <c r="F319" s="175"/>
      <c r="G319" s="178"/>
      <c r="H319" s="176"/>
      <c r="I319" s="179" t="s">
        <v>125</v>
      </c>
      <c r="J319" s="175">
        <f>INDEX('SKIKDA TO USGC'!$A$6:$J$23,MATCH(MAIN!$E319,'SKIKDA TO USGC'!$A$6:$A$23,0),6)</f>
        <v>0.25510204081632654</v>
      </c>
      <c r="K319" s="178">
        <f>INDEX('SKIKDA TO USGC'!$A$6:$J$23,MATCH(MAIN!$E319,'SKIKDA TO USGC'!$A$6:$A$23,0),8)</f>
        <v>0.25510204081632654</v>
      </c>
      <c r="L319" s="176">
        <f>INDEX('SKIKDA TO USGC'!$A$6:$J$23,MATCH(MAIN!$E319,'SKIKDA TO USGC'!$A$6:$A$23,0),10)</f>
        <v>0.25510204081632654</v>
      </c>
    </row>
    <row r="320" spans="1:12" hidden="1" outlineLevel="1" x14ac:dyDescent="0.25">
      <c r="A320" s="155"/>
      <c r="B320" s="255" t="s">
        <v>81</v>
      </c>
      <c r="C320" s="524"/>
      <c r="D320" s="525"/>
      <c r="E320" t="s">
        <v>81</v>
      </c>
      <c r="F320" s="175"/>
      <c r="G320" s="178"/>
      <c r="H320" s="176"/>
      <c r="I320" s="179" t="s">
        <v>81</v>
      </c>
      <c r="J320" s="175">
        <f ca="1">INDEX('SKIKDA TO USGC'!$A$6:$J$23,MATCH(MAIN!$E320,'SKIKDA TO USGC'!$A$6:$A$23,0),6)</f>
        <v>4.005431998213222</v>
      </c>
      <c r="K320" s="178">
        <f ca="1">INDEX('SKIKDA TO USGC'!$A$6:$J$23,MATCH(MAIN!$E320,'SKIKDA TO USGC'!$A$6:$A$23,0),8)</f>
        <v>3.9715278886241805</v>
      </c>
      <c r="L320" s="176">
        <f ca="1">INDEX('SKIKDA TO USGC'!$A$6:$J$23,MATCH(MAIN!$E320,'SKIKDA TO USGC'!$A$6:$A$23,0),10)</f>
        <v>3.9715278886241805</v>
      </c>
    </row>
    <row r="321" spans="1:12" hidden="1" outlineLevel="1" x14ac:dyDescent="0.25">
      <c r="A321" s="155"/>
      <c r="B321" s="255" t="s">
        <v>57</v>
      </c>
      <c r="C321" s="524"/>
      <c r="D321" s="525"/>
      <c r="E321" t="s">
        <v>57</v>
      </c>
      <c r="F321" s="175"/>
      <c r="G321" s="178"/>
      <c r="H321" s="176"/>
      <c r="I321" s="179" t="s">
        <v>57</v>
      </c>
      <c r="J321" s="175">
        <f>INDEX('SKIKDA TO USGC'!$A$6:$J$23,MATCH(MAIN!$E321,'SKIKDA TO USGC'!$A$6:$A$23,0),6)</f>
        <v>0</v>
      </c>
      <c r="K321" s="178">
        <f>INDEX('SKIKDA TO USGC'!$A$6:$J$23,MATCH(MAIN!$E321,'SKIKDA TO USGC'!$A$6:$A$23,0),8)</f>
        <v>0</v>
      </c>
      <c r="L321" s="176">
        <f>INDEX('SKIKDA TO USGC'!$A$6:$J$23,MATCH(MAIN!$E321,'SKIKDA TO USGC'!$A$6:$A$23,0),10)</f>
        <v>0</v>
      </c>
    </row>
    <row r="322" spans="1:12" hidden="1" outlineLevel="1" x14ac:dyDescent="0.25">
      <c r="A322" s="155"/>
      <c r="B322" s="255" t="s">
        <v>58</v>
      </c>
      <c r="C322" s="524"/>
      <c r="D322" s="525"/>
      <c r="E322" t="s">
        <v>58</v>
      </c>
      <c r="F322" s="175"/>
      <c r="G322" s="178"/>
      <c r="H322" s="176"/>
      <c r="I322" s="179" t="s">
        <v>58</v>
      </c>
      <c r="J322" s="175">
        <f ca="1">INDEX('SKIKDA TO USGC'!$A$6:$J$23,MATCH(MAIN!$E322,'SKIKDA TO USGC'!$A$6:$A$23,0),6)</f>
        <v>0.33226879076086951</v>
      </c>
      <c r="K322" s="178">
        <f ca="1">INDEX('SKIKDA TO USGC'!$A$6:$J$23,MATCH(MAIN!$E322,'SKIKDA TO USGC'!$A$6:$A$23,0),8)</f>
        <v>0.32945629076086952</v>
      </c>
      <c r="L322" s="176">
        <f ca="1">INDEX('SKIKDA TO USGC'!$A$6:$J$23,MATCH(MAIN!$E322,'SKIKDA TO USGC'!$A$6:$A$23,0),10)</f>
        <v>0.32945629076086952</v>
      </c>
    </row>
    <row r="323" spans="1:12" hidden="1" outlineLevel="1" x14ac:dyDescent="0.25">
      <c r="A323" s="155"/>
      <c r="B323" s="255" t="s">
        <v>59</v>
      </c>
      <c r="C323" s="524"/>
      <c r="D323" s="525"/>
      <c r="E323" t="s">
        <v>59</v>
      </c>
      <c r="F323" s="175"/>
      <c r="G323" s="178"/>
      <c r="H323" s="176"/>
      <c r="I323" s="179" t="s">
        <v>59</v>
      </c>
      <c r="J323" s="175">
        <f ca="1">INDEX('SKIKDA TO USGC'!$A$6:$J$23,MATCH(MAIN!$E323,'SKIKDA TO USGC'!$A$6:$A$23,0),6)</f>
        <v>0</v>
      </c>
      <c r="K323" s="178">
        <f ca="1">INDEX('SKIKDA TO USGC'!$A$6:$J$23,MATCH(MAIN!$E323,'SKIKDA TO USGC'!$A$6:$A$23,0),8)</f>
        <v>0</v>
      </c>
      <c r="L323" s="176">
        <f ca="1">INDEX('SKIKDA TO USGC'!$A$6:$J$23,MATCH(MAIN!$E323,'SKIKDA TO USGC'!$A$6:$A$23,0),10)</f>
        <v>0</v>
      </c>
    </row>
    <row r="324" spans="1:12" hidden="1" outlineLevel="1" x14ac:dyDescent="0.25">
      <c r="A324" s="155"/>
      <c r="B324" s="255" t="s">
        <v>60</v>
      </c>
      <c r="C324" s="524"/>
      <c r="D324" s="525"/>
      <c r="E324" t="s">
        <v>60</v>
      </c>
      <c r="F324" s="175"/>
      <c r="G324" s="178"/>
      <c r="H324" s="176"/>
      <c r="I324" s="179" t="s">
        <v>60</v>
      </c>
      <c r="J324" s="175">
        <f>INDEX('SKIKDA TO USGC'!$A$6:$J$23,MATCH(MAIN!$E324,'SKIKDA TO USGC'!$A$6:$A$23,0),6)</f>
        <v>0.12755102040816327</v>
      </c>
      <c r="K324" s="178">
        <f>INDEX('SKIKDA TO USGC'!$A$6:$J$23,MATCH(MAIN!$E324,'SKIKDA TO USGC'!$A$6:$A$23,0),8)</f>
        <v>0.12755102040816327</v>
      </c>
      <c r="L324" s="176">
        <f>INDEX('SKIKDA TO USGC'!$A$6:$J$23,MATCH(MAIN!$E324,'SKIKDA TO USGC'!$A$6:$A$23,0),10)</f>
        <v>0.12755102040816327</v>
      </c>
    </row>
    <row r="325" spans="1:12" hidden="1" outlineLevel="1" x14ac:dyDescent="0.25">
      <c r="A325" s="155"/>
      <c r="B325" s="255" t="s">
        <v>61</v>
      </c>
      <c r="C325" s="524"/>
      <c r="D325" s="525"/>
      <c r="E325" t="s">
        <v>61</v>
      </c>
      <c r="F325" s="175"/>
      <c r="G325" s="178"/>
      <c r="H325" s="176"/>
      <c r="I325" s="179" t="s">
        <v>61</v>
      </c>
      <c r="J325" s="175">
        <f>INDEX('SKIKDA TO USGC'!$A$6:$J$23,MATCH(MAIN!$E325,'SKIKDA TO USGC'!$A$6:$A$23,0),6)</f>
        <v>1.2755102040816327E-2</v>
      </c>
      <c r="K325" s="178">
        <f>INDEX('SKIKDA TO USGC'!$A$6:$J$23,MATCH(MAIN!$E325,'SKIKDA TO USGC'!$A$6:$A$23,0),8)</f>
        <v>1.2755102040816327E-2</v>
      </c>
      <c r="L325" s="176">
        <f>INDEX('SKIKDA TO USGC'!$A$6:$J$23,MATCH(MAIN!$E325,'SKIKDA TO USGC'!$A$6:$A$23,0),10)</f>
        <v>1.2755102040816327E-2</v>
      </c>
    </row>
    <row r="326" spans="1:12" hidden="1" outlineLevel="1" x14ac:dyDescent="0.25">
      <c r="A326" s="155"/>
      <c r="B326" s="255" t="s">
        <v>62</v>
      </c>
      <c r="C326" s="524"/>
      <c r="D326" s="525"/>
      <c r="E326" t="s">
        <v>62</v>
      </c>
      <c r="F326" s="175"/>
      <c r="G326" s="178"/>
      <c r="H326" s="176"/>
      <c r="I326" s="179" t="s">
        <v>62</v>
      </c>
      <c r="J326" s="175">
        <f>INDEX('SKIKDA TO USGC'!$A$6:$J$23,MATCH(MAIN!$E326,'SKIKDA TO USGC'!$A$6:$A$23,0),6)</f>
        <v>1.2755102040816327E-2</v>
      </c>
      <c r="K326" s="178">
        <f>INDEX('SKIKDA TO USGC'!$A$6:$J$23,MATCH(MAIN!$E326,'SKIKDA TO USGC'!$A$6:$A$23,0),8)</f>
        <v>1.2755102040816327E-2</v>
      </c>
      <c r="L326" s="176">
        <f>INDEX('SKIKDA TO USGC'!$A$6:$J$23,MATCH(MAIN!$E326,'SKIKDA TO USGC'!$A$6:$A$23,0),10)</f>
        <v>1.2755102040816327E-2</v>
      </c>
    </row>
    <row r="327" spans="1:12" hidden="1" outlineLevel="1" x14ac:dyDescent="0.25">
      <c r="A327" s="155"/>
      <c r="B327" s="255" t="s">
        <v>63</v>
      </c>
      <c r="C327" s="524"/>
      <c r="D327" s="525"/>
      <c r="E327" t="s">
        <v>63</v>
      </c>
      <c r="F327" s="175"/>
      <c r="G327" s="178"/>
      <c r="H327" s="176"/>
      <c r="I327" s="179" t="s">
        <v>63</v>
      </c>
      <c r="J327" s="175">
        <f>INDEX('SKIKDA TO USGC'!$A$6:$J$23,MATCH(MAIN!$E327,'SKIKDA TO USGC'!$A$6:$A$23,0),6)</f>
        <v>0.15306122448979592</v>
      </c>
      <c r="K327" s="178">
        <f>INDEX('SKIKDA TO USGC'!$A$6:$J$23,MATCH(MAIN!$E327,'SKIKDA TO USGC'!$A$6:$A$23,0),8)</f>
        <v>0.15306122448979592</v>
      </c>
      <c r="L327" s="176">
        <f>INDEX('SKIKDA TO USGC'!$A$6:$J$23,MATCH(MAIN!$E327,'SKIKDA TO USGC'!$A$6:$A$23,0),10)</f>
        <v>0.15306122448979592</v>
      </c>
    </row>
    <row r="328" spans="1:12" hidden="1" outlineLevel="1" x14ac:dyDescent="0.25">
      <c r="A328" s="155"/>
      <c r="B328" s="255" t="s">
        <v>64</v>
      </c>
      <c r="C328" s="524"/>
      <c r="D328" s="525"/>
      <c r="E328" t="s">
        <v>64</v>
      </c>
      <c r="F328" s="175"/>
      <c r="G328" s="178"/>
      <c r="H328" s="176"/>
      <c r="I328" s="179" t="s">
        <v>64</v>
      </c>
      <c r="J328" s="175">
        <f>INDEX('SKIKDA TO USGC'!$A$6:$J$23,MATCH(MAIN!$E328,'SKIKDA TO USGC'!$A$6:$A$23,0),6)</f>
        <v>0.10204081632653061</v>
      </c>
      <c r="K328" s="178">
        <f>INDEX('SKIKDA TO USGC'!$A$6:$J$23,MATCH(MAIN!$E328,'SKIKDA TO USGC'!$A$6:$A$23,0),8)</f>
        <v>0.10204081632653061</v>
      </c>
      <c r="L328" s="176">
        <f>INDEX('SKIKDA TO USGC'!$A$6:$J$23,MATCH(MAIN!$E328,'SKIKDA TO USGC'!$A$6:$A$23,0),10)</f>
        <v>0.10204081632653061</v>
      </c>
    </row>
    <row r="329" spans="1:12" hidden="1" outlineLevel="1" x14ac:dyDescent="0.25">
      <c r="A329" s="155"/>
      <c r="B329" s="255" t="s">
        <v>100</v>
      </c>
      <c r="C329" s="524"/>
      <c r="D329" s="525"/>
      <c r="E329" t="s">
        <v>100</v>
      </c>
      <c r="F329" s="175"/>
      <c r="G329" s="178"/>
      <c r="H329" s="176"/>
      <c r="I329" s="179" t="s">
        <v>100</v>
      </c>
      <c r="J329" s="175">
        <f ca="1">INDEX('SKIKDA TO USGC'!$A$6:$J$23,MATCH(MAIN!$E329,'SKIKDA TO USGC'!$A$6:$A$23,0),6)</f>
        <v>20.953415074688383</v>
      </c>
      <c r="K329" s="178">
        <f ca="1">INDEX('SKIKDA TO USGC'!$A$6:$J$23,MATCH(MAIN!$E329,'SKIKDA TO USGC'!$A$6:$A$23,0),8)</f>
        <v>20.916698465099341</v>
      </c>
      <c r="L329" s="176">
        <f ca="1">INDEX('SKIKDA TO USGC'!$A$6:$J$23,MATCH(MAIN!$E329,'SKIKDA TO USGC'!$A$6:$A$23,0),10)</f>
        <v>20.916698465099341</v>
      </c>
    </row>
    <row r="330" spans="1:12" hidden="1" outlineLevel="1" x14ac:dyDescent="0.25">
      <c r="A330" s="155"/>
      <c r="B330" s="255" t="s">
        <v>101</v>
      </c>
      <c r="C330" s="524"/>
      <c r="D330" s="525"/>
      <c r="E330" t="s">
        <v>101</v>
      </c>
      <c r="F330" s="175"/>
      <c r="G330" s="178"/>
      <c r="H330" s="176"/>
      <c r="I330" s="179" t="s">
        <v>101</v>
      </c>
      <c r="J330" s="175">
        <f ca="1">INDEX('SKIKDA TO USGC'!$A$6:$J$23,MATCH(MAIN!$E330,'SKIKDA TO USGC'!$A$6:$A$23,0),6)</f>
        <v>21.558249999999997</v>
      </c>
      <c r="K330" s="178">
        <f ca="1">INDEX('SKIKDA TO USGC'!$A$6:$J$23,MATCH(MAIN!$E330,'SKIKDA TO USGC'!$A$6:$A$23,0),8)</f>
        <v>16.509999999999994</v>
      </c>
      <c r="L330" s="176">
        <f ca="1">INDEX('SKIKDA TO USGC'!$A$6:$J$23,MATCH(MAIN!$E330,'SKIKDA TO USGC'!$A$6:$A$23,0),10)</f>
        <v>16.509999999999994</v>
      </c>
    </row>
    <row r="331" spans="1:12" hidden="1" outlineLevel="1" x14ac:dyDescent="0.25">
      <c r="A331" s="155"/>
      <c r="B331" s="255" t="s">
        <v>113</v>
      </c>
      <c r="C331" s="524"/>
      <c r="D331" s="525"/>
      <c r="E331" t="s">
        <v>113</v>
      </c>
      <c r="F331" s="175"/>
      <c r="G331" s="178"/>
      <c r="H331" s="176"/>
      <c r="I331" s="179" t="s">
        <v>113</v>
      </c>
      <c r="J331" s="175">
        <f ca="1">INDEX('SKIKDA TO USGC'!$A$6:$J$23,MATCH(MAIN!$E331,'SKIKDA TO USGC'!$A$6:$A$23,0),6)</f>
        <v>0.60483492531161431</v>
      </c>
      <c r="K331" s="178">
        <f ca="1">INDEX('SKIKDA TO USGC'!$A$6:$J$23,MATCH(MAIN!$E331,'SKIKDA TO USGC'!$A$6:$A$23,0),8)</f>
        <v>-4.4066984650993462</v>
      </c>
      <c r="L331" s="176">
        <f ca="1">INDEX('SKIKDA TO USGC'!$A$6:$J$23,MATCH(MAIN!$E331,'SKIKDA TO USGC'!$A$6:$A$23,0),10)</f>
        <v>-4.4066984650993462</v>
      </c>
    </row>
    <row r="332" spans="1:12" ht="15.75" hidden="1" outlineLevel="1" thickBot="1" x14ac:dyDescent="0.3">
      <c r="A332" s="155"/>
      <c r="B332" s="255" t="s">
        <v>126</v>
      </c>
      <c r="C332" s="524"/>
      <c r="D332" s="525"/>
      <c r="E332" t="s">
        <v>126</v>
      </c>
      <c r="F332" s="217"/>
      <c r="G332" s="217"/>
      <c r="H332" s="217"/>
      <c r="I332" s="220" t="str">
        <f>I306</f>
        <v>ROLL</v>
      </c>
      <c r="J332" s="217">
        <f ca="1">J310</f>
        <v>45918</v>
      </c>
      <c r="K332" s="217">
        <f ca="1">K310</f>
        <v>45932</v>
      </c>
      <c r="L332" s="217">
        <f ca="1">L310</f>
        <v>45946</v>
      </c>
    </row>
    <row r="333" spans="1:12" collapsed="1" x14ac:dyDescent="0.25"/>
    <row r="334" spans="1:12" ht="15.75" thickBot="1" x14ac:dyDescent="0.3"/>
    <row r="335" spans="1:12" ht="15.75" thickBot="1" x14ac:dyDescent="0.3">
      <c r="A335" s="542" t="s">
        <v>244</v>
      </c>
      <c r="B335" s="481"/>
      <c r="C335" s="543"/>
      <c r="D335" s="544"/>
      <c r="E335" s="481"/>
      <c r="F335" s="545" t="s">
        <v>129</v>
      </c>
      <c r="G335" s="546"/>
      <c r="H335" s="547"/>
      <c r="I335" s="481"/>
      <c r="J335" s="545" t="s">
        <v>130</v>
      </c>
      <c r="K335" s="546"/>
      <c r="L335" s="547"/>
    </row>
    <row r="336" spans="1:12" ht="15.75" thickBot="1" x14ac:dyDescent="0.3">
      <c r="A336" s="542"/>
      <c r="B336" s="482" t="s">
        <v>184</v>
      </c>
      <c r="C336" s="483"/>
      <c r="D336" s="484"/>
      <c r="E336" s="481"/>
      <c r="F336" s="485" t="str">
        <f ca="1">IF(DAY(F337)&lt;15,"1H-"&amp;VLOOKUP(MONTH(F337),Mapping!$A$1:$B$12,2,0),"2H-"&amp;VLOOKUP(MONTH(F337),Mapping!$A$1:$B$12,2,0))</f>
        <v>2H-SEP</v>
      </c>
      <c r="G336" s="486" t="str">
        <f ca="1">IF(DAY(G337)&lt;15,"1H-"&amp;VLOOKUP(MONTH(G337),Mapping!$A$1:$B$12,2,0),"2H-"&amp;VLOOKUP(MONTH(G337),Mapping!$A$1:$B$12,2,0))</f>
        <v>1H-OCT</v>
      </c>
      <c r="H336" s="487" t="str">
        <f ca="1">IF(DAY(H337)&lt;15,"1H-"&amp;VLOOKUP(MONTH(H337),Mapping!$A$1:$B$12,2,0),"2H-"&amp;VLOOKUP(MONTH(H337),Mapping!$A$1:$B$12,2,0))</f>
        <v>2H-OCT</v>
      </c>
      <c r="I336" s="488" t="e">
        <f>IF(DAY(I337)&lt;15,"1H-"&amp;VLOOKUP(MONTH(I337),Mapping!$A$1:$B$12,2,0),"2H-"&amp;VLOOKUP(MONTH(I337),Mapping!$A$1:$B$12,2,0))</f>
        <v>#VALUE!</v>
      </c>
      <c r="J336" s="485" t="str">
        <f ca="1">IF(DAY(J337)&lt;15,"1H-"&amp;VLOOKUP(MONTH(J337),Mapping!$A$1:$B$12,2,0),"2H-"&amp;VLOOKUP(MONTH(J337),Mapping!$A$1:$B$12,2,0))</f>
        <v>2H-SEP</v>
      </c>
      <c r="K336" s="486" t="str">
        <f ca="1">IF(DAY(K337)&lt;15,"1H-"&amp;VLOOKUP(MONTH(K337),Mapping!$A$1:$B$12,2,0),"2H-"&amp;VLOOKUP(MONTH(K337),Mapping!$A$1:$B$12,2,0))</f>
        <v>1H-OCT</v>
      </c>
      <c r="L336" s="487" t="str">
        <f ca="1">IF(DAY(L337)&lt;15,"1H-"&amp;VLOOKUP(MONTH(L337),Mapping!$A$1:$B$12,2,0),"2H-"&amp;VLOOKUP(MONTH(L337),Mapping!$A$1:$B$12,2,0))</f>
        <v>2H-OCT</v>
      </c>
    </row>
    <row r="337" spans="1:14" x14ac:dyDescent="0.25">
      <c r="C337" s="522"/>
      <c r="D337" s="523"/>
      <c r="F337" s="505">
        <f ca="1">'Loading Arrival'!L12</f>
        <v>45918</v>
      </c>
      <c r="G337" s="506">
        <f ca="1">'Loading Arrival'!M12</f>
        <v>45932</v>
      </c>
      <c r="H337" s="507">
        <f ca="1">'Loading Arrival'!N12</f>
        <v>45946</v>
      </c>
      <c r="I337" s="164" t="str">
        <f>I288</f>
        <v xml:space="preserve">Sale premium </v>
      </c>
      <c r="J337" s="194">
        <f ca="1">'Loading Arrival'!L12</f>
        <v>45918</v>
      </c>
      <c r="K337" s="194">
        <f ca="1">'Loading Arrival'!M12</f>
        <v>45932</v>
      </c>
      <c r="L337" s="194">
        <f ca="1">'Loading Arrival'!N12</f>
        <v>45946</v>
      </c>
      <c r="N337" t="s">
        <v>274</v>
      </c>
    </row>
    <row r="338" spans="1:14" x14ac:dyDescent="0.25">
      <c r="A338" s="199" t="s">
        <v>280</v>
      </c>
      <c r="B338" s="168"/>
      <c r="C338" s="524"/>
      <c r="D338" s="525"/>
      <c r="F338" s="508" t="e">
        <f ca="1">F358+F339-F340</f>
        <v>#N/A</v>
      </c>
      <c r="G338" s="508" t="e">
        <f ca="1">G358+G339-G340</f>
        <v>#N/A</v>
      </c>
      <c r="H338" s="509" t="e">
        <f ca="1">H358+H339-H340</f>
        <v>#N/A</v>
      </c>
      <c r="I338" s="165"/>
      <c r="J338" s="160">
        <f ca="1">J358+J339-J340</f>
        <v>-6.1330955584289164</v>
      </c>
      <c r="K338" s="160">
        <f ca="1">K358+K339-K340</f>
        <v>-15.09590891459332</v>
      </c>
      <c r="L338" s="161">
        <f ca="1">L358+L339-L340</f>
        <v>-15.09590891459332</v>
      </c>
    </row>
    <row r="339" spans="1:14" x14ac:dyDescent="0.25">
      <c r="A339" s="155"/>
      <c r="B339" s="169" t="s">
        <v>133</v>
      </c>
      <c r="C339" s="524"/>
      <c r="D339" s="525"/>
      <c r="E339" s="177" t="s">
        <v>128</v>
      </c>
      <c r="F339" s="510">
        <f ca="1">INDEX(Premium!$A$2:$D$15,MATCH(MAIN!$A338,Premium!$A$2:$A$15,0),MATCH(EOMONTH(F337,-1)+1,Premium!$A$2:$D$2,0))</f>
        <v>3</v>
      </c>
      <c r="G339" s="510">
        <f ca="1">INDEX(Premium!$A$2:$D$15,MATCH(MAIN!$A338,Premium!$A$2:$A$15,0),MATCH(EOMONTH(G337,-1)+1,Premium!$A$2:$D$2,0))</f>
        <v>3</v>
      </c>
      <c r="H339" s="510">
        <f ca="1">INDEX(Premium!$A$2:$D$15,MATCH(MAIN!$A338,Premium!$A$2:$A$15,0),MATCH(EOMONTH(H337,-1)+1,Premium!$A$2:$D$2,0))</f>
        <v>3</v>
      </c>
      <c r="I339" s="179" t="s">
        <v>128</v>
      </c>
      <c r="J339" s="175">
        <f ca="1">INDEX(Premium!$A$2:$D$15,MATCH(MAIN!$A338,Premium!$A$2:$A$15,0),MATCH(EOMONTH(J337,-1)+1,Premium!$A$2:$D$2,0))</f>
        <v>3</v>
      </c>
      <c r="K339" s="175">
        <f ca="1">INDEX(Premium!$A$2:$D$15,MATCH(MAIN!$A338,Premium!$A$2:$A$15,0),MATCH(EOMONTH(K337,-1)+1,Premium!$A$2:$D$2,0))</f>
        <v>3</v>
      </c>
      <c r="L339" s="175">
        <f ca="1">INDEX(Premium!$A$2:$D$15,MATCH(MAIN!$A338,Premium!$A$2:$A$15,0),MATCH(EOMONTH(L337,-1)+1,Premium!$A$2:$D$2,0))</f>
        <v>3</v>
      </c>
    </row>
    <row r="340" spans="1:14" ht="15.75" thickBot="1" x14ac:dyDescent="0.3">
      <c r="A340" s="155"/>
      <c r="B340" s="170" t="s">
        <v>132</v>
      </c>
      <c r="C340" s="524"/>
      <c r="D340" s="525"/>
      <c r="E340" s="177" t="s">
        <v>273</v>
      </c>
      <c r="F340" s="511" t="e">
        <f>INDEX(Premium!$A$21:$D$31,MATCH(MAIN!$A110,Premium!$A$21:$A$31,0),MATCH(EOMONTH(MAIN!F359,-1)+1,Premium!$A$21:$D$21,0))</f>
        <v>#N/A</v>
      </c>
      <c r="G340" s="511" t="e">
        <f>INDEX(Premium!$A$21:$D$31,MATCH(MAIN!$A110,Premium!$A$21:$A$31,0),MATCH(EOMONTH(MAIN!G359,-1)+1,Premium!$A$21:$D$21,0))</f>
        <v>#N/A</v>
      </c>
      <c r="H340" s="511" t="e">
        <f>INDEX(Premium!$A$21:$D$31,MATCH(MAIN!$A110,Premium!$A$21:$A$31,0),MATCH(EOMONTH(MAIN!H359,-1)+1,Premium!$A$21:$D$21,0))</f>
        <v>#N/A</v>
      </c>
      <c r="I340" s="179" t="s">
        <v>127</v>
      </c>
      <c r="J340" s="180">
        <f ca="1">INDEX(Premium!$A$21:$D$34,MATCH(A152,Premium!$A$21:$A$34,0),MATCH(EOMONTH(MAIN!J359,-1)+1,Premium!$A$21:$D$21,0))</f>
        <v>-7.25</v>
      </c>
      <c r="K340" s="180">
        <f ca="1">INDEX(Premium!$A$21:$D$34,MATCH(A152,Premium!$A$21:$A$34,0),MATCH(EOMONTH(MAIN!K359,-1)+1,Premium!$A$21:$D$21,0))</f>
        <v>-7.25</v>
      </c>
      <c r="L340" s="180">
        <f ca="1">INDEX(Premium!$A$21:$D$34,MATCH(A152,Premium!$A$21:$A$34,0),MATCH(EOMONTH(MAIN!L359,-1)+1,Premium!$A$21:$D$21,0))</f>
        <v>-7.25</v>
      </c>
    </row>
    <row r="341" spans="1:14" hidden="1" outlineLevel="1" x14ac:dyDescent="0.25">
      <c r="A341" s="155"/>
      <c r="B341" s="254" t="s">
        <v>53</v>
      </c>
      <c r="C341" s="524"/>
      <c r="D341" s="525"/>
      <c r="E341" s="6" t="s">
        <v>53</v>
      </c>
      <c r="F341" s="512"/>
      <c r="G341" s="513"/>
      <c r="H341" s="514"/>
      <c r="I341" s="250" t="s">
        <v>53</v>
      </c>
      <c r="J341" s="234">
        <f>INDEX('SKIKDA TO ROTT'!$A$6:$J$23,MATCH(MAIN!$E341,'SKIKDA TO ROTT'!$A$6:$A$23,0),5)</f>
        <v>12.770816326530612</v>
      </c>
      <c r="K341" s="241">
        <f>INDEX('SKIKDA TO ROTT'!$A$6:$J$23,MATCH(MAIN!$E341,'SKIKDA TO ROTT'!$A$6:$A$23,0),7)</f>
        <v>12.770816326530612</v>
      </c>
      <c r="L341" s="242">
        <f>INDEX('SKIKDA TO ROTT'!$A$6:$J$23,MATCH(MAIN!$E341,'SKIKDA TO ROTT'!$A$6:$A$23,0),9)</f>
        <v>12.770816326530612</v>
      </c>
    </row>
    <row r="342" spans="1:14" hidden="1" outlineLevel="1" x14ac:dyDescent="0.25">
      <c r="A342" s="155"/>
      <c r="B342" s="255" t="s">
        <v>54</v>
      </c>
      <c r="C342" s="524"/>
      <c r="D342" s="525"/>
      <c r="E342" t="s">
        <v>54</v>
      </c>
      <c r="F342" s="510"/>
      <c r="G342" s="515"/>
      <c r="H342" s="516"/>
      <c r="I342" s="179" t="s">
        <v>54</v>
      </c>
      <c r="J342" s="175">
        <f>INDEX('SKIKDA TO ROTT'!$A$6:$J$23,MATCH(MAIN!$E342,'SKIKDA TO ROTT'!$A$6:$A$23,0),5)</f>
        <v>0</v>
      </c>
      <c r="K342" s="178">
        <f>INDEX('SKIKDA TO ROTT'!$A$6:$J$23,MATCH(MAIN!$E342,'SKIKDA TO ROTT'!$A$6:$A$23,0),7)</f>
        <v>0</v>
      </c>
      <c r="L342" s="176">
        <f>INDEX('SKIKDA TO ROTT'!$A$6:$J$23,MATCH(MAIN!$E342,'SKIKDA TO ROTT'!$A$6:$A$23,0),9)</f>
        <v>0</v>
      </c>
    </row>
    <row r="343" spans="1:14" hidden="1" outlineLevel="1" x14ac:dyDescent="0.25">
      <c r="A343" s="155"/>
      <c r="B343" s="255" t="s">
        <v>55</v>
      </c>
      <c r="C343" s="524"/>
      <c r="D343" s="525"/>
      <c r="E343" t="s">
        <v>55</v>
      </c>
      <c r="F343" s="510"/>
      <c r="G343" s="515"/>
      <c r="H343" s="516"/>
      <c r="I343" s="179" t="s">
        <v>55</v>
      </c>
      <c r="J343" s="175">
        <f>INDEX('SKIKDA TO ROTT'!$A$6:$J$23,MATCH(MAIN!$E343,'SKIKDA TO ROTT'!$A$6:$A$23,0),5)</f>
        <v>2.3214285714285716</v>
      </c>
      <c r="K343" s="178">
        <f>INDEX('SKIKDA TO ROTT'!$A$6:$J$23,MATCH(MAIN!$E343,'SKIKDA TO ROTT'!$A$6:$A$23,0),7)</f>
        <v>2.3214285714285716</v>
      </c>
      <c r="L343" s="176">
        <f>INDEX('SKIKDA TO ROTT'!$A$6:$J$23,MATCH(MAIN!$E343,'SKIKDA TO ROTT'!$A$6:$A$23,0),9)</f>
        <v>2.3214285714285716</v>
      </c>
    </row>
    <row r="344" spans="1:14" hidden="1" outlineLevel="1" x14ac:dyDescent="0.25">
      <c r="A344" s="155"/>
      <c r="B344" s="255" t="s">
        <v>56</v>
      </c>
      <c r="C344" s="524"/>
      <c r="D344" s="525"/>
      <c r="E344" t="s">
        <v>56</v>
      </c>
      <c r="F344" s="510"/>
      <c r="G344" s="515"/>
      <c r="H344" s="516"/>
      <c r="I344" s="179" t="s">
        <v>56</v>
      </c>
      <c r="J344" s="175">
        <f>INDEX('SKIKDA TO ROTT'!$A$6:$J$23,MATCH(MAIN!$E344,'SKIKDA TO ROTT'!$A$6:$A$23,0),5)</f>
        <v>0.15306122448979592</v>
      </c>
      <c r="K344" s="178">
        <f>INDEX('SKIKDA TO ROTT'!$A$6:$J$23,MATCH(MAIN!$E344,'SKIKDA TO ROTT'!$A$6:$A$23,0),7)</f>
        <v>0.15306122448979592</v>
      </c>
      <c r="L344" s="176">
        <f>INDEX('SKIKDA TO ROTT'!$A$6:$J$23,MATCH(MAIN!$E344,'SKIKDA TO ROTT'!$A$6:$A$23,0),9)</f>
        <v>0.15306122448979592</v>
      </c>
    </row>
    <row r="345" spans="1:14" hidden="1" outlineLevel="1" x14ac:dyDescent="0.25">
      <c r="A345" s="155"/>
      <c r="B345" s="255" t="s">
        <v>124</v>
      </c>
      <c r="C345" s="524"/>
      <c r="D345" s="525"/>
      <c r="E345" t="s">
        <v>124</v>
      </c>
      <c r="F345" s="510"/>
      <c r="G345" s="515"/>
      <c r="H345" s="516"/>
      <c r="I345" s="179" t="s">
        <v>124</v>
      </c>
      <c r="J345" s="175">
        <f>INDEX('SKIKDA TO ROTT'!$A$6:$J$23,MATCH(MAIN!$E345,'SKIKDA TO ROTT'!$A$6:$A$23,0),5)</f>
        <v>0.25510204081632654</v>
      </c>
      <c r="K345" s="178">
        <f>INDEX('SKIKDA TO ROTT'!$A$6:$J$23,MATCH(MAIN!$E345,'SKIKDA TO ROTT'!$A$6:$A$23,0),7)</f>
        <v>0.25510204081632654</v>
      </c>
      <c r="L345" s="176">
        <f>INDEX('SKIKDA TO ROTT'!$A$6:$J$23,MATCH(MAIN!$E345,'SKIKDA TO ROTT'!$A$6:$A$23,0),9)</f>
        <v>0.25510204081632654</v>
      </c>
    </row>
    <row r="346" spans="1:14" hidden="1" outlineLevel="1" x14ac:dyDescent="0.25">
      <c r="A346" s="155"/>
      <c r="B346" s="255" t="s">
        <v>125</v>
      </c>
      <c r="C346" s="524"/>
      <c r="D346" s="525"/>
      <c r="E346" t="s">
        <v>125</v>
      </c>
      <c r="F346" s="510"/>
      <c r="G346" s="515"/>
      <c r="H346" s="516"/>
      <c r="I346" s="179" t="s">
        <v>125</v>
      </c>
      <c r="J346" s="175">
        <f>INDEX('SKIKDA TO ROTT'!$A$6:$J$23,MATCH(MAIN!$E346,'SKIKDA TO ROTT'!$A$6:$A$23,0),5)</f>
        <v>0.25510204081632654</v>
      </c>
      <c r="K346" s="178">
        <f>INDEX('SKIKDA TO ROTT'!$A$6:$J$23,MATCH(MAIN!$E346,'SKIKDA TO ROTT'!$A$6:$A$23,0),7)</f>
        <v>0.25510204081632654</v>
      </c>
      <c r="L346" s="176">
        <f>INDEX('SKIKDA TO ROTT'!$A$6:$J$23,MATCH(MAIN!$E346,'SKIKDA TO ROTT'!$A$6:$A$23,0),9)</f>
        <v>0.25510204081632654</v>
      </c>
    </row>
    <row r="347" spans="1:14" hidden="1" outlineLevel="1" x14ac:dyDescent="0.25">
      <c r="A347" s="155"/>
      <c r="B347" s="255" t="s">
        <v>81</v>
      </c>
      <c r="C347" s="524"/>
      <c r="D347" s="525"/>
      <c r="E347" t="s">
        <v>81</v>
      </c>
      <c r="F347" s="510"/>
      <c r="G347" s="515"/>
      <c r="H347" s="516"/>
      <c r="I347" s="179" t="s">
        <v>81</v>
      </c>
      <c r="J347" s="175">
        <f ca="1">INDEX('SKIKDA TO ROTT'!$A$6:$J$23,MATCH(MAIN!$E347,'SKIKDA TO ROTT'!$A$6:$A$23,0),5)</f>
        <v>3.379109589041096</v>
      </c>
      <c r="K347" s="178">
        <f ca="1">INDEX('SKIKDA TO ROTT'!$A$6:$J$23,MATCH(MAIN!$E347,'SKIKDA TO ROTT'!$A$6:$A$23,0),7)</f>
        <v>3.3655479452054795</v>
      </c>
      <c r="L347" s="176">
        <f ca="1">INDEX('SKIKDA TO ROTT'!$A$6:$J$23,MATCH(MAIN!$E347,'SKIKDA TO ROTT'!$A$6:$A$23,0),9)</f>
        <v>3.3655479452054795</v>
      </c>
    </row>
    <row r="348" spans="1:14" hidden="1" outlineLevel="1" x14ac:dyDescent="0.25">
      <c r="A348" s="155"/>
      <c r="B348" s="255" t="s">
        <v>57</v>
      </c>
      <c r="C348" s="524"/>
      <c r="D348" s="525"/>
      <c r="E348" t="s">
        <v>57</v>
      </c>
      <c r="F348" s="510"/>
      <c r="G348" s="515"/>
      <c r="H348" s="516"/>
      <c r="I348" s="179" t="s">
        <v>57</v>
      </c>
      <c r="J348" s="175">
        <f>INDEX('SKIKDA TO ROTT'!$A$6:$J$23,MATCH(MAIN!$E348,'SKIKDA TO ROTT'!$A$6:$A$23,0),5)</f>
        <v>0</v>
      </c>
      <c r="K348" s="178">
        <f>INDEX('SKIKDA TO ROTT'!$A$6:$J$23,MATCH(MAIN!$E348,'SKIKDA TO ROTT'!$A$6:$A$23,0),7)</f>
        <v>0</v>
      </c>
      <c r="L348" s="176">
        <f>INDEX('SKIKDA TO ROTT'!$A$6:$J$23,MATCH(MAIN!$E348,'SKIKDA TO ROTT'!$A$6:$A$23,0),9)</f>
        <v>0</v>
      </c>
    </row>
    <row r="349" spans="1:14" hidden="1" outlineLevel="1" x14ac:dyDescent="0.25">
      <c r="A349" s="155"/>
      <c r="B349" s="255" t="s">
        <v>58</v>
      </c>
      <c r="C349" s="524"/>
      <c r="D349" s="525"/>
      <c r="E349" t="s">
        <v>58</v>
      </c>
      <c r="F349" s="510"/>
      <c r="G349" s="515"/>
      <c r="H349" s="516"/>
      <c r="I349" s="179" t="s">
        <v>58</v>
      </c>
      <c r="J349" s="175">
        <f ca="1">INDEX('SKIKDA TO ROTT'!$A$6:$J$23,MATCH(MAIN!$E349,'SKIKDA TO ROTT'!$A$6:$A$23,0),5)</f>
        <v>0.28031250000000002</v>
      </c>
      <c r="K349" s="178">
        <f ca="1">INDEX('SKIKDA TO ROTT'!$A$6:$J$23,MATCH(MAIN!$E349,'SKIKDA TO ROTT'!$A$6:$A$23,0),7)</f>
        <v>0.27918750000000003</v>
      </c>
      <c r="L349" s="176">
        <f ca="1">INDEX('SKIKDA TO ROTT'!$A$6:$J$23,MATCH(MAIN!$E349,'SKIKDA TO ROTT'!$A$6:$A$23,0),9)</f>
        <v>0.27918750000000003</v>
      </c>
    </row>
    <row r="350" spans="1:14" hidden="1" outlineLevel="1" x14ac:dyDescent="0.25">
      <c r="A350" s="155"/>
      <c r="B350" s="255" t="s">
        <v>59</v>
      </c>
      <c r="C350" s="524"/>
      <c r="D350" s="525"/>
      <c r="E350" t="s">
        <v>59</v>
      </c>
      <c r="F350" s="510"/>
      <c r="G350" s="515"/>
      <c r="H350" s="516"/>
      <c r="I350" s="179" t="s">
        <v>59</v>
      </c>
      <c r="J350" s="175">
        <f ca="1">INDEX('SKIKDA TO ROTT'!$A$6:$J$23,MATCH(MAIN!$E350,'SKIKDA TO ROTT'!$A$6:$A$23,0),5)</f>
        <v>0</v>
      </c>
      <c r="K350" s="178">
        <f ca="1">INDEX('SKIKDA TO ROTT'!$A$6:$J$23,MATCH(MAIN!$E350,'SKIKDA TO ROTT'!$A$6:$A$23,0),7)</f>
        <v>0</v>
      </c>
      <c r="L350" s="176">
        <f ca="1">INDEX('SKIKDA TO ROTT'!$A$6:$J$23,MATCH(MAIN!$E350,'SKIKDA TO ROTT'!$A$6:$A$23,0),9)</f>
        <v>0</v>
      </c>
    </row>
    <row r="351" spans="1:14" hidden="1" outlineLevel="1" x14ac:dyDescent="0.25">
      <c r="A351" s="155"/>
      <c r="B351" s="255" t="s">
        <v>60</v>
      </c>
      <c r="C351" s="524"/>
      <c r="D351" s="525"/>
      <c r="E351" t="s">
        <v>60</v>
      </c>
      <c r="F351" s="510"/>
      <c r="G351" s="515"/>
      <c r="H351" s="516"/>
      <c r="I351" s="179" t="s">
        <v>60</v>
      </c>
      <c r="J351" s="175">
        <f>INDEX('SKIKDA TO ROTT'!$A$6:$J$23,MATCH(MAIN!$E351,'SKIKDA TO ROTT'!$A$6:$A$23,0),5)</f>
        <v>0.12755102040816327</v>
      </c>
      <c r="K351" s="178">
        <f>INDEX('SKIKDA TO ROTT'!$A$6:$J$23,MATCH(MAIN!$E351,'SKIKDA TO ROTT'!$A$6:$A$23,0),7)</f>
        <v>0.12755102040816327</v>
      </c>
      <c r="L351" s="176">
        <f>INDEX('SKIKDA TO ROTT'!$A$6:$J$23,MATCH(MAIN!$E351,'SKIKDA TO ROTT'!$A$6:$A$23,0),9)</f>
        <v>0.12755102040816327</v>
      </c>
    </row>
    <row r="352" spans="1:14" hidden="1" outlineLevel="1" x14ac:dyDescent="0.25">
      <c r="A352" s="155"/>
      <c r="B352" s="255" t="s">
        <v>61</v>
      </c>
      <c r="C352" s="524"/>
      <c r="D352" s="525"/>
      <c r="E352" t="s">
        <v>61</v>
      </c>
      <c r="F352" s="510"/>
      <c r="G352" s="515"/>
      <c r="H352" s="516"/>
      <c r="I352" s="179" t="s">
        <v>61</v>
      </c>
      <c r="J352" s="175">
        <f>INDEX('SKIKDA TO ROTT'!$A$6:$J$23,MATCH(MAIN!$E352,'SKIKDA TO ROTT'!$A$6:$A$23,0),5)</f>
        <v>1.2755102040816327E-2</v>
      </c>
      <c r="K352" s="178">
        <f>INDEX('SKIKDA TO ROTT'!$A$6:$J$23,MATCH(MAIN!$E352,'SKIKDA TO ROTT'!$A$6:$A$23,0),7)</f>
        <v>1.2755102040816327E-2</v>
      </c>
      <c r="L352" s="176">
        <f>INDEX('SKIKDA TO ROTT'!$A$6:$J$23,MATCH(MAIN!$E352,'SKIKDA TO ROTT'!$A$6:$A$23,0),9)</f>
        <v>1.2755102040816327E-2</v>
      </c>
    </row>
    <row r="353" spans="1:12" hidden="1" outlineLevel="1" x14ac:dyDescent="0.25">
      <c r="A353" s="155"/>
      <c r="B353" s="255" t="s">
        <v>62</v>
      </c>
      <c r="C353" s="524"/>
      <c r="D353" s="525"/>
      <c r="E353" t="s">
        <v>62</v>
      </c>
      <c r="F353" s="510"/>
      <c r="G353" s="515"/>
      <c r="H353" s="516"/>
      <c r="I353" s="179" t="s">
        <v>62</v>
      </c>
      <c r="J353" s="175">
        <f>INDEX('SKIKDA TO ROTT'!$A$6:$J$23,MATCH(MAIN!$E353,'SKIKDA TO ROTT'!$A$6:$A$23,0),5)</f>
        <v>1.2755102040816327E-2</v>
      </c>
      <c r="K353" s="178">
        <f>INDEX('SKIKDA TO ROTT'!$A$6:$J$23,MATCH(MAIN!$E353,'SKIKDA TO ROTT'!$A$6:$A$23,0),7)</f>
        <v>1.2755102040816327E-2</v>
      </c>
      <c r="L353" s="176">
        <f>INDEX('SKIKDA TO ROTT'!$A$6:$J$23,MATCH(MAIN!$E353,'SKIKDA TO ROTT'!$A$6:$A$23,0),9)</f>
        <v>1.2755102040816327E-2</v>
      </c>
    </row>
    <row r="354" spans="1:12" hidden="1" outlineLevel="1" x14ac:dyDescent="0.25">
      <c r="A354" s="155"/>
      <c r="B354" s="255" t="s">
        <v>63</v>
      </c>
      <c r="C354" s="524"/>
      <c r="D354" s="525"/>
      <c r="E354" t="s">
        <v>63</v>
      </c>
      <c r="F354" s="510"/>
      <c r="G354" s="515"/>
      <c r="H354" s="516"/>
      <c r="I354" s="179" t="s">
        <v>63</v>
      </c>
      <c r="J354" s="175">
        <f>INDEX('SKIKDA TO ROTT'!$A$6:$J$23,MATCH(MAIN!$E354,'SKIKDA TO ROTT'!$A$6:$A$23,0),5)</f>
        <v>0.15306122448979592</v>
      </c>
      <c r="K354" s="178">
        <f>INDEX('SKIKDA TO ROTT'!$A$6:$J$23,MATCH(MAIN!$E354,'SKIKDA TO ROTT'!$A$6:$A$23,0),7)</f>
        <v>0.15306122448979592</v>
      </c>
      <c r="L354" s="176">
        <f>INDEX('SKIKDA TO ROTT'!$A$6:$J$23,MATCH(MAIN!$E354,'SKIKDA TO ROTT'!$A$6:$A$23,0),9)</f>
        <v>0.15306122448979592</v>
      </c>
    </row>
    <row r="355" spans="1:12" hidden="1" outlineLevel="1" x14ac:dyDescent="0.25">
      <c r="A355" s="155"/>
      <c r="B355" s="255" t="s">
        <v>64</v>
      </c>
      <c r="C355" s="524"/>
      <c r="D355" s="525"/>
      <c r="E355" t="s">
        <v>64</v>
      </c>
      <c r="F355" s="510"/>
      <c r="G355" s="515"/>
      <c r="H355" s="516"/>
      <c r="I355" s="179" t="s">
        <v>64</v>
      </c>
      <c r="J355" s="175">
        <f>INDEX('SKIKDA TO ROTT'!$A$6:$J$23,MATCH(MAIN!$E355,'SKIKDA TO ROTT'!$A$6:$A$23,0),5)</f>
        <v>0.10204081632653061</v>
      </c>
      <c r="K355" s="178">
        <f>INDEX('SKIKDA TO ROTT'!$A$6:$J$23,MATCH(MAIN!$E355,'SKIKDA TO ROTT'!$A$6:$A$23,0),7)</f>
        <v>0.10204081632653061</v>
      </c>
      <c r="L355" s="176">
        <f>INDEX('SKIKDA TO ROTT'!$A$6:$J$23,MATCH(MAIN!$E355,'SKIKDA TO ROTT'!$A$6:$A$23,0),9)</f>
        <v>0.10204081632653061</v>
      </c>
    </row>
    <row r="356" spans="1:12" hidden="1" outlineLevel="1" x14ac:dyDescent="0.25">
      <c r="A356" s="155"/>
      <c r="B356" s="255" t="s">
        <v>100</v>
      </c>
      <c r="C356" s="524"/>
      <c r="D356" s="525"/>
      <c r="E356" t="s">
        <v>100</v>
      </c>
      <c r="F356" s="510"/>
      <c r="G356" s="515"/>
      <c r="H356" s="516"/>
      <c r="I356" s="179" t="s">
        <v>100</v>
      </c>
      <c r="J356" s="175">
        <f ca="1">INDEX('SKIKDA TO ROTT'!$A$6:$J$23,MATCH(MAIN!$E356,'SKIKDA TO ROTT'!$A$6:$A$23,0),5)</f>
        <v>19.823095558428857</v>
      </c>
      <c r="K356" s="178">
        <f ca="1">INDEX('SKIKDA TO ROTT'!$A$6:$J$23,MATCH(MAIN!$E356,'SKIKDA TO ROTT'!$A$6:$A$23,0),7)</f>
        <v>19.80840891459324</v>
      </c>
      <c r="L356" s="176">
        <f ca="1">INDEX('SKIKDA TO ROTT'!$A$6:$J$23,MATCH(MAIN!$E356,'SKIKDA TO ROTT'!$A$6:$A$23,0),9)</f>
        <v>19.80840891459324</v>
      </c>
    </row>
    <row r="357" spans="1:12" hidden="1" outlineLevel="1" x14ac:dyDescent="0.25">
      <c r="A357" s="155"/>
      <c r="B357" s="255" t="s">
        <v>101</v>
      </c>
      <c r="C357" s="524"/>
      <c r="D357" s="525"/>
      <c r="E357" t="s">
        <v>101</v>
      </c>
      <c r="F357" s="510"/>
      <c r="G357" s="515"/>
      <c r="H357" s="516"/>
      <c r="I357" s="179" t="s">
        <v>101</v>
      </c>
      <c r="J357" s="175">
        <f ca="1">INDEX('SKIKDA TO ROTT'!$A$6:$J$23,MATCH(MAIN!$E357,'SKIKDA TO ROTT'!$A$6:$A$23,0),5)</f>
        <v>3.4399999999999409</v>
      </c>
      <c r="K357" s="178">
        <f ca="1">INDEX('SKIKDA TO ROTT'!$A$6:$J$23,MATCH(MAIN!$E357,'SKIKDA TO ROTT'!$A$6:$A$23,0),7)</f>
        <v>-5.5375000000000796</v>
      </c>
      <c r="L357" s="176">
        <f ca="1">INDEX('SKIKDA TO ROTT'!$A$6:$J$23,MATCH(MAIN!$E357,'SKIKDA TO ROTT'!$A$6:$A$23,0),9)</f>
        <v>-5.5375000000000796</v>
      </c>
    </row>
    <row r="358" spans="1:12" hidden="1" outlineLevel="1" x14ac:dyDescent="0.25">
      <c r="A358" s="155"/>
      <c r="B358" s="255" t="s">
        <v>113</v>
      </c>
      <c r="C358" s="524"/>
      <c r="D358" s="525"/>
      <c r="E358" t="s">
        <v>113</v>
      </c>
      <c r="F358" s="510"/>
      <c r="G358" s="515"/>
      <c r="H358" s="516"/>
      <c r="I358" s="179" t="s">
        <v>113</v>
      </c>
      <c r="J358" s="175">
        <f ca="1">INDEX('SKIKDA TO ROTT'!$A$6:$J$23,MATCH(MAIN!$E358,'SKIKDA TO ROTT'!$A$6:$A$23,0),5)</f>
        <v>-16.383095558428916</v>
      </c>
      <c r="K358" s="178">
        <f ca="1">INDEX('SKIKDA TO ROTT'!$A$6:$J$23,MATCH(MAIN!$E358,'SKIKDA TO ROTT'!$A$6:$A$23,0),7)</f>
        <v>-25.34590891459332</v>
      </c>
      <c r="L358" s="176">
        <f ca="1">INDEX('SKIKDA TO ROTT'!$A$6:$J$23,MATCH(MAIN!$E358,'SKIKDA TO ROTT'!$A$6:$A$23,0),9)</f>
        <v>-25.34590891459332</v>
      </c>
    </row>
    <row r="359" spans="1:12" ht="15.75" hidden="1" outlineLevel="1" thickBot="1" x14ac:dyDescent="0.3">
      <c r="A359" s="155"/>
      <c r="B359" s="255" t="s">
        <v>126</v>
      </c>
      <c r="C359" s="524"/>
      <c r="D359" s="525"/>
      <c r="E359" t="s">
        <v>126</v>
      </c>
      <c r="F359" s="517"/>
      <c r="G359" s="517"/>
      <c r="H359" s="517"/>
      <c r="I359" s="220">
        <f>I333</f>
        <v>0</v>
      </c>
      <c r="J359" s="217">
        <f ca="1">J337</f>
        <v>45918</v>
      </c>
      <c r="K359" s="217">
        <f ca="1">K337</f>
        <v>45932</v>
      </c>
      <c r="L359" s="217">
        <f ca="1">L337</f>
        <v>45946</v>
      </c>
    </row>
    <row r="360" spans="1:12" ht="15.75" hidden="1" outlineLevel="1" thickBot="1" x14ac:dyDescent="0.3">
      <c r="A360" s="155"/>
      <c r="B360" s="155"/>
      <c r="C360" s="155"/>
      <c r="D360" s="155"/>
      <c r="E360" s="155"/>
      <c r="F360" s="518"/>
      <c r="G360" s="518"/>
      <c r="H360" s="518"/>
      <c r="I360" s="155"/>
      <c r="J360" s="155"/>
      <c r="K360" s="155"/>
      <c r="L360" s="155"/>
    </row>
    <row r="361" spans="1:12" hidden="1" outlineLevel="1" x14ac:dyDescent="0.25">
      <c r="A361" s="155"/>
      <c r="B361" s="155"/>
      <c r="C361" s="522"/>
      <c r="D361" s="523"/>
      <c r="F361" s="505">
        <f ca="1">F337</f>
        <v>45918</v>
      </c>
      <c r="G361" s="505">
        <f t="shared" ref="G361:H361" ca="1" si="12">G337</f>
        <v>45932</v>
      </c>
      <c r="H361" s="505">
        <f t="shared" ca="1" si="12"/>
        <v>45946</v>
      </c>
      <c r="I361" s="164" t="str">
        <f>I312</f>
        <v xml:space="preserve">Sale premium </v>
      </c>
      <c r="J361" s="194">
        <f ca="1">J337</f>
        <v>45918</v>
      </c>
      <c r="K361" s="194">
        <f ca="1">K337</f>
        <v>45932</v>
      </c>
      <c r="L361" s="194">
        <f ca="1">L337</f>
        <v>45946</v>
      </c>
    </row>
    <row r="362" spans="1:12" collapsed="1" x14ac:dyDescent="0.25">
      <c r="A362" s="519" t="s">
        <v>279</v>
      </c>
      <c r="B362" s="168"/>
      <c r="C362" s="524"/>
      <c r="D362" s="525"/>
      <c r="F362" s="508" t="e">
        <f ca="1">F382+F363-F364</f>
        <v>#N/A</v>
      </c>
      <c r="G362" s="508" t="e">
        <f ca="1">G382+G363-G364</f>
        <v>#N/A</v>
      </c>
      <c r="H362" s="509" t="e">
        <f ca="1">H382+H363-H364</f>
        <v>#N/A</v>
      </c>
      <c r="I362" s="165"/>
      <c r="J362" s="160">
        <f ca="1">J382+J363-J364</f>
        <v>5.5096257416381462</v>
      </c>
      <c r="K362" s="160">
        <f ca="1">K382+K363-K364</f>
        <v>-3.184657648772816</v>
      </c>
      <c r="L362" s="161">
        <f ca="1">L382+L363-L364</f>
        <v>-3.184657648772816</v>
      </c>
    </row>
    <row r="363" spans="1:12" x14ac:dyDescent="0.25">
      <c r="A363" s="155"/>
      <c r="B363" s="169" t="s">
        <v>133</v>
      </c>
      <c r="C363" s="524"/>
      <c r="D363" s="525"/>
      <c r="E363" s="177" t="s">
        <v>128</v>
      </c>
      <c r="F363" s="510">
        <f ca="1">INDEX(Premium!$A$2:$D$15,MATCH(MAIN!$A362,Premium!$A$2:$A$15,0),MATCH(EOMONTH(F361,-1)+1,Premium!$A$2:$D$2,0))</f>
        <v>0.77</v>
      </c>
      <c r="G363" s="510">
        <f ca="1">INDEX(Premium!$A$2:$D$15,MATCH(MAIN!$A362,Premium!$A$2:$A$15,0),MATCH(EOMONTH(G361,-1)+1,Premium!$A$2:$D$2,0))</f>
        <v>0.77</v>
      </c>
      <c r="H363" s="510">
        <f ca="1">INDEX(Premium!$A$2:$D$15,MATCH(MAIN!$A362,Premium!$A$2:$A$15,0),MATCH(EOMONTH(H361,-1)+1,Premium!$A$2:$D$2,0))</f>
        <v>0.77</v>
      </c>
      <c r="I363" s="179" t="s">
        <v>128</v>
      </c>
      <c r="J363" s="175">
        <f ca="1">INDEX(Premium!$A$2:$D$15,MATCH(MAIN!$A362,Premium!$A$2:$A$15,0),MATCH(EOMONTH(J361,-1)+1,Premium!$A$2:$D$2,0))</f>
        <v>0.77</v>
      </c>
      <c r="K363" s="175">
        <f ca="1">INDEX(Premium!$A$2:$D$15,MATCH(MAIN!$A362,Premium!$A$2:$A$15,0),MATCH(EOMONTH(K361,-1)+1,Premium!$A$2:$D$2,0))</f>
        <v>0.77</v>
      </c>
      <c r="L363" s="175">
        <f ca="1">INDEX(Premium!$A$2:$D$15,MATCH(MAIN!$A362,Premium!$A$2:$A$15,0),MATCH(EOMONTH(L361,-1)+1,Premium!$A$2:$D$2,0))</f>
        <v>0.77</v>
      </c>
    </row>
    <row r="364" spans="1:12" ht="15.75" thickBot="1" x14ac:dyDescent="0.3">
      <c r="A364" s="155"/>
      <c r="B364" s="170" t="s">
        <v>132</v>
      </c>
      <c r="C364" s="524"/>
      <c r="D364" s="525"/>
      <c r="E364" s="177" t="s">
        <v>273</v>
      </c>
      <c r="F364" s="511" t="e">
        <f>INDEX(Premium!$A$21:$D$29,MATCH(MAIN!$A179,Premium!$A$21:$A$29,0),MATCH(EOMONTH(MAIN!F383,-1)+1,Premium!$A$21:$D$21,0))</f>
        <v>#N/A</v>
      </c>
      <c r="G364" s="511" t="e">
        <f>INDEX(Premium!$A$21:$D$29,MATCH(MAIN!$A179,Premium!$A$21:$A$29,0),MATCH(EOMONTH(MAIN!G383,-1)+1,Premium!$A$21:$D$21,0))</f>
        <v>#N/A</v>
      </c>
      <c r="H364" s="511" t="e">
        <f>INDEX(Premium!$A$21:$D$29,MATCH(MAIN!$A179,Premium!$A$21:$A$29,0),MATCH(EOMONTH(MAIN!H383,-1)+1,Premium!$A$21:$D$21,0))</f>
        <v>#N/A</v>
      </c>
      <c r="I364" s="179" t="s">
        <v>127</v>
      </c>
      <c r="J364" s="180">
        <f ca="1">INDEX(Premium!$A$21:$D$34,MATCH(MAIN!$A207,Premium!$A$21:$A$34,0),MATCH(EOMONTH(MAIN!J383,-1)+1,Premium!$A$21:$D$21,0))</f>
        <v>-2</v>
      </c>
      <c r="K364" s="180">
        <f ca="1">INDEX(Premium!$A$21:$D$34,MATCH(MAIN!$A207,Premium!$A$21:$A$34,0),MATCH(EOMONTH(MAIN!K383,-1)+1,Premium!$A$21:$D$21,0))</f>
        <v>0</v>
      </c>
      <c r="L364" s="180">
        <f ca="1">INDEX(Premium!$A$21:$D$34,MATCH(MAIN!$A207,Premium!$A$21:$A$34,0),MATCH(EOMONTH(MAIN!L383,-1)+1,Premium!$A$21:$D$21,0))</f>
        <v>0</v>
      </c>
    </row>
    <row r="365" spans="1:12" hidden="1" outlineLevel="1" x14ac:dyDescent="0.25">
      <c r="A365" s="155"/>
      <c r="B365" s="254" t="s">
        <v>53</v>
      </c>
      <c r="C365" s="524"/>
      <c r="D365" s="525"/>
      <c r="E365" s="6" t="s">
        <v>53</v>
      </c>
      <c r="F365" s="234"/>
      <c r="G365" s="241"/>
      <c r="H365" s="242"/>
      <c r="I365" s="250" t="s">
        <v>53</v>
      </c>
      <c r="J365" s="234">
        <f>INDEX('SKIKDA TO ROTT'!$A$6:$J$23,MATCH(MAIN!$E365,'SKIKDA TO ROTT'!$A$6:$A$23,0),6)</f>
        <v>12.770816326530612</v>
      </c>
      <c r="K365" s="241">
        <f>INDEX('SKIKDA TO ROTT'!$A$6:$J$23,MATCH(MAIN!$E365,'SKIKDA TO ROTT'!$A$6:$A$23,0),8)</f>
        <v>12.770816326530612</v>
      </c>
      <c r="L365" s="242">
        <f>INDEX('SKIKDA TO ROTT'!$A$6:$J$23,MATCH(MAIN!$E365,'SKIKDA TO ROTT'!$A$6:$A$23,0),10)</f>
        <v>12.770816326530612</v>
      </c>
    </row>
    <row r="366" spans="1:12" hidden="1" outlineLevel="1" x14ac:dyDescent="0.25">
      <c r="A366" s="155"/>
      <c r="B366" s="255" t="s">
        <v>54</v>
      </c>
      <c r="C366" s="524"/>
      <c r="D366" s="525"/>
      <c r="E366" t="s">
        <v>54</v>
      </c>
      <c r="F366" s="175"/>
      <c r="G366" s="178"/>
      <c r="H366" s="176"/>
      <c r="I366" s="179" t="s">
        <v>54</v>
      </c>
      <c r="J366" s="175">
        <f>INDEX('SKIKDA TO ROTT'!$A$6:$J$23,MATCH(MAIN!$E366,'SKIKDA TO ROTT'!$A$6:$A$23,0),6)</f>
        <v>0</v>
      </c>
      <c r="K366" s="178">
        <f>INDEX('SKIKDA TO ROTT'!$A$6:$J$23,MATCH(MAIN!$E366,'SKIKDA TO ROTT'!$A$6:$A$23,0),8)</f>
        <v>0</v>
      </c>
      <c r="L366" s="176">
        <f>INDEX('SKIKDA TO ROTT'!$A$6:$J$23,MATCH(MAIN!$E366,'SKIKDA TO ROTT'!$A$6:$A$23,0),10)</f>
        <v>0</v>
      </c>
    </row>
    <row r="367" spans="1:12" hidden="1" outlineLevel="1" x14ac:dyDescent="0.25">
      <c r="A367" s="155"/>
      <c r="B367" s="255" t="s">
        <v>55</v>
      </c>
      <c r="C367" s="524"/>
      <c r="D367" s="525"/>
      <c r="E367" t="s">
        <v>55</v>
      </c>
      <c r="F367" s="175"/>
      <c r="G367" s="178"/>
      <c r="H367" s="176"/>
      <c r="I367" s="179" t="s">
        <v>55</v>
      </c>
      <c r="J367" s="175">
        <f>INDEX('SKIKDA TO ROTT'!$A$6:$J$23,MATCH(MAIN!$E367,'SKIKDA TO ROTT'!$A$6:$A$23,0),6)</f>
        <v>2.3214285714285716</v>
      </c>
      <c r="K367" s="178">
        <f>INDEX('SKIKDA TO ROTT'!$A$6:$J$23,MATCH(MAIN!$E367,'SKIKDA TO ROTT'!$A$6:$A$23,0),8)</f>
        <v>2.3214285714285716</v>
      </c>
      <c r="L367" s="176">
        <f>INDEX('SKIKDA TO ROTT'!$A$6:$J$23,MATCH(MAIN!$E367,'SKIKDA TO ROTT'!$A$6:$A$23,0),10)</f>
        <v>2.3214285714285716</v>
      </c>
    </row>
    <row r="368" spans="1:12" hidden="1" outlineLevel="1" x14ac:dyDescent="0.25">
      <c r="A368" s="155"/>
      <c r="B368" s="255" t="s">
        <v>56</v>
      </c>
      <c r="C368" s="524"/>
      <c r="D368" s="525"/>
      <c r="E368" t="s">
        <v>56</v>
      </c>
      <c r="F368" s="175"/>
      <c r="G368" s="178"/>
      <c r="H368" s="176"/>
      <c r="I368" s="179" t="s">
        <v>56</v>
      </c>
      <c r="J368" s="175">
        <f>INDEX('SKIKDA TO ROTT'!$A$6:$J$23,MATCH(MAIN!$E368,'SKIKDA TO ROTT'!$A$6:$A$23,0),6)</f>
        <v>0.15306122448979592</v>
      </c>
      <c r="K368" s="178">
        <f>INDEX('SKIKDA TO ROTT'!$A$6:$J$23,MATCH(MAIN!$E368,'SKIKDA TO ROTT'!$A$6:$A$23,0),8)</f>
        <v>0.15306122448979592</v>
      </c>
      <c r="L368" s="176">
        <f>INDEX('SKIKDA TO ROTT'!$A$6:$J$23,MATCH(MAIN!$E368,'SKIKDA TO ROTT'!$A$6:$A$23,0),10)</f>
        <v>0.15306122448979592</v>
      </c>
    </row>
    <row r="369" spans="1:12" hidden="1" outlineLevel="1" x14ac:dyDescent="0.25">
      <c r="A369" s="155"/>
      <c r="B369" s="255" t="s">
        <v>124</v>
      </c>
      <c r="C369" s="524"/>
      <c r="D369" s="525"/>
      <c r="E369" t="s">
        <v>124</v>
      </c>
      <c r="F369" s="175"/>
      <c r="G369" s="178"/>
      <c r="H369" s="176"/>
      <c r="I369" s="179" t="s">
        <v>124</v>
      </c>
      <c r="J369" s="175">
        <f>INDEX('SKIKDA TO ROTT'!$A$6:$J$23,MATCH(MAIN!$E369,'SKIKDA TO ROTT'!$A$6:$A$23,0),6)</f>
        <v>0.25510204081632654</v>
      </c>
      <c r="K369" s="178">
        <f>INDEX('SKIKDA TO ROTT'!$A$6:$J$23,MATCH(MAIN!$E369,'SKIKDA TO ROTT'!$A$6:$A$23,0),8)</f>
        <v>0.25510204081632654</v>
      </c>
      <c r="L369" s="176">
        <f>INDEX('SKIKDA TO ROTT'!$A$6:$J$23,MATCH(MAIN!$E369,'SKIKDA TO ROTT'!$A$6:$A$23,0),10)</f>
        <v>0.25510204081632654</v>
      </c>
    </row>
    <row r="370" spans="1:12" hidden="1" outlineLevel="1" x14ac:dyDescent="0.25">
      <c r="A370" s="155"/>
      <c r="B370" s="255" t="s">
        <v>125</v>
      </c>
      <c r="C370" s="524"/>
      <c r="D370" s="525"/>
      <c r="E370" t="s">
        <v>125</v>
      </c>
      <c r="F370" s="175"/>
      <c r="G370" s="178"/>
      <c r="H370" s="176"/>
      <c r="I370" s="179" t="s">
        <v>125</v>
      </c>
      <c r="J370" s="175">
        <f>INDEX('SKIKDA TO ROTT'!$A$6:$J$23,MATCH(MAIN!$E370,'SKIKDA TO ROTT'!$A$6:$A$23,0),6)</f>
        <v>0.25510204081632654</v>
      </c>
      <c r="K370" s="178">
        <f>INDEX('SKIKDA TO ROTT'!$A$6:$J$23,MATCH(MAIN!$E370,'SKIKDA TO ROTT'!$A$6:$A$23,0),8)</f>
        <v>0.25510204081632654</v>
      </c>
      <c r="L370" s="176">
        <f>INDEX('SKIKDA TO ROTT'!$A$6:$J$23,MATCH(MAIN!$E370,'SKIKDA TO ROTT'!$A$6:$A$23,0),10)</f>
        <v>0.25510204081632654</v>
      </c>
    </row>
    <row r="371" spans="1:12" hidden="1" outlineLevel="1" x14ac:dyDescent="0.25">
      <c r="A371" s="155"/>
      <c r="B371" s="255" t="s">
        <v>81</v>
      </c>
      <c r="C371" s="524"/>
      <c r="D371" s="525"/>
      <c r="E371" t="s">
        <v>81</v>
      </c>
      <c r="F371" s="175"/>
      <c r="G371" s="178"/>
      <c r="H371" s="176"/>
      <c r="I371" s="179" t="s">
        <v>81</v>
      </c>
      <c r="J371" s="175">
        <f ca="1">INDEX('SKIKDA TO ROTT'!$A$6:$J$23,MATCH(MAIN!$E371,'SKIKDA TO ROTT'!$A$6:$A$23,0),6)</f>
        <v>4.005431998213222</v>
      </c>
      <c r="K371" s="178">
        <f ca="1">INDEX('SKIKDA TO ROTT'!$A$6:$J$23,MATCH(MAIN!$E371,'SKIKDA TO ROTT'!$A$6:$A$23,0),8)</f>
        <v>3.9715278886241805</v>
      </c>
      <c r="L371" s="176">
        <f ca="1">INDEX('SKIKDA TO ROTT'!$A$6:$J$23,MATCH(MAIN!$E371,'SKIKDA TO ROTT'!$A$6:$A$23,0),10)</f>
        <v>3.9715278886241805</v>
      </c>
    </row>
    <row r="372" spans="1:12" hidden="1" outlineLevel="1" x14ac:dyDescent="0.25">
      <c r="A372" s="155"/>
      <c r="B372" s="255" t="s">
        <v>57</v>
      </c>
      <c r="C372" s="524"/>
      <c r="D372" s="525"/>
      <c r="E372" t="s">
        <v>57</v>
      </c>
      <c r="F372" s="175"/>
      <c r="G372" s="178"/>
      <c r="H372" s="176"/>
      <c r="I372" s="179" t="s">
        <v>57</v>
      </c>
      <c r="J372" s="175">
        <f>INDEX('SKIKDA TO ROTT'!$A$6:$J$23,MATCH(MAIN!$E372,'SKIKDA TO ROTT'!$A$6:$A$23,0),6)</f>
        <v>0</v>
      </c>
      <c r="K372" s="178">
        <f>INDEX('SKIKDA TO ROTT'!$A$6:$J$23,MATCH(MAIN!$E372,'SKIKDA TO ROTT'!$A$6:$A$23,0),8)</f>
        <v>0</v>
      </c>
      <c r="L372" s="176">
        <f>INDEX('SKIKDA TO ROTT'!$A$6:$J$23,MATCH(MAIN!$E372,'SKIKDA TO ROTT'!$A$6:$A$23,0),10)</f>
        <v>0</v>
      </c>
    </row>
    <row r="373" spans="1:12" hidden="1" outlineLevel="1" x14ac:dyDescent="0.25">
      <c r="A373" s="155"/>
      <c r="B373" s="255" t="s">
        <v>58</v>
      </c>
      <c r="C373" s="524"/>
      <c r="D373" s="525"/>
      <c r="E373" t="s">
        <v>58</v>
      </c>
      <c r="F373" s="175"/>
      <c r="G373" s="178"/>
      <c r="H373" s="176"/>
      <c r="I373" s="179" t="s">
        <v>58</v>
      </c>
      <c r="J373" s="175">
        <f ca="1">INDEX('SKIKDA TO ROTT'!$A$6:$J$23,MATCH(MAIN!$E373,'SKIKDA TO ROTT'!$A$6:$A$23,0),6)</f>
        <v>0.33226879076086951</v>
      </c>
      <c r="K373" s="178">
        <f ca="1">INDEX('SKIKDA TO ROTT'!$A$6:$J$23,MATCH(MAIN!$E373,'SKIKDA TO ROTT'!$A$6:$A$23,0),8)</f>
        <v>0.32945629076086952</v>
      </c>
      <c r="L373" s="176">
        <f ca="1">INDEX('SKIKDA TO ROTT'!$A$6:$J$23,MATCH(MAIN!$E373,'SKIKDA TO ROTT'!$A$6:$A$23,0),10)</f>
        <v>0.32945629076086952</v>
      </c>
    </row>
    <row r="374" spans="1:12" hidden="1" outlineLevel="1" x14ac:dyDescent="0.25">
      <c r="A374" s="155"/>
      <c r="B374" s="255" t="s">
        <v>59</v>
      </c>
      <c r="C374" s="524"/>
      <c r="D374" s="525"/>
      <c r="E374" t="s">
        <v>59</v>
      </c>
      <c r="F374" s="175"/>
      <c r="G374" s="178"/>
      <c r="H374" s="176"/>
      <c r="I374" s="179" t="s">
        <v>59</v>
      </c>
      <c r="J374" s="175">
        <f ca="1">INDEX('SKIKDA TO ROTT'!$A$6:$J$23,MATCH(MAIN!$E374,'SKIKDA TO ROTT'!$A$6:$A$23,0),6)</f>
        <v>0</v>
      </c>
      <c r="K374" s="178">
        <f ca="1">INDEX('SKIKDA TO ROTT'!$A$6:$J$23,MATCH(MAIN!$E374,'SKIKDA TO ROTT'!$A$6:$A$23,0),8)</f>
        <v>0</v>
      </c>
      <c r="L374" s="176">
        <f ca="1">INDEX('SKIKDA TO ROTT'!$A$6:$J$23,MATCH(MAIN!$E374,'SKIKDA TO ROTT'!$A$6:$A$23,0),10)</f>
        <v>0</v>
      </c>
    </row>
    <row r="375" spans="1:12" hidden="1" outlineLevel="1" x14ac:dyDescent="0.25">
      <c r="A375" s="155"/>
      <c r="B375" s="255" t="s">
        <v>60</v>
      </c>
      <c r="C375" s="524"/>
      <c r="D375" s="525"/>
      <c r="E375" t="s">
        <v>60</v>
      </c>
      <c r="F375" s="175"/>
      <c r="G375" s="178"/>
      <c r="H375" s="176"/>
      <c r="I375" s="179" t="s">
        <v>60</v>
      </c>
      <c r="J375" s="175">
        <f>INDEX('SKIKDA TO ROTT'!$A$6:$J$23,MATCH(MAIN!$E375,'SKIKDA TO ROTT'!$A$6:$A$23,0),6)</f>
        <v>0.12755102040816327</v>
      </c>
      <c r="K375" s="178">
        <f>INDEX('SKIKDA TO ROTT'!$A$6:$J$23,MATCH(MAIN!$E375,'SKIKDA TO ROTT'!$A$6:$A$23,0),8)</f>
        <v>0.12755102040816327</v>
      </c>
      <c r="L375" s="176">
        <f>INDEX('SKIKDA TO ROTT'!$A$6:$J$23,MATCH(MAIN!$E375,'SKIKDA TO ROTT'!$A$6:$A$23,0),10)</f>
        <v>0.12755102040816327</v>
      </c>
    </row>
    <row r="376" spans="1:12" hidden="1" outlineLevel="1" x14ac:dyDescent="0.25">
      <c r="A376" s="155"/>
      <c r="B376" s="255" t="s">
        <v>61</v>
      </c>
      <c r="C376" s="524"/>
      <c r="D376" s="525"/>
      <c r="E376" t="s">
        <v>61</v>
      </c>
      <c r="F376" s="175"/>
      <c r="G376" s="178"/>
      <c r="H376" s="176"/>
      <c r="I376" s="179" t="s">
        <v>61</v>
      </c>
      <c r="J376" s="175">
        <f>INDEX('SKIKDA TO ROTT'!$A$6:$J$23,MATCH(MAIN!$E376,'SKIKDA TO ROTT'!$A$6:$A$23,0),6)</f>
        <v>1.2755102040816327E-2</v>
      </c>
      <c r="K376" s="178">
        <f>INDEX('SKIKDA TO ROTT'!$A$6:$J$23,MATCH(MAIN!$E376,'SKIKDA TO ROTT'!$A$6:$A$23,0),8)</f>
        <v>1.2755102040816327E-2</v>
      </c>
      <c r="L376" s="176">
        <f>INDEX('SKIKDA TO ROTT'!$A$6:$J$23,MATCH(MAIN!$E376,'SKIKDA TO ROTT'!$A$6:$A$23,0),10)</f>
        <v>1.2755102040816327E-2</v>
      </c>
    </row>
    <row r="377" spans="1:12" hidden="1" outlineLevel="1" x14ac:dyDescent="0.25">
      <c r="A377" s="155"/>
      <c r="B377" s="255" t="s">
        <v>62</v>
      </c>
      <c r="C377" s="524"/>
      <c r="D377" s="525"/>
      <c r="E377" t="s">
        <v>62</v>
      </c>
      <c r="F377" s="175"/>
      <c r="G377" s="178"/>
      <c r="H377" s="176"/>
      <c r="I377" s="179" t="s">
        <v>62</v>
      </c>
      <c r="J377" s="175">
        <f>INDEX('SKIKDA TO ROTT'!$A$6:$J$23,MATCH(MAIN!$E377,'SKIKDA TO ROTT'!$A$6:$A$23,0),6)</f>
        <v>1.2755102040816327E-2</v>
      </c>
      <c r="K377" s="178">
        <f>INDEX('SKIKDA TO ROTT'!$A$6:$J$23,MATCH(MAIN!$E377,'SKIKDA TO ROTT'!$A$6:$A$23,0),8)</f>
        <v>1.2755102040816327E-2</v>
      </c>
      <c r="L377" s="176">
        <f>INDEX('SKIKDA TO ROTT'!$A$6:$J$23,MATCH(MAIN!$E377,'SKIKDA TO ROTT'!$A$6:$A$23,0),10)</f>
        <v>1.2755102040816327E-2</v>
      </c>
    </row>
    <row r="378" spans="1:12" hidden="1" outlineLevel="1" x14ac:dyDescent="0.25">
      <c r="A378" s="155"/>
      <c r="B378" s="255" t="s">
        <v>63</v>
      </c>
      <c r="C378" s="524"/>
      <c r="D378" s="525"/>
      <c r="E378" t="s">
        <v>63</v>
      </c>
      <c r="F378" s="175"/>
      <c r="G378" s="178"/>
      <c r="H378" s="176"/>
      <c r="I378" s="179" t="s">
        <v>63</v>
      </c>
      <c r="J378" s="175">
        <f>INDEX('SKIKDA TO ROTT'!$A$6:$J$23,MATCH(MAIN!$E378,'SKIKDA TO ROTT'!$A$6:$A$23,0),6)</f>
        <v>0.15306122448979592</v>
      </c>
      <c r="K378" s="178">
        <f>INDEX('SKIKDA TO ROTT'!$A$6:$J$23,MATCH(MAIN!$E378,'SKIKDA TO ROTT'!$A$6:$A$23,0),8)</f>
        <v>0.15306122448979592</v>
      </c>
      <c r="L378" s="176">
        <f>INDEX('SKIKDA TO ROTT'!$A$6:$J$23,MATCH(MAIN!$E378,'SKIKDA TO ROTT'!$A$6:$A$23,0),10)</f>
        <v>0.15306122448979592</v>
      </c>
    </row>
    <row r="379" spans="1:12" hidden="1" outlineLevel="1" x14ac:dyDescent="0.25">
      <c r="A379" s="155"/>
      <c r="B379" s="255" t="s">
        <v>64</v>
      </c>
      <c r="C379" s="524"/>
      <c r="D379" s="525"/>
      <c r="E379" t="s">
        <v>64</v>
      </c>
      <c r="F379" s="175"/>
      <c r="G379" s="178"/>
      <c r="H379" s="176"/>
      <c r="I379" s="179" t="s">
        <v>64</v>
      </c>
      <c r="J379" s="175">
        <f>INDEX('SKIKDA TO ROTT'!$A$6:$J$23,MATCH(MAIN!$E379,'SKIKDA TO ROTT'!$A$6:$A$23,0),6)</f>
        <v>0.10204081632653061</v>
      </c>
      <c r="K379" s="178">
        <f>INDEX('SKIKDA TO ROTT'!$A$6:$J$23,MATCH(MAIN!$E379,'SKIKDA TO ROTT'!$A$6:$A$23,0),8)</f>
        <v>0.10204081632653061</v>
      </c>
      <c r="L379" s="176">
        <f>INDEX('SKIKDA TO ROTT'!$A$6:$J$23,MATCH(MAIN!$E379,'SKIKDA TO ROTT'!$A$6:$A$23,0),10)</f>
        <v>0.10204081632653061</v>
      </c>
    </row>
    <row r="380" spans="1:12" hidden="1" outlineLevel="1" x14ac:dyDescent="0.25">
      <c r="A380" s="155"/>
      <c r="B380" s="255" t="s">
        <v>100</v>
      </c>
      <c r="C380" s="524"/>
      <c r="D380" s="525"/>
      <c r="E380" t="s">
        <v>100</v>
      </c>
      <c r="F380" s="175"/>
      <c r="G380" s="178"/>
      <c r="H380" s="176"/>
      <c r="I380" s="179" t="s">
        <v>100</v>
      </c>
      <c r="J380" s="175">
        <f ca="1">INDEX('SKIKDA TO ROTT'!$A$6:$J$23,MATCH(MAIN!$E380,'SKIKDA TO ROTT'!$A$6:$A$23,0),6)</f>
        <v>20.501374258361853</v>
      </c>
      <c r="K380" s="178">
        <f ca="1">INDEX('SKIKDA TO ROTT'!$A$6:$J$23,MATCH(MAIN!$E380,'SKIKDA TO ROTT'!$A$6:$A$23,0),8)</f>
        <v>20.46465764877281</v>
      </c>
      <c r="L380" s="176">
        <f ca="1">INDEX('SKIKDA TO ROTT'!$A$6:$J$23,MATCH(MAIN!$E380,'SKIKDA TO ROTT'!$A$6:$A$23,0),10)</f>
        <v>20.46465764877281</v>
      </c>
    </row>
    <row r="381" spans="1:12" hidden="1" outlineLevel="1" x14ac:dyDescent="0.25">
      <c r="A381" s="155"/>
      <c r="B381" s="255" t="s">
        <v>101</v>
      </c>
      <c r="C381" s="524"/>
      <c r="D381" s="525"/>
      <c r="E381" t="s">
        <v>101</v>
      </c>
      <c r="F381" s="175"/>
      <c r="G381" s="178"/>
      <c r="H381" s="176"/>
      <c r="I381" s="179" t="s">
        <v>101</v>
      </c>
      <c r="J381" s="175">
        <f ca="1">INDEX('SKIKDA TO ROTT'!$A$6:$J$23,MATCH(MAIN!$E381,'SKIKDA TO ROTT'!$A$6:$A$23,0),6)</f>
        <v>23.241</v>
      </c>
      <c r="K381" s="178">
        <f ca="1">INDEX('SKIKDA TO ROTT'!$A$6:$J$23,MATCH(MAIN!$E381,'SKIKDA TO ROTT'!$A$6:$A$23,0),8)</f>
        <v>16.509999999999994</v>
      </c>
      <c r="L381" s="176">
        <f ca="1">INDEX('SKIKDA TO ROTT'!$A$6:$J$23,MATCH(MAIN!$E381,'SKIKDA TO ROTT'!$A$6:$A$23,0),10)</f>
        <v>16.509999999999994</v>
      </c>
    </row>
    <row r="382" spans="1:12" hidden="1" outlineLevel="1" x14ac:dyDescent="0.25">
      <c r="A382" s="155"/>
      <c r="B382" s="255" t="s">
        <v>113</v>
      </c>
      <c r="C382" s="524"/>
      <c r="D382" s="525"/>
      <c r="E382" t="s">
        <v>113</v>
      </c>
      <c r="F382" s="175"/>
      <c r="G382" s="178"/>
      <c r="H382" s="176"/>
      <c r="I382" s="179" t="s">
        <v>113</v>
      </c>
      <c r="J382" s="175">
        <f ca="1">INDEX('SKIKDA TO ROTT'!$A$6:$J$23,MATCH(MAIN!$E382,'SKIKDA TO ROTT'!$A$6:$A$23,0),6)</f>
        <v>2.7396257416381466</v>
      </c>
      <c r="K382" s="178">
        <f ca="1">INDEX('SKIKDA TO ROTT'!$A$6:$J$23,MATCH(MAIN!$E382,'SKIKDA TO ROTT'!$A$6:$A$23,0),8)</f>
        <v>-3.954657648772816</v>
      </c>
      <c r="L382" s="176">
        <f ca="1">INDEX('SKIKDA TO ROTT'!$A$6:$J$23,MATCH(MAIN!$E382,'SKIKDA TO ROTT'!$A$6:$A$23,0),10)</f>
        <v>-3.954657648772816</v>
      </c>
    </row>
    <row r="383" spans="1:12" ht="15.75" hidden="1" outlineLevel="1" thickBot="1" x14ac:dyDescent="0.3">
      <c r="A383" s="155"/>
      <c r="B383" s="255" t="s">
        <v>126</v>
      </c>
      <c r="C383" s="524"/>
      <c r="D383" s="525"/>
      <c r="E383" t="s">
        <v>126</v>
      </c>
      <c r="F383" s="217"/>
      <c r="G383" s="217"/>
      <c r="H383" s="217"/>
      <c r="I383" s="220" t="str">
        <f>I357</f>
        <v>ROLL</v>
      </c>
      <c r="J383" s="217">
        <f ca="1">J361</f>
        <v>45918</v>
      </c>
      <c r="K383" s="217">
        <f ca="1">K361</f>
        <v>45932</v>
      </c>
      <c r="L383" s="217">
        <f ca="1">L361</f>
        <v>45946</v>
      </c>
    </row>
    <row r="384" spans="1:12" collapsed="1" x14ac:dyDescent="0.25"/>
    <row r="385" spans="1:12" ht="15.75" thickBot="1" x14ac:dyDescent="0.3"/>
    <row r="386" spans="1:12" ht="15.75" thickBot="1" x14ac:dyDescent="0.3">
      <c r="A386" s="548" t="s">
        <v>245</v>
      </c>
      <c r="B386" s="489"/>
      <c r="C386" s="549"/>
      <c r="D386" s="550"/>
      <c r="E386" s="489"/>
      <c r="F386" s="551" t="s">
        <v>129</v>
      </c>
      <c r="G386" s="552"/>
      <c r="H386" s="553"/>
      <c r="I386" s="489"/>
      <c r="J386" s="551" t="s">
        <v>130</v>
      </c>
      <c r="K386" s="552"/>
      <c r="L386" s="553"/>
    </row>
    <row r="387" spans="1:12" ht="15.75" thickBot="1" x14ac:dyDescent="0.3">
      <c r="A387" s="548"/>
      <c r="B387" s="490" t="s">
        <v>184</v>
      </c>
      <c r="C387" s="491"/>
      <c r="D387" s="492"/>
      <c r="E387" s="489"/>
      <c r="F387" s="493" t="str">
        <f ca="1">IF(DAY(F388)&lt;15,"1H-"&amp;VLOOKUP(MONTH(F388),Mapping!$A$1:$B$12,2,0),"2H-"&amp;VLOOKUP(MONTH(F388),Mapping!$A$1:$B$12,2,0))</f>
        <v>2H-SEP</v>
      </c>
      <c r="G387" s="494" t="str">
        <f ca="1">IF(DAY(G388)&lt;15,"1H-"&amp;VLOOKUP(MONTH(G388),Mapping!$A$1:$B$12,2,0),"2H-"&amp;VLOOKUP(MONTH(G388),Mapping!$A$1:$B$12,2,0))</f>
        <v>1H-OCT</v>
      </c>
      <c r="H387" s="495" t="str">
        <f ca="1">IF(DAY(H388)&lt;15,"1H-"&amp;VLOOKUP(MONTH(H388),Mapping!$A$1:$B$12,2,0),"2H-"&amp;VLOOKUP(MONTH(H388),Mapping!$A$1:$B$12,2,0))</f>
        <v>2H-OCT</v>
      </c>
      <c r="I387" s="496" t="e">
        <f>IF(DAY(I388)&lt;15,"1H-"&amp;VLOOKUP(MONTH(I388),Mapping!$A$1:$B$12,2,0),"2H-"&amp;VLOOKUP(MONTH(I388),Mapping!$A$1:$B$12,2,0))</f>
        <v>#VALUE!</v>
      </c>
      <c r="J387" s="493" t="str">
        <f ca="1">IF(DAY(J388)&lt;15,"1H-"&amp;VLOOKUP(MONTH(J388),Mapping!$A$1:$B$12,2,0),"2H-"&amp;VLOOKUP(MONTH(J388),Mapping!$A$1:$B$12,2,0))</f>
        <v>2H-SEP</v>
      </c>
      <c r="K387" s="494" t="str">
        <f ca="1">IF(DAY(K388)&lt;15,"1H-"&amp;VLOOKUP(MONTH(K388),Mapping!$A$1:$B$12,2,0),"2H-"&amp;VLOOKUP(MONTH(K388),Mapping!$A$1:$B$12,2,0))</f>
        <v>1H-OCT</v>
      </c>
      <c r="L387" s="495" t="str">
        <f ca="1">IF(DAY(L388)&lt;15,"1H-"&amp;VLOOKUP(MONTH(L388),Mapping!$A$1:$B$12,2,0),"2H-"&amp;VLOOKUP(MONTH(L388),Mapping!$A$1:$B$12,2,0))</f>
        <v>2H-OCT</v>
      </c>
    </row>
    <row r="388" spans="1:12" x14ac:dyDescent="0.25">
      <c r="C388" s="522"/>
      <c r="D388" s="523"/>
      <c r="F388" s="158">
        <f ca="1">'Loading Arrival'!L30</f>
        <v>45917</v>
      </c>
      <c r="G388" s="194">
        <f ca="1">'Loading Arrival'!M30</f>
        <v>45931</v>
      </c>
      <c r="H388" s="195">
        <f ca="1">'Loading Arrival'!N30</f>
        <v>45945</v>
      </c>
      <c r="I388" s="164" t="str">
        <f>I339</f>
        <v xml:space="preserve">Sale premium </v>
      </c>
      <c r="J388" s="194">
        <f ca="1">F388</f>
        <v>45917</v>
      </c>
      <c r="K388" s="194">
        <f ca="1">G388</f>
        <v>45931</v>
      </c>
      <c r="L388" s="194">
        <f ca="1">H388</f>
        <v>45945</v>
      </c>
    </row>
    <row r="389" spans="1:12" x14ac:dyDescent="0.25">
      <c r="A389" s="199" t="s">
        <v>280</v>
      </c>
      <c r="B389" s="168"/>
      <c r="C389" s="524"/>
      <c r="D389" s="525"/>
      <c r="F389" s="159">
        <f ca="1">F409+F390-F391</f>
        <v>-3.6633920890411531</v>
      </c>
      <c r="G389" s="159">
        <f ca="1">G409+G390-G391</f>
        <v>-12.594772945205559</v>
      </c>
      <c r="H389" s="161">
        <f ca="1">H409+H390-H391</f>
        <v>-12.594772945205559</v>
      </c>
      <c r="I389" s="165"/>
      <c r="J389" s="160">
        <f ca="1">J409+J390-J391</f>
        <v>-4.9852778033268734</v>
      </c>
      <c r="K389" s="160">
        <f ca="1">K409+K390-K391</f>
        <v>-13.916658659491276</v>
      </c>
      <c r="L389" s="161">
        <f ca="1">L409+L390-L391</f>
        <v>-13.916658659491276</v>
      </c>
    </row>
    <row r="390" spans="1:12" x14ac:dyDescent="0.25">
      <c r="A390" s="155"/>
      <c r="B390" s="169" t="s">
        <v>133</v>
      </c>
      <c r="C390" s="524"/>
      <c r="D390" s="525"/>
      <c r="E390" s="177" t="s">
        <v>128</v>
      </c>
      <c r="F390" s="175">
        <f ca="1">INDEX(Premium!$A$2:$D$15,MATCH(MAIN!$A389,Premium!$A$2:$A$15,0),MATCH(EOMONTH(F388,-1)+1,Premium!$A$2:$D$2,0))</f>
        <v>3</v>
      </c>
      <c r="G390" s="175">
        <f ca="1">INDEX(Premium!$A$2:$D$15,MATCH(MAIN!$A389,Premium!$A$2:$A$15,0),MATCH(EOMONTH(G388,-1)+1,Premium!$A$2:$D$2,0))</f>
        <v>3</v>
      </c>
      <c r="H390" s="175">
        <f ca="1">INDEX(Premium!$A$2:$D$15,MATCH(MAIN!$A389,Premium!$A$2:$A$15,0),MATCH(EOMONTH(H388,-1)+1,Premium!$A$2:$D$2,0))</f>
        <v>3</v>
      </c>
      <c r="I390" s="179" t="s">
        <v>128</v>
      </c>
      <c r="J390" s="175">
        <f ca="1">INDEX(Premium!$A$2:$D$15,MATCH(MAIN!$A389,Premium!$A$2:$A$15,0),MATCH(EOMONTH(J388,-1)+1,Premium!$A$2:$D$2,0))</f>
        <v>3</v>
      </c>
      <c r="K390" s="175">
        <f ca="1">INDEX(Premium!$A$2:$D$15,MATCH(MAIN!$A389,Premium!$A$2:$A$15,0),MATCH(EOMONTH(K388,-1)+1,Premium!$A$2:$D$2,0))</f>
        <v>3</v>
      </c>
      <c r="L390" s="175">
        <f ca="1">INDEX(Premium!$A$2:$D$15,MATCH(MAIN!$A389,Premium!$A$2:$A$15,0),MATCH(EOMONTH(L388,-1)+1,Premium!$A$2:$D$2,0))</f>
        <v>3</v>
      </c>
    </row>
    <row r="391" spans="1:12" ht="15.75" thickBot="1" x14ac:dyDescent="0.3">
      <c r="A391" s="155"/>
      <c r="B391" s="170" t="s">
        <v>132</v>
      </c>
      <c r="C391" s="524"/>
      <c r="D391" s="525"/>
      <c r="E391" s="177" t="s">
        <v>272</v>
      </c>
      <c r="F391" s="180">
        <f ca="1">INDEX(Premium!$A$21:$D$34,MATCH(MAIN!$A152,Premium!$A$21:$A$34,0),MATCH(EOMONTH(MAIN!F410,-1)+1,Premium!$A$21:$D$21,0))</f>
        <v>-7.25</v>
      </c>
      <c r="G391" s="180">
        <f ca="1">INDEX(Premium!$A$21:$D$34,MATCH(MAIN!$A152,Premium!$A$21:$A$34,0),MATCH(EOMONTH(MAIN!G410,-1)+1,Premium!$A$21:$D$21,0))</f>
        <v>-7.25</v>
      </c>
      <c r="H391" s="180">
        <f ca="1">INDEX(Premium!$A$21:$D$34,MATCH(MAIN!$A152,Premium!$A$21:$A$34,0),MATCH(EOMONTH(MAIN!H410,-1)+1,Premium!$A$21:$D$21,0))</f>
        <v>-7.25</v>
      </c>
      <c r="I391" s="179" t="s">
        <v>127</v>
      </c>
      <c r="J391" s="180">
        <f ca="1">INDEX(Premium!$A$21:$D$34,MATCH(MAIN!$A152,Premium!$A$21:$A$34,0),MATCH(EOMONTH(MAIN!J410,-1)+1,Premium!$A$21:$D$21,0))</f>
        <v>-7.25</v>
      </c>
      <c r="K391" s="180">
        <f ca="1">INDEX(Premium!$A$21:$D$34,MATCH(MAIN!$A152,Premium!$A$21:$A$34,0),MATCH(EOMONTH(MAIN!K410,-1)+1,Premium!$A$21:$D$21,0))</f>
        <v>-7.25</v>
      </c>
      <c r="L391" s="180">
        <f ca="1">INDEX(Premium!$A$21:$D$34,MATCH(MAIN!$A152,Premium!$A$21:$A$34,0),MATCH(EOMONTH(MAIN!L410,-1)+1,Premium!$A$21:$D$21,0))</f>
        <v>-7.25</v>
      </c>
    </row>
    <row r="392" spans="1:12" hidden="1" outlineLevel="1" x14ac:dyDescent="0.25">
      <c r="A392" s="155"/>
      <c r="B392" s="254" t="s">
        <v>53</v>
      </c>
      <c r="C392" s="524"/>
      <c r="D392" s="525"/>
      <c r="E392" s="6" t="s">
        <v>53</v>
      </c>
      <c r="F392" s="234">
        <f>INDEX('ARZEW TO ROTT'!$A$6:$J$23,MATCH(MAIN!$E392,'ARZEW TO ROTT'!$A$6:$A$23,0),5)</f>
        <v>7.8624000000000001</v>
      </c>
      <c r="G392" s="241">
        <f>INDEX('ARZEW TO ROTT'!$A$6:$J$23,MATCH(MAIN!$E392,'ARZEW TO ROTT'!$A$6:$A$23,0),7)</f>
        <v>7.8624000000000001</v>
      </c>
      <c r="H392" s="242">
        <f>INDEX('ARZEW TO ROTT'!$A$6:$J$23,MATCH(MAIN!$E392,'ARZEW TO ROTT'!$A$6:$A$23,0),9)</f>
        <v>7.8624000000000001</v>
      </c>
      <c r="I392" s="250" t="s">
        <v>53</v>
      </c>
      <c r="J392" s="234">
        <f>INDEX('ARZEW TO ROTT'!$L$6:$U$23,MATCH(MAIN!$I392,'ARZEW TO ROTT'!$L$6:$L$23,0),5)</f>
        <v>10.491428571428571</v>
      </c>
      <c r="K392" s="241">
        <f>INDEX('ARZEW TO ROTT'!$L$6:$U$23,MATCH(MAIN!$I392,'ARZEW TO ROTT'!$L$6:$L$23,0),7)</f>
        <v>10.491428571428571</v>
      </c>
      <c r="L392" s="242">
        <f>INDEX('ARZEW TO ROTT'!$L$6:$U$23,MATCH(MAIN!$I392,'ARZEW TO ROTT'!$L$6:$L$23,0),9)</f>
        <v>10.491428571428571</v>
      </c>
    </row>
    <row r="393" spans="1:12" hidden="1" outlineLevel="1" x14ac:dyDescent="0.25">
      <c r="A393" s="155"/>
      <c r="B393" s="255" t="s">
        <v>54</v>
      </c>
      <c r="C393" s="524"/>
      <c r="D393" s="525"/>
      <c r="E393" t="s">
        <v>54</v>
      </c>
      <c r="F393" s="175">
        <f>INDEX('ARZEW TO ROTT'!$A$6:$J$23,MATCH(MAIN!$E393,'ARZEW TO ROTT'!$A$6:$A$23,0),5)</f>
        <v>0</v>
      </c>
      <c r="G393" s="178">
        <f>INDEX('ARZEW TO ROTT'!$A$6:$J$23,MATCH(MAIN!$E393,'ARZEW TO ROTT'!$A$6:$A$23,0),7)</f>
        <v>0</v>
      </c>
      <c r="H393" s="176">
        <f>INDEX('ARZEW TO ROTT'!$A$6:$J$23,MATCH(MAIN!$E393,'ARZEW TO ROTT'!$A$6:$A$23,0),9)</f>
        <v>0</v>
      </c>
      <c r="I393" s="179" t="s">
        <v>54</v>
      </c>
      <c r="J393" s="175">
        <f>INDEX('ARZEW TO ROTT'!$L$6:$U$23,MATCH(MAIN!$I393,'ARZEW TO ROTT'!$L$6:$L$23,0),5)</f>
        <v>0</v>
      </c>
      <c r="K393" s="178">
        <f>INDEX('ARZEW TO ROTT'!$L$6:$U$23,MATCH(MAIN!$I393,'ARZEW TO ROTT'!$L$6:$L$23,0),7)</f>
        <v>0</v>
      </c>
      <c r="L393" s="176">
        <f>INDEX('ARZEW TO ROTT'!$L$6:$U$23,MATCH(MAIN!$I393,'ARZEW TO ROTT'!$L$6:$L$23,0),9)</f>
        <v>0</v>
      </c>
    </row>
    <row r="394" spans="1:12" hidden="1" outlineLevel="1" x14ac:dyDescent="0.25">
      <c r="A394" s="155"/>
      <c r="B394" s="255" t="s">
        <v>55</v>
      </c>
      <c r="C394" s="524"/>
      <c r="D394" s="525"/>
      <c r="E394" t="s">
        <v>55</v>
      </c>
      <c r="F394" s="175">
        <f>INDEX('ARZEW TO ROTT'!$A$6:$J$23,MATCH(MAIN!$E394,'ARZEW TO ROTT'!$A$6:$A$23,0),5)</f>
        <v>4</v>
      </c>
      <c r="G394" s="178">
        <f>INDEX('ARZEW TO ROTT'!$A$6:$J$23,MATCH(MAIN!$E394,'ARZEW TO ROTT'!$A$6:$A$23,0),7)</f>
        <v>4</v>
      </c>
      <c r="H394" s="176">
        <f>INDEX('ARZEW TO ROTT'!$A$6:$J$23,MATCH(MAIN!$E394,'ARZEW TO ROTT'!$A$6:$A$23,0),9)</f>
        <v>4</v>
      </c>
      <c r="I394" s="179" t="s">
        <v>55</v>
      </c>
      <c r="J394" s="175">
        <f>INDEX('ARZEW TO ROTT'!$L$6:$U$23,MATCH(MAIN!$I394,'ARZEW TO ROTT'!$L$6:$L$23,0),5)</f>
        <v>2.3214285714285716</v>
      </c>
      <c r="K394" s="178">
        <f>INDEX('ARZEW TO ROTT'!$L$6:$U$23,MATCH(MAIN!$I394,'ARZEW TO ROTT'!$L$6:$L$23,0),7)</f>
        <v>2.3214285714285716</v>
      </c>
      <c r="L394" s="176">
        <f>INDEX('ARZEW TO ROTT'!$L$6:$U$23,MATCH(MAIN!$I394,'ARZEW TO ROTT'!$L$6:$L$23,0),9)</f>
        <v>2.3214285714285716</v>
      </c>
    </row>
    <row r="395" spans="1:12" hidden="1" outlineLevel="1" x14ac:dyDescent="0.25">
      <c r="A395" s="155"/>
      <c r="B395" s="255" t="s">
        <v>56</v>
      </c>
      <c r="C395" s="524"/>
      <c r="D395" s="525"/>
      <c r="E395" t="s">
        <v>56</v>
      </c>
      <c r="F395" s="175">
        <f>INDEX('ARZEW TO ROTT'!$A$6:$J$23,MATCH(MAIN!$E395,'ARZEW TO ROTT'!$A$6:$A$23,0),5)</f>
        <v>0.1</v>
      </c>
      <c r="G395" s="178">
        <f>INDEX('ARZEW TO ROTT'!$A$6:$J$23,MATCH(MAIN!$E395,'ARZEW TO ROTT'!$A$6:$A$23,0),7)</f>
        <v>0.1</v>
      </c>
      <c r="H395" s="176">
        <f>INDEX('ARZEW TO ROTT'!$A$6:$J$23,MATCH(MAIN!$E395,'ARZEW TO ROTT'!$A$6:$A$23,0),9)</f>
        <v>0.1</v>
      </c>
      <c r="I395" s="179" t="s">
        <v>56</v>
      </c>
      <c r="J395" s="175">
        <f>INDEX('ARZEW TO ROTT'!$L$6:$U$23,MATCH(MAIN!$I395,'ARZEW TO ROTT'!$L$6:$L$23,0),5)</f>
        <v>0.15306122448979592</v>
      </c>
      <c r="K395" s="178">
        <f>INDEX('ARZEW TO ROTT'!$L$6:$U$23,MATCH(MAIN!$I395,'ARZEW TO ROTT'!$L$6:$L$23,0),7)</f>
        <v>0.15306122448979592</v>
      </c>
      <c r="L395" s="176">
        <f>INDEX('ARZEW TO ROTT'!$L$6:$U$23,MATCH(MAIN!$I395,'ARZEW TO ROTT'!$L$6:$L$23,0),9)</f>
        <v>0.15306122448979592</v>
      </c>
    </row>
    <row r="396" spans="1:12" hidden="1" outlineLevel="1" x14ac:dyDescent="0.25">
      <c r="A396" s="155"/>
      <c r="B396" s="255" t="s">
        <v>124</v>
      </c>
      <c r="C396" s="524"/>
      <c r="D396" s="525"/>
      <c r="E396" t="s">
        <v>124</v>
      </c>
      <c r="F396" s="175">
        <f>INDEX('ARZEW TO ROTT'!$A$6:$J$23,MATCH(MAIN!$E396,'ARZEW TO ROTT'!$A$6:$A$23,0),5)</f>
        <v>0.16666666666666666</v>
      </c>
      <c r="G396" s="178">
        <f>INDEX('ARZEW TO ROTT'!$A$6:$J$23,MATCH(MAIN!$E396,'ARZEW TO ROTT'!$A$6:$A$23,0),7)</f>
        <v>0.16666666666666666</v>
      </c>
      <c r="H396" s="176">
        <f>INDEX('ARZEW TO ROTT'!$A$6:$J$23,MATCH(MAIN!$E396,'ARZEW TO ROTT'!$A$6:$A$23,0),9)</f>
        <v>0.16666666666666666</v>
      </c>
      <c r="I396" s="179" t="s">
        <v>124</v>
      </c>
      <c r="J396" s="175">
        <f>INDEX('ARZEW TO ROTT'!$L$6:$U$23,MATCH(MAIN!$I396,'ARZEW TO ROTT'!$L$6:$L$23,0),5)</f>
        <v>0.25510204081632654</v>
      </c>
      <c r="K396" s="178">
        <f>INDEX('ARZEW TO ROTT'!$L$6:$U$23,MATCH(MAIN!$I396,'ARZEW TO ROTT'!$L$6:$L$23,0),7)</f>
        <v>0.25510204081632654</v>
      </c>
      <c r="L396" s="176">
        <f>INDEX('ARZEW TO ROTT'!$L$6:$U$23,MATCH(MAIN!$I396,'ARZEW TO ROTT'!$L$6:$L$23,0),9)</f>
        <v>0.25510204081632654</v>
      </c>
    </row>
    <row r="397" spans="1:12" hidden="1" outlineLevel="1" x14ac:dyDescent="0.25">
      <c r="A397" s="155"/>
      <c r="B397" s="255" t="s">
        <v>125</v>
      </c>
      <c r="C397" s="524"/>
      <c r="D397" s="525"/>
      <c r="E397" t="s">
        <v>125</v>
      </c>
      <c r="F397" s="175">
        <f>INDEX('ARZEW TO ROTT'!$A$6:$J$23,MATCH(MAIN!$E397,'ARZEW TO ROTT'!$A$6:$A$23,0),5)</f>
        <v>0.16666666666666666</v>
      </c>
      <c r="G397" s="178">
        <f>INDEX('ARZEW TO ROTT'!$A$6:$J$23,MATCH(MAIN!$E397,'ARZEW TO ROTT'!$A$6:$A$23,0),7)</f>
        <v>0.16666666666666666</v>
      </c>
      <c r="H397" s="176">
        <f>INDEX('ARZEW TO ROTT'!$A$6:$J$23,MATCH(MAIN!$E397,'ARZEW TO ROTT'!$A$6:$A$23,0),9)</f>
        <v>0.16666666666666666</v>
      </c>
      <c r="I397" s="179" t="s">
        <v>125</v>
      </c>
      <c r="J397" s="175">
        <f>INDEX('ARZEW TO ROTT'!$L$6:$U$23,MATCH(MAIN!$I397,'ARZEW TO ROTT'!$L$6:$L$23,0),5)</f>
        <v>0.25510204081632654</v>
      </c>
      <c r="K397" s="178">
        <f>INDEX('ARZEW TO ROTT'!$L$6:$U$23,MATCH(MAIN!$I397,'ARZEW TO ROTT'!$L$6:$L$23,0),7)</f>
        <v>0.25510204081632654</v>
      </c>
      <c r="L397" s="176">
        <f>INDEX('ARZEW TO ROTT'!$L$6:$U$23,MATCH(MAIN!$I397,'ARZEW TO ROTT'!$L$6:$L$23,0),9)</f>
        <v>0.25510204081632654</v>
      </c>
    </row>
    <row r="398" spans="1:12" hidden="1" outlineLevel="1" x14ac:dyDescent="0.25">
      <c r="A398" s="155"/>
      <c r="B398" s="255" t="s">
        <v>81</v>
      </c>
      <c r="C398" s="524"/>
      <c r="D398" s="525"/>
      <c r="E398" t="s">
        <v>81</v>
      </c>
      <c r="F398" s="175">
        <f ca="1">INDEX('ARZEW TO ROTT'!$A$6:$J$23,MATCH(MAIN!$E398,'ARZEW TO ROTT'!$A$6:$A$23,0),5)</f>
        <v>3.379109589041096</v>
      </c>
      <c r="G398" s="178">
        <f ca="1">INDEX('ARZEW TO ROTT'!$A$6:$J$23,MATCH(MAIN!$E398,'ARZEW TO ROTT'!$A$6:$A$23,0),7)</f>
        <v>3.3655479452054795</v>
      </c>
      <c r="H398" s="176">
        <f ca="1">INDEX('ARZEW TO ROTT'!$A$6:$J$23,MATCH(MAIN!$E398,'ARZEW TO ROTT'!$A$6:$A$23,0),9)</f>
        <v>3.3655479452054795</v>
      </c>
      <c r="I398" s="179" t="s">
        <v>81</v>
      </c>
      <c r="J398" s="175">
        <f ca="1">INDEX('ARZEW TO ROTT'!$L$6:$U$23,MATCH(MAIN!$I398,'ARZEW TO ROTT'!$L$6:$L$23,0),5)</f>
        <v>3.379109589041096</v>
      </c>
      <c r="K398" s="178">
        <f ca="1">INDEX('ARZEW TO ROTT'!$L$6:$U$23,MATCH(MAIN!$I398,'ARZEW TO ROTT'!$L$6:$L$23,0),7)</f>
        <v>3.3655479452054795</v>
      </c>
      <c r="L398" s="176">
        <f ca="1">INDEX('ARZEW TO ROTT'!$L$6:$U$23,MATCH(MAIN!$I398,'ARZEW TO ROTT'!$L$6:$L$23,0),9)</f>
        <v>3.3655479452054795</v>
      </c>
    </row>
    <row r="399" spans="1:12" hidden="1" outlineLevel="1" x14ac:dyDescent="0.25">
      <c r="A399" s="155"/>
      <c r="B399" s="255" t="s">
        <v>57</v>
      </c>
      <c r="C399" s="524"/>
      <c r="D399" s="525"/>
      <c r="E399" t="s">
        <v>57</v>
      </c>
      <c r="F399" s="175">
        <f>INDEX('ARZEW TO ROTT'!$A$6:$J$23,MATCH(MAIN!$E399,'ARZEW TO ROTT'!$A$6:$A$23,0),5)</f>
        <v>0</v>
      </c>
      <c r="G399" s="178">
        <f>INDEX('ARZEW TO ROTT'!$A$6:$J$23,MATCH(MAIN!$E399,'ARZEW TO ROTT'!$A$6:$A$23,0),7)</f>
        <v>0</v>
      </c>
      <c r="H399" s="176">
        <f>INDEX('ARZEW TO ROTT'!$A$6:$J$23,MATCH(MAIN!$E399,'ARZEW TO ROTT'!$A$6:$A$23,0),9)</f>
        <v>0</v>
      </c>
      <c r="I399" s="179" t="s">
        <v>57</v>
      </c>
      <c r="J399" s="175">
        <f>INDEX('ARZEW TO ROTT'!$L$6:$U$23,MATCH(MAIN!$I399,'ARZEW TO ROTT'!$L$6:$L$23,0),5)</f>
        <v>0</v>
      </c>
      <c r="K399" s="178">
        <f>INDEX('ARZEW TO ROTT'!$L$6:$U$23,MATCH(MAIN!$I399,'ARZEW TO ROTT'!$L$6:$L$23,0),7)</f>
        <v>0</v>
      </c>
      <c r="L399" s="176">
        <f>INDEX('ARZEW TO ROTT'!$L$6:$U$23,MATCH(MAIN!$I399,'ARZEW TO ROTT'!$L$6:$L$23,0),9)</f>
        <v>0</v>
      </c>
    </row>
    <row r="400" spans="1:12" hidden="1" outlineLevel="1" x14ac:dyDescent="0.25">
      <c r="A400" s="155"/>
      <c r="B400" s="255" t="s">
        <v>58</v>
      </c>
      <c r="C400" s="524"/>
      <c r="D400" s="525"/>
      <c r="E400" t="s">
        <v>58</v>
      </c>
      <c r="F400" s="175">
        <f ca="1">INDEX('ARZEW TO ROTT'!$A$6:$J$23,MATCH(MAIN!$E400,'ARZEW TO ROTT'!$A$6:$A$23,0),5)</f>
        <v>0.28031250000000002</v>
      </c>
      <c r="G400" s="178">
        <f ca="1">INDEX('ARZEW TO ROTT'!$A$6:$J$23,MATCH(MAIN!$E400,'ARZEW TO ROTT'!$A$6:$A$23,0),7)</f>
        <v>0.27918750000000003</v>
      </c>
      <c r="H400" s="176">
        <f ca="1">INDEX('ARZEW TO ROTT'!$A$6:$J$23,MATCH(MAIN!$E400,'ARZEW TO ROTT'!$A$6:$A$23,0),9)</f>
        <v>0.27918750000000003</v>
      </c>
      <c r="I400" s="179" t="s">
        <v>58</v>
      </c>
      <c r="J400" s="175">
        <f ca="1">INDEX('ARZEW TO ROTT'!$L$6:$U$23,MATCH(MAIN!$I400,'ARZEW TO ROTT'!$L$6:$L$23,0),5)</f>
        <v>0.28031250000000002</v>
      </c>
      <c r="K400" s="178">
        <f ca="1">INDEX('ARZEW TO ROTT'!$L$6:$U$23,MATCH(MAIN!$I400,'ARZEW TO ROTT'!$L$6:$L$23,0),7)</f>
        <v>0.27918750000000003</v>
      </c>
      <c r="L400" s="176">
        <f ca="1">INDEX('ARZEW TO ROTT'!$L$6:$U$23,MATCH(MAIN!$I400,'ARZEW TO ROTT'!$L$6:$L$23,0),9)</f>
        <v>0.27918750000000003</v>
      </c>
    </row>
    <row r="401" spans="1:12" hidden="1" outlineLevel="1" x14ac:dyDescent="0.25">
      <c r="A401" s="155"/>
      <c r="B401" s="255" t="s">
        <v>59</v>
      </c>
      <c r="C401" s="524"/>
      <c r="D401" s="525"/>
      <c r="E401" t="s">
        <v>59</v>
      </c>
      <c r="F401" s="175">
        <f ca="1">INDEX('ARZEW TO ROTT'!$A$6:$J$23,MATCH(MAIN!$E401,'ARZEW TO ROTT'!$A$6:$A$23,0),5)</f>
        <v>1.1315699999999997</v>
      </c>
      <c r="G401" s="178">
        <f ca="1">INDEX('ARZEW TO ROTT'!$A$6:$J$23,MATCH(MAIN!$E401,'ARZEW TO ROTT'!$A$6:$A$23,0),7)</f>
        <v>1.1001374999999998</v>
      </c>
      <c r="H401" s="176">
        <f ca="1">INDEX('ARZEW TO ROTT'!$A$6:$J$23,MATCH(MAIN!$E401,'ARZEW TO ROTT'!$A$6:$A$23,0),9)</f>
        <v>1.1001374999999998</v>
      </c>
      <c r="I401" s="179" t="s">
        <v>59</v>
      </c>
      <c r="J401" s="175">
        <f ca="1">INDEX('ARZEW TO ROTT'!$L$6:$U$23,MATCH(MAIN!$I401,'ARZEW TO ROTT'!$L$6:$L$23,0),5)</f>
        <v>1.1315699999999997</v>
      </c>
      <c r="K401" s="178">
        <f ca="1">INDEX('ARZEW TO ROTT'!$L$6:$U$23,MATCH(MAIN!$I401,'ARZEW TO ROTT'!$L$6:$L$23,0),7)</f>
        <v>1.1001374999999998</v>
      </c>
      <c r="L401" s="176">
        <f ca="1">INDEX('ARZEW TO ROTT'!$L$6:$U$23,MATCH(MAIN!$I401,'ARZEW TO ROTT'!$L$6:$L$23,0),9)</f>
        <v>1.1001374999999998</v>
      </c>
    </row>
    <row r="402" spans="1:12" hidden="1" outlineLevel="1" x14ac:dyDescent="0.25">
      <c r="A402" s="155"/>
      <c r="B402" s="255" t="s">
        <v>60</v>
      </c>
      <c r="C402" s="524"/>
      <c r="D402" s="525"/>
      <c r="E402" t="s">
        <v>60</v>
      </c>
      <c r="F402" s="175">
        <f>INDEX('ARZEW TO ROTT'!$A$6:$J$23,MATCH(MAIN!$E402,'ARZEW TO ROTT'!$A$6:$A$23,0),5)</f>
        <v>8.3333333333333329E-2</v>
      </c>
      <c r="G402" s="178">
        <f>INDEX('ARZEW TO ROTT'!$A$6:$J$23,MATCH(MAIN!$E402,'ARZEW TO ROTT'!$A$6:$A$23,0),7)</f>
        <v>8.3333333333333329E-2</v>
      </c>
      <c r="H402" s="176">
        <f>INDEX('ARZEW TO ROTT'!$A$6:$J$23,MATCH(MAIN!$E402,'ARZEW TO ROTT'!$A$6:$A$23,0),9)</f>
        <v>8.3333333333333329E-2</v>
      </c>
      <c r="I402" s="179" t="s">
        <v>60</v>
      </c>
      <c r="J402" s="175">
        <f>INDEX('ARZEW TO ROTT'!$L$6:$U$23,MATCH(MAIN!$I402,'ARZEW TO ROTT'!$L$6:$L$23,0),5)</f>
        <v>0.12755102040816327</v>
      </c>
      <c r="K402" s="178">
        <f>INDEX('ARZEW TO ROTT'!$L$6:$U$23,MATCH(MAIN!$I402,'ARZEW TO ROTT'!$L$6:$L$23,0),7)</f>
        <v>0.12755102040816327</v>
      </c>
      <c r="L402" s="176">
        <f>INDEX('ARZEW TO ROTT'!$L$6:$U$23,MATCH(MAIN!$I402,'ARZEW TO ROTT'!$L$6:$L$23,0),9)</f>
        <v>0.12755102040816327</v>
      </c>
    </row>
    <row r="403" spans="1:12" hidden="1" outlineLevel="1" x14ac:dyDescent="0.25">
      <c r="A403" s="155"/>
      <c r="B403" s="255" t="s">
        <v>61</v>
      </c>
      <c r="C403" s="524"/>
      <c r="D403" s="525"/>
      <c r="E403" t="s">
        <v>61</v>
      </c>
      <c r="F403" s="175">
        <f>INDEX('ARZEW TO ROTT'!$A$6:$J$23,MATCH(MAIN!$E403,'ARZEW TO ROTT'!$A$6:$A$23,0),5)</f>
        <v>8.3333333333333332E-3</v>
      </c>
      <c r="G403" s="178">
        <f>INDEX('ARZEW TO ROTT'!$A$6:$J$23,MATCH(MAIN!$E403,'ARZEW TO ROTT'!$A$6:$A$23,0),7)</f>
        <v>8.3333333333333332E-3</v>
      </c>
      <c r="H403" s="176">
        <f>INDEX('ARZEW TO ROTT'!$A$6:$J$23,MATCH(MAIN!$E403,'ARZEW TO ROTT'!$A$6:$A$23,0),9)</f>
        <v>8.3333333333333332E-3</v>
      </c>
      <c r="I403" s="179" t="s">
        <v>61</v>
      </c>
      <c r="J403" s="175">
        <f>INDEX('ARZEW TO ROTT'!$L$6:$U$23,MATCH(MAIN!$I403,'ARZEW TO ROTT'!$L$6:$L$23,0),5)</f>
        <v>1.2755102040816327E-2</v>
      </c>
      <c r="K403" s="178">
        <f>INDEX('ARZEW TO ROTT'!$L$6:$U$23,MATCH(MAIN!$I403,'ARZEW TO ROTT'!$L$6:$L$23,0),7)</f>
        <v>1.2755102040816327E-2</v>
      </c>
      <c r="L403" s="176">
        <f>INDEX('ARZEW TO ROTT'!$L$6:$U$23,MATCH(MAIN!$I403,'ARZEW TO ROTT'!$L$6:$L$23,0),9)</f>
        <v>1.2755102040816327E-2</v>
      </c>
    </row>
    <row r="404" spans="1:12" hidden="1" outlineLevel="1" x14ac:dyDescent="0.25">
      <c r="A404" s="155"/>
      <c r="B404" s="255" t="s">
        <v>62</v>
      </c>
      <c r="C404" s="524"/>
      <c r="D404" s="525"/>
      <c r="E404" t="s">
        <v>62</v>
      </c>
      <c r="F404" s="175">
        <f>INDEX('ARZEW TO ROTT'!$A$6:$J$23,MATCH(MAIN!$E404,'ARZEW TO ROTT'!$A$6:$A$23,0),5)</f>
        <v>8.3333333333333332E-3</v>
      </c>
      <c r="G404" s="178">
        <f>INDEX('ARZEW TO ROTT'!$A$6:$J$23,MATCH(MAIN!$E404,'ARZEW TO ROTT'!$A$6:$A$23,0),7)</f>
        <v>8.3333333333333332E-3</v>
      </c>
      <c r="H404" s="176">
        <f>INDEX('ARZEW TO ROTT'!$A$6:$J$23,MATCH(MAIN!$E404,'ARZEW TO ROTT'!$A$6:$A$23,0),9)</f>
        <v>8.3333333333333332E-3</v>
      </c>
      <c r="I404" s="179" t="s">
        <v>62</v>
      </c>
      <c r="J404" s="175">
        <f>INDEX('ARZEW TO ROTT'!$L$6:$U$23,MATCH(MAIN!$I404,'ARZEW TO ROTT'!$L$6:$L$23,0),5)</f>
        <v>1.2755102040816327E-2</v>
      </c>
      <c r="K404" s="178">
        <f>INDEX('ARZEW TO ROTT'!$L$6:$U$23,MATCH(MAIN!$I404,'ARZEW TO ROTT'!$L$6:$L$23,0),7)</f>
        <v>1.2755102040816327E-2</v>
      </c>
      <c r="L404" s="176">
        <f>INDEX('ARZEW TO ROTT'!$L$6:$U$23,MATCH(MAIN!$I404,'ARZEW TO ROTT'!$L$6:$L$23,0),9)</f>
        <v>1.2755102040816327E-2</v>
      </c>
    </row>
    <row r="405" spans="1:12" hidden="1" outlineLevel="1" x14ac:dyDescent="0.25">
      <c r="A405" s="155"/>
      <c r="B405" s="255" t="s">
        <v>63</v>
      </c>
      <c r="C405" s="524"/>
      <c r="D405" s="525"/>
      <c r="E405" t="s">
        <v>63</v>
      </c>
      <c r="F405" s="175">
        <f>INDEX('ARZEW TO ROTT'!$A$6:$J$23,MATCH(MAIN!$E405,'ARZEW TO ROTT'!$A$6:$A$23,0),5)</f>
        <v>0.1</v>
      </c>
      <c r="G405" s="178">
        <f>INDEX('ARZEW TO ROTT'!$A$6:$J$23,MATCH(MAIN!$E405,'ARZEW TO ROTT'!$A$6:$A$23,0),7)</f>
        <v>0.1</v>
      </c>
      <c r="H405" s="176">
        <f>INDEX('ARZEW TO ROTT'!$A$6:$J$23,MATCH(MAIN!$E405,'ARZEW TO ROTT'!$A$6:$A$23,0),9)</f>
        <v>0.1</v>
      </c>
      <c r="I405" s="179" t="s">
        <v>63</v>
      </c>
      <c r="J405" s="175">
        <f>INDEX('ARZEW TO ROTT'!$L$6:$U$23,MATCH(MAIN!$I405,'ARZEW TO ROTT'!$L$6:$L$23,0),5)</f>
        <v>0.15306122448979592</v>
      </c>
      <c r="K405" s="178">
        <f>INDEX('ARZEW TO ROTT'!$L$6:$U$23,MATCH(MAIN!$I405,'ARZEW TO ROTT'!$L$6:$L$23,0),7)</f>
        <v>0.15306122448979592</v>
      </c>
      <c r="L405" s="176">
        <f>INDEX('ARZEW TO ROTT'!$L$6:$U$23,MATCH(MAIN!$I405,'ARZEW TO ROTT'!$L$6:$L$23,0),9)</f>
        <v>0.15306122448979592</v>
      </c>
    </row>
    <row r="406" spans="1:12" hidden="1" outlineLevel="1" x14ac:dyDescent="0.25">
      <c r="A406" s="155"/>
      <c r="B406" s="255" t="s">
        <v>64</v>
      </c>
      <c r="C406" s="524"/>
      <c r="D406" s="525"/>
      <c r="E406" t="s">
        <v>64</v>
      </c>
      <c r="F406" s="175">
        <f>INDEX('ARZEW TO ROTT'!$A$6:$J$23,MATCH(MAIN!$E406,'ARZEW TO ROTT'!$A$6:$A$23,0),5)</f>
        <v>6.6666666666666666E-2</v>
      </c>
      <c r="G406" s="178">
        <f>INDEX('ARZEW TO ROTT'!$A$6:$J$23,MATCH(MAIN!$E406,'ARZEW TO ROTT'!$A$6:$A$23,0),7)</f>
        <v>6.6666666666666666E-2</v>
      </c>
      <c r="H406" s="176">
        <f>INDEX('ARZEW TO ROTT'!$A$6:$J$23,MATCH(MAIN!$E406,'ARZEW TO ROTT'!$A$6:$A$23,0),9)</f>
        <v>6.6666666666666666E-2</v>
      </c>
      <c r="I406" s="179" t="s">
        <v>64</v>
      </c>
      <c r="J406" s="175">
        <f>INDEX('ARZEW TO ROTT'!$L$6:$U$23,MATCH(MAIN!$I406,'ARZEW TO ROTT'!$L$6:$L$23,0),5)</f>
        <v>0.10204081632653061</v>
      </c>
      <c r="K406" s="178">
        <f>INDEX('ARZEW TO ROTT'!$L$6:$U$23,MATCH(MAIN!$I406,'ARZEW TO ROTT'!$L$6:$L$23,0),7)</f>
        <v>0.10204081632653061</v>
      </c>
      <c r="L406" s="176">
        <f>INDEX('ARZEW TO ROTT'!$L$6:$U$23,MATCH(MAIN!$I406,'ARZEW TO ROTT'!$L$6:$L$23,0),9)</f>
        <v>0.10204081632653061</v>
      </c>
    </row>
    <row r="407" spans="1:12" hidden="1" outlineLevel="1" x14ac:dyDescent="0.25">
      <c r="A407" s="155"/>
      <c r="B407" s="255" t="s">
        <v>100</v>
      </c>
      <c r="C407" s="524"/>
      <c r="D407" s="525"/>
      <c r="E407" t="s">
        <v>100</v>
      </c>
      <c r="F407" s="175">
        <f ca="1">INDEX('ARZEW TO ROTT'!$A$6:$J$23,MATCH(MAIN!$E407,'ARZEW TO ROTT'!$A$6:$A$23,0),5)</f>
        <v>17.353392089041094</v>
      </c>
      <c r="G407" s="178">
        <f ca="1">INDEX('ARZEW TO ROTT'!$A$6:$J$23,MATCH(MAIN!$E407,'ARZEW TO ROTT'!$A$6:$A$23,0),7)</f>
        <v>17.307272945205479</v>
      </c>
      <c r="H407" s="176">
        <f ca="1">INDEX('ARZEW TO ROTT'!$A$6:$J$23,MATCH(MAIN!$E407,'ARZEW TO ROTT'!$A$6:$A$23,0),9)</f>
        <v>17.307272945205479</v>
      </c>
      <c r="I407" s="179" t="s">
        <v>100</v>
      </c>
      <c r="J407" s="175">
        <f ca="1">INDEX('ARZEW TO ROTT'!$L$6:$U$23,MATCH(MAIN!$I407,'ARZEW TO ROTT'!$L$6:$L$23,0),5)</f>
        <v>18.675277803326814</v>
      </c>
      <c r="K407" s="178">
        <f ca="1">INDEX('ARZEW TO ROTT'!$L$6:$U$23,MATCH(MAIN!$I407,'ARZEW TO ROTT'!$L$6:$L$23,0),7)</f>
        <v>18.629158659491196</v>
      </c>
      <c r="L407" s="176">
        <f ca="1">INDEX('ARZEW TO ROTT'!$L$6:$U$23,MATCH(MAIN!$I407,'ARZEW TO ROTT'!$L$6:$L$23,0),9)</f>
        <v>18.629158659491196</v>
      </c>
    </row>
    <row r="408" spans="1:12" hidden="1" outlineLevel="1" x14ac:dyDescent="0.25">
      <c r="A408" s="155"/>
      <c r="B408" s="255" t="s">
        <v>101</v>
      </c>
      <c r="C408" s="524"/>
      <c r="D408" s="525"/>
      <c r="E408" t="s">
        <v>101</v>
      </c>
      <c r="F408" s="175">
        <f ca="1">INDEX('ARZEW TO ROTT'!$A$6:$J$23,MATCH(MAIN!$E408,'ARZEW TO ROTT'!$A$6:$A$23,0),5)</f>
        <v>3.4399999999999409</v>
      </c>
      <c r="G408" s="178">
        <f ca="1">INDEX('ARZEW TO ROTT'!$A$6:$J$23,MATCH(MAIN!$E408,'ARZEW TO ROTT'!$A$6:$A$23,0),7)</f>
        <v>-5.5375000000000796</v>
      </c>
      <c r="H408" s="176">
        <f ca="1">INDEX('ARZEW TO ROTT'!$A$6:$J$23,MATCH(MAIN!$E408,'ARZEW TO ROTT'!$A$6:$A$23,0),9)</f>
        <v>-5.5375000000000796</v>
      </c>
      <c r="I408" s="179" t="s">
        <v>101</v>
      </c>
      <c r="J408" s="175">
        <f ca="1">INDEX('ARZEW TO ROTT'!$L$6:$U$23,MATCH(MAIN!$I408,'ARZEW TO ROTT'!$L$6:$L$23,0),5)</f>
        <v>3.4399999999999409</v>
      </c>
      <c r="K408" s="178">
        <f ca="1">INDEX('ARZEW TO ROTT'!$L$6:$U$23,MATCH(MAIN!$I408,'ARZEW TO ROTT'!$L$6:$L$23,0),7)</f>
        <v>-5.5375000000000796</v>
      </c>
      <c r="L408" s="176">
        <f ca="1">INDEX('ARZEW TO ROTT'!$L$6:$U$23,MATCH(MAIN!$I408,'ARZEW TO ROTT'!$L$6:$L$23,0),9)</f>
        <v>-5.5375000000000796</v>
      </c>
    </row>
    <row r="409" spans="1:12" hidden="1" outlineLevel="1" x14ac:dyDescent="0.25">
      <c r="A409" s="155"/>
      <c r="B409" s="255" t="s">
        <v>113</v>
      </c>
      <c r="C409" s="524"/>
      <c r="D409" s="525"/>
      <c r="E409" t="s">
        <v>113</v>
      </c>
      <c r="F409" s="175">
        <f ca="1">INDEX('ARZEW TO ROTT'!$A$6:$J$23,MATCH(MAIN!$E409,'ARZEW TO ROTT'!$A$6:$A$23,0),5)</f>
        <v>-13.913392089041153</v>
      </c>
      <c r="G409" s="178">
        <f ca="1">INDEX('ARZEW TO ROTT'!$A$6:$J$23,MATCH(MAIN!$E409,'ARZEW TO ROTT'!$A$6:$A$23,0),7)</f>
        <v>-22.844772945205559</v>
      </c>
      <c r="H409" s="176">
        <f ca="1">INDEX('ARZEW TO ROTT'!$A$6:$J$23,MATCH(MAIN!$E409,'ARZEW TO ROTT'!$A$6:$A$23,0),9)</f>
        <v>-22.844772945205559</v>
      </c>
      <c r="I409" s="179" t="s">
        <v>113</v>
      </c>
      <c r="J409" s="175">
        <f ca="1">INDEX('ARZEW TO ROTT'!$L$6:$U$23,MATCH(MAIN!$I409,'ARZEW TO ROTT'!$L$6:$L$23,0),5)</f>
        <v>-15.235277803326873</v>
      </c>
      <c r="K409" s="178">
        <f ca="1">INDEX('ARZEW TO ROTT'!$L$6:$U$23,MATCH(MAIN!$I409,'ARZEW TO ROTT'!$L$6:$L$23,0),7)</f>
        <v>-24.166658659491276</v>
      </c>
      <c r="L409" s="176">
        <f ca="1">INDEX('ARZEW TO ROTT'!$L$6:$U$23,MATCH(MAIN!$I409,'ARZEW TO ROTT'!$L$6:$L$23,0),9)</f>
        <v>-24.166658659491276</v>
      </c>
    </row>
    <row r="410" spans="1:12" ht="15.75" hidden="1" outlineLevel="1" thickBot="1" x14ac:dyDescent="0.3">
      <c r="A410" s="155"/>
      <c r="B410" s="255" t="s">
        <v>126</v>
      </c>
      <c r="C410" s="524"/>
      <c r="D410" s="525"/>
      <c r="E410" t="s">
        <v>126</v>
      </c>
      <c r="F410" s="217">
        <f ca="1">F388</f>
        <v>45917</v>
      </c>
      <c r="G410" s="217">
        <f ca="1">G388</f>
        <v>45931</v>
      </c>
      <c r="H410" s="217">
        <f ca="1">H388</f>
        <v>45945</v>
      </c>
      <c r="I410" s="220">
        <f>I384</f>
        <v>0</v>
      </c>
      <c r="J410" s="217">
        <f ca="1">J388</f>
        <v>45917</v>
      </c>
      <c r="K410" s="217">
        <f ca="1">K388</f>
        <v>45931</v>
      </c>
      <c r="L410" s="217">
        <f ca="1">L388</f>
        <v>45945</v>
      </c>
    </row>
    <row r="411" spans="1:12" ht="15.75" hidden="1" outlineLevel="1" thickBot="1" x14ac:dyDescent="0.3">
      <c r="A411" s="155"/>
      <c r="B411" s="155"/>
      <c r="C411" s="155"/>
      <c r="D411" s="155"/>
      <c r="E411" s="155"/>
      <c r="F411" s="155"/>
      <c r="G411" s="155"/>
      <c r="H411" s="155"/>
      <c r="I411" s="155"/>
      <c r="J411" s="155"/>
      <c r="K411" s="155"/>
      <c r="L411" s="155"/>
    </row>
    <row r="412" spans="1:12" hidden="1" outlineLevel="1" x14ac:dyDescent="0.25">
      <c r="A412" s="155"/>
      <c r="B412" s="155"/>
      <c r="C412" s="522"/>
      <c r="D412" s="523"/>
      <c r="F412" s="158">
        <f ca="1">F388</f>
        <v>45917</v>
      </c>
      <c r="G412" s="158">
        <f t="shared" ref="G412:H412" ca="1" si="13">G388</f>
        <v>45931</v>
      </c>
      <c r="H412" s="158">
        <f t="shared" ca="1" si="13"/>
        <v>45945</v>
      </c>
      <c r="I412" s="164" t="str">
        <f>I363</f>
        <v xml:space="preserve">Sale premium </v>
      </c>
      <c r="J412" s="194">
        <f ca="1">F412</f>
        <v>45917</v>
      </c>
      <c r="K412" s="194">
        <f ca="1">G412</f>
        <v>45931</v>
      </c>
      <c r="L412" s="194">
        <f ca="1">H412</f>
        <v>45945</v>
      </c>
    </row>
    <row r="413" spans="1:12" collapsed="1" x14ac:dyDescent="0.25">
      <c r="A413" s="519" t="s">
        <v>279</v>
      </c>
      <c r="B413" s="168"/>
      <c r="C413" s="524"/>
      <c r="D413" s="525"/>
      <c r="F413" s="159">
        <f ca="1">F433+F414-F415</f>
        <v>7.979329211025906</v>
      </c>
      <c r="G413" s="159">
        <f ca="1">G433+G414-G415</f>
        <v>-0.68352167938504804</v>
      </c>
      <c r="H413" s="161">
        <f ca="1">H433+H414-H415</f>
        <v>-0.68352167938504804</v>
      </c>
      <c r="I413" s="165"/>
      <c r="J413" s="160">
        <f ca="1">J433+J414-J415</f>
        <v>6.6574434967401892</v>
      </c>
      <c r="K413" s="160">
        <f ca="1">K433+K414-K415</f>
        <v>-2.0054073936707719</v>
      </c>
      <c r="L413" s="161">
        <f ca="1">L433+L414-L415</f>
        <v>-2.0054073936707719</v>
      </c>
    </row>
    <row r="414" spans="1:12" x14ac:dyDescent="0.25">
      <c r="A414" s="155"/>
      <c r="B414" s="169" t="s">
        <v>133</v>
      </c>
      <c r="C414" s="524"/>
      <c r="D414" s="525"/>
      <c r="E414" s="177" t="s">
        <v>128</v>
      </c>
      <c r="F414" s="175">
        <f ca="1">INDEX(Premium!$A$2:$D$15,MATCH(MAIN!$A413,Premium!$A$2:$A$15,0),MATCH(EOMONTH(F412,-1)+1,Premium!$A$2:$D$2,0))</f>
        <v>0.77</v>
      </c>
      <c r="G414" s="175">
        <f ca="1">INDEX(Premium!$A$2:$D$15,MATCH(MAIN!$A413,Premium!$A$2:$A$15,0),MATCH(EOMONTH(G412,-1)+1,Premium!$A$2:$D$2,0))</f>
        <v>0.77</v>
      </c>
      <c r="H414" s="175">
        <f ca="1">INDEX(Premium!$A$2:$D$15,MATCH(MAIN!$A413,Premium!$A$2:$A$15,0),MATCH(EOMONTH(H412,-1)+1,Premium!$A$2:$D$2,0))</f>
        <v>0.77</v>
      </c>
      <c r="I414" s="179" t="s">
        <v>128</v>
      </c>
      <c r="J414" s="175">
        <f ca="1">INDEX(Premium!$A$2:$D$15,MATCH(MAIN!$A413,Premium!$A$2:$A$15,0),MATCH(EOMONTH(J412,-1)+1,Premium!$A$2:$D$2,0))</f>
        <v>0.77</v>
      </c>
      <c r="K414" s="175">
        <f ca="1">INDEX(Premium!$A$2:$D$15,MATCH(MAIN!$A413,Premium!$A$2:$A$15,0),MATCH(EOMONTH(K412,-1)+1,Premium!$A$2:$D$2,0))</f>
        <v>0.77</v>
      </c>
      <c r="L414" s="175">
        <f ca="1">INDEX(Premium!$A$2:$D$15,MATCH(MAIN!$A413,Premium!$A$2:$A$15,0),MATCH(EOMONTH(L412,-1)+1,Premium!$A$2:$D$2,0))</f>
        <v>0.77</v>
      </c>
    </row>
    <row r="415" spans="1:12" ht="15.75" thickBot="1" x14ac:dyDescent="0.3">
      <c r="A415" s="155"/>
      <c r="B415" s="170" t="s">
        <v>132</v>
      </c>
      <c r="C415" s="524"/>
      <c r="D415" s="525"/>
      <c r="E415" s="177" t="s">
        <v>273</v>
      </c>
      <c r="F415" s="180">
        <f ca="1">INDEX(Premium!$A$21:$D$34,MATCH(MAIN!$A207,Premium!$A$21:$A$34,0),MATCH(EOMONTH(MAIN!F434,-1)+1,Premium!$A$21:$D$21,0))</f>
        <v>-2</v>
      </c>
      <c r="G415" s="180">
        <f ca="1">INDEX(Premium!$A$21:$D$34,MATCH(MAIN!$A207,Premium!$A$21:$A$34,0),MATCH(EOMONTH(MAIN!G434,-1)+1,Premium!$A$21:$D$21,0))</f>
        <v>0</v>
      </c>
      <c r="H415" s="180">
        <f ca="1">INDEX(Premium!$A$21:$D$34,MATCH(MAIN!$A207,Premium!$A$21:$A$34,0),MATCH(EOMONTH(MAIN!H434,-1)+1,Premium!$A$21:$D$21,0))</f>
        <v>0</v>
      </c>
      <c r="I415" s="179" t="s">
        <v>127</v>
      </c>
      <c r="J415" s="180">
        <f ca="1">INDEX(Premium!$A$21:$D$34,MATCH(MAIN!$A207,Premium!$A$21:$A$34,0),MATCH(EOMONTH(MAIN!J434,-1)+1,Premium!$A$21:$D$21,0))</f>
        <v>-2</v>
      </c>
      <c r="K415" s="180">
        <f ca="1">INDEX(Premium!$A$21:$D$34,MATCH(MAIN!$A207,Premium!$A$21:$A$34,0),MATCH(EOMONTH(MAIN!K434,-1)+1,Premium!$A$21:$D$21,0))</f>
        <v>0</v>
      </c>
      <c r="L415" s="180">
        <f ca="1">INDEX(Premium!$A$21:$D$34,MATCH(MAIN!$A207,Premium!$A$21:$A$34,0),MATCH(EOMONTH(MAIN!L434,-1)+1,Premium!$A$21:$D$21,0))</f>
        <v>0</v>
      </c>
    </row>
    <row r="416" spans="1:12" hidden="1" outlineLevel="1" x14ac:dyDescent="0.25">
      <c r="A416" s="155"/>
      <c r="B416" s="254" t="s">
        <v>53</v>
      </c>
      <c r="C416" s="524"/>
      <c r="D416" s="525"/>
      <c r="E416" s="6" t="s">
        <v>53</v>
      </c>
      <c r="F416" s="234">
        <f>INDEX('ARZEW TO ROTT'!$A$6:$J$23,MATCH(MAIN!$E416,'ARZEW TO ROTT'!$A$6:$A$23,0),6)</f>
        <v>7.8624000000000001</v>
      </c>
      <c r="G416" s="241">
        <f>INDEX('ARZEW TO ROTT'!$A$6:$J$23,MATCH(MAIN!$E416,'ARZEW TO ROTT'!$A$6:$A$23,0),8)</f>
        <v>7.8624000000000001</v>
      </c>
      <c r="H416" s="242">
        <f>INDEX('ARZEW TO ROTT'!$A$6:$J$23,MATCH(MAIN!$E416,'ARZEW TO ROTT'!$A$6:$A$23,0),10)</f>
        <v>7.8624000000000001</v>
      </c>
      <c r="I416" s="234" t="s">
        <v>53</v>
      </c>
      <c r="J416" s="234">
        <f>INDEX('ARZEW TO ROTT'!$L$6:$U$23,MATCH(MAIN!$I416,'ARZEW TO ROTT'!$L$6:$L$23,0),6)</f>
        <v>10.491428571428571</v>
      </c>
      <c r="K416" s="241">
        <f>INDEX('ARZEW TO ROTT'!$L$6:$U$23,MATCH(MAIN!$I416,'ARZEW TO ROTT'!$L$6:$L$23,0),8)</f>
        <v>10.491428571428571</v>
      </c>
      <c r="L416" s="242">
        <f>INDEX('ARZEW TO ROTT'!$L$6:$U$23,MATCH(MAIN!$I416,'ARZEW TO ROTT'!$L$6:$L$23,0),10)</f>
        <v>10.491428571428571</v>
      </c>
    </row>
    <row r="417" spans="1:12" hidden="1" outlineLevel="1" x14ac:dyDescent="0.25">
      <c r="A417" s="155"/>
      <c r="B417" s="255" t="s">
        <v>54</v>
      </c>
      <c r="C417" s="524"/>
      <c r="D417" s="525"/>
      <c r="E417" t="s">
        <v>54</v>
      </c>
      <c r="F417" s="175">
        <f>INDEX('ARZEW TO ROTT'!$A$6:$J$23,MATCH(MAIN!$E417,'ARZEW TO ROTT'!$A$6:$A$23,0),6)</f>
        <v>0</v>
      </c>
      <c r="G417" s="178">
        <f>INDEX('ARZEW TO ROTT'!$A$6:$J$23,MATCH(MAIN!$E417,'ARZEW TO ROTT'!$A$6:$A$23,0),8)</f>
        <v>0</v>
      </c>
      <c r="H417" s="176">
        <f>INDEX('ARZEW TO ROTT'!$A$6:$J$23,MATCH(MAIN!$E417,'ARZEW TO ROTT'!$A$6:$A$23,0),10)</f>
        <v>0</v>
      </c>
      <c r="I417" s="179" t="s">
        <v>54</v>
      </c>
      <c r="J417" s="175">
        <f>INDEX('ARZEW TO ROTT'!$L$6:$U$23,MATCH(MAIN!$I417,'ARZEW TO ROTT'!$L$6:$L$23,0),6)</f>
        <v>0</v>
      </c>
      <c r="K417" s="178">
        <f>INDEX('ARZEW TO ROTT'!$L$6:$U$23,MATCH(MAIN!$I417,'ARZEW TO ROTT'!$L$6:$L$23,0),8)</f>
        <v>0</v>
      </c>
      <c r="L417" s="176">
        <f>INDEX('ARZEW TO ROTT'!$L$6:$U$23,MATCH(MAIN!$I417,'ARZEW TO ROTT'!$L$6:$L$23,0),10)</f>
        <v>0</v>
      </c>
    </row>
    <row r="418" spans="1:12" hidden="1" outlineLevel="1" x14ac:dyDescent="0.25">
      <c r="A418" s="155"/>
      <c r="B418" s="255" t="s">
        <v>55</v>
      </c>
      <c r="C418" s="524"/>
      <c r="D418" s="525"/>
      <c r="E418" t="s">
        <v>55</v>
      </c>
      <c r="F418" s="175">
        <f>INDEX('ARZEW TO ROTT'!$A$6:$J$23,MATCH(MAIN!$E418,'ARZEW TO ROTT'!$A$6:$A$23,0),6)</f>
        <v>4</v>
      </c>
      <c r="G418" s="178">
        <f>INDEX('ARZEW TO ROTT'!$A$6:$J$23,MATCH(MAIN!$E418,'ARZEW TO ROTT'!$A$6:$A$23,0),8)</f>
        <v>4</v>
      </c>
      <c r="H418" s="176">
        <f>INDEX('ARZEW TO ROTT'!$A$6:$J$23,MATCH(MAIN!$E418,'ARZEW TO ROTT'!$A$6:$A$23,0),10)</f>
        <v>4</v>
      </c>
      <c r="I418" s="179" t="s">
        <v>55</v>
      </c>
      <c r="J418" s="175">
        <f>INDEX('ARZEW TO ROTT'!$L$6:$U$23,MATCH(MAIN!$I418,'ARZEW TO ROTT'!$L$6:$L$23,0),6)</f>
        <v>2.3214285714285716</v>
      </c>
      <c r="K418" s="178">
        <f>INDEX('ARZEW TO ROTT'!$L$6:$U$23,MATCH(MAIN!$I418,'ARZEW TO ROTT'!$L$6:$L$23,0),8)</f>
        <v>2.3214285714285716</v>
      </c>
      <c r="L418" s="176">
        <f>INDEX('ARZEW TO ROTT'!$L$6:$U$23,MATCH(MAIN!$I418,'ARZEW TO ROTT'!$L$6:$L$23,0),10)</f>
        <v>2.3214285714285716</v>
      </c>
    </row>
    <row r="419" spans="1:12" hidden="1" outlineLevel="1" x14ac:dyDescent="0.25">
      <c r="A419" s="155"/>
      <c r="B419" s="255" t="s">
        <v>56</v>
      </c>
      <c r="C419" s="524"/>
      <c r="D419" s="525"/>
      <c r="E419" t="s">
        <v>56</v>
      </c>
      <c r="F419" s="175">
        <f>INDEX('ARZEW TO ROTT'!$A$6:$J$23,MATCH(MAIN!$E419,'ARZEW TO ROTT'!$A$6:$A$23,0),6)</f>
        <v>0.1</v>
      </c>
      <c r="G419" s="178">
        <f>INDEX('ARZEW TO ROTT'!$A$6:$J$23,MATCH(MAIN!$E419,'ARZEW TO ROTT'!$A$6:$A$23,0),8)</f>
        <v>0.1</v>
      </c>
      <c r="H419" s="176">
        <f>INDEX('ARZEW TO ROTT'!$A$6:$J$23,MATCH(MAIN!$E419,'ARZEW TO ROTT'!$A$6:$A$23,0),10)</f>
        <v>0.1</v>
      </c>
      <c r="I419" s="179" t="s">
        <v>56</v>
      </c>
      <c r="J419" s="175">
        <f>INDEX('ARZEW TO ROTT'!$L$6:$U$23,MATCH(MAIN!$I419,'ARZEW TO ROTT'!$L$6:$L$23,0),6)</f>
        <v>0.15306122448979592</v>
      </c>
      <c r="K419" s="178">
        <f>INDEX('ARZEW TO ROTT'!$L$6:$U$23,MATCH(MAIN!$I419,'ARZEW TO ROTT'!$L$6:$L$23,0),8)</f>
        <v>0.15306122448979592</v>
      </c>
      <c r="L419" s="176">
        <f>INDEX('ARZEW TO ROTT'!$L$6:$U$23,MATCH(MAIN!$I419,'ARZEW TO ROTT'!$L$6:$L$23,0),10)</f>
        <v>0.15306122448979592</v>
      </c>
    </row>
    <row r="420" spans="1:12" hidden="1" outlineLevel="1" x14ac:dyDescent="0.25">
      <c r="A420" s="155"/>
      <c r="B420" s="255" t="s">
        <v>124</v>
      </c>
      <c r="C420" s="524"/>
      <c r="D420" s="525"/>
      <c r="E420" t="s">
        <v>124</v>
      </c>
      <c r="F420" s="175">
        <f>INDEX('ARZEW TO ROTT'!$A$6:$J$23,MATCH(MAIN!$E420,'ARZEW TO ROTT'!$A$6:$A$23,0),6)</f>
        <v>0.16666666666666666</v>
      </c>
      <c r="G420" s="178">
        <f>INDEX('ARZEW TO ROTT'!$A$6:$J$23,MATCH(MAIN!$E420,'ARZEW TO ROTT'!$A$6:$A$23,0),8)</f>
        <v>0.16666666666666666</v>
      </c>
      <c r="H420" s="176">
        <f>INDEX('ARZEW TO ROTT'!$A$6:$J$23,MATCH(MAIN!$E420,'ARZEW TO ROTT'!$A$6:$A$23,0),10)</f>
        <v>0.16666666666666666</v>
      </c>
      <c r="I420" s="179" t="s">
        <v>124</v>
      </c>
      <c r="J420" s="175">
        <f>INDEX('ARZEW TO ROTT'!$L$6:$U$23,MATCH(MAIN!$I420,'ARZEW TO ROTT'!$L$6:$L$23,0),6)</f>
        <v>0.25510204081632654</v>
      </c>
      <c r="K420" s="178">
        <f>INDEX('ARZEW TO ROTT'!$L$6:$U$23,MATCH(MAIN!$I420,'ARZEW TO ROTT'!$L$6:$L$23,0),8)</f>
        <v>0.25510204081632654</v>
      </c>
      <c r="L420" s="176">
        <f>INDEX('ARZEW TO ROTT'!$L$6:$U$23,MATCH(MAIN!$I420,'ARZEW TO ROTT'!$L$6:$L$23,0),10)</f>
        <v>0.25510204081632654</v>
      </c>
    </row>
    <row r="421" spans="1:12" hidden="1" outlineLevel="1" x14ac:dyDescent="0.25">
      <c r="A421" s="155"/>
      <c r="B421" s="255" t="s">
        <v>125</v>
      </c>
      <c r="C421" s="524"/>
      <c r="D421" s="525"/>
      <c r="E421" t="s">
        <v>125</v>
      </c>
      <c r="F421" s="175">
        <f>INDEX('ARZEW TO ROTT'!$A$6:$J$23,MATCH(MAIN!$E421,'ARZEW TO ROTT'!$A$6:$A$23,0),6)</f>
        <v>0.16666666666666666</v>
      </c>
      <c r="G421" s="178">
        <f>INDEX('ARZEW TO ROTT'!$A$6:$J$23,MATCH(MAIN!$E421,'ARZEW TO ROTT'!$A$6:$A$23,0),8)</f>
        <v>0.16666666666666666</v>
      </c>
      <c r="H421" s="176">
        <f>INDEX('ARZEW TO ROTT'!$A$6:$J$23,MATCH(MAIN!$E421,'ARZEW TO ROTT'!$A$6:$A$23,0),10)</f>
        <v>0.16666666666666666</v>
      </c>
      <c r="I421" s="179" t="s">
        <v>125</v>
      </c>
      <c r="J421" s="175">
        <f>INDEX('ARZEW TO ROTT'!$L$6:$U$23,MATCH(MAIN!$I421,'ARZEW TO ROTT'!$L$6:$L$23,0),6)</f>
        <v>0.25510204081632654</v>
      </c>
      <c r="K421" s="178">
        <f>INDEX('ARZEW TO ROTT'!$L$6:$U$23,MATCH(MAIN!$I421,'ARZEW TO ROTT'!$L$6:$L$23,0),8)</f>
        <v>0.25510204081632654</v>
      </c>
      <c r="L421" s="176">
        <f>INDEX('ARZEW TO ROTT'!$L$6:$U$23,MATCH(MAIN!$I421,'ARZEW TO ROTT'!$L$6:$L$23,0),10)</f>
        <v>0.25510204081632654</v>
      </c>
    </row>
    <row r="422" spans="1:12" hidden="1" outlineLevel="1" x14ac:dyDescent="0.25">
      <c r="A422" s="155"/>
      <c r="B422" s="255" t="s">
        <v>81</v>
      </c>
      <c r="C422" s="524"/>
      <c r="D422" s="525"/>
      <c r="E422" t="s">
        <v>81</v>
      </c>
      <c r="F422" s="175">
        <f ca="1">INDEX('ARZEW TO ROTT'!$A$6:$J$23,MATCH(MAIN!$E422,'ARZEW TO ROTT'!$A$6:$A$23,0),6)</f>
        <v>4.005431998213222</v>
      </c>
      <c r="G422" s="178">
        <f ca="1">INDEX('ARZEW TO ROTT'!$A$6:$J$23,MATCH(MAIN!$E422,'ARZEW TO ROTT'!$A$6:$A$23,0),8)</f>
        <v>3.9715278886241805</v>
      </c>
      <c r="H422" s="176">
        <f ca="1">INDEX('ARZEW TO ROTT'!$A$6:$J$23,MATCH(MAIN!$E422,'ARZEW TO ROTT'!$A$6:$A$23,0),10)</f>
        <v>3.9715278886241805</v>
      </c>
      <c r="I422" s="179" t="s">
        <v>81</v>
      </c>
      <c r="J422" s="175">
        <f ca="1">INDEX('ARZEW TO ROTT'!$L$6:$U$23,MATCH(MAIN!$I422,'ARZEW TO ROTT'!$L$6:$L$23,0),6)</f>
        <v>4.005431998213222</v>
      </c>
      <c r="K422" s="178">
        <f ca="1">INDEX('ARZEW TO ROTT'!$L$6:$U$23,MATCH(MAIN!$I422,'ARZEW TO ROTT'!$L$6:$L$23,0),8)</f>
        <v>3.9715278886241805</v>
      </c>
      <c r="L422" s="176">
        <f ca="1">INDEX('ARZEW TO ROTT'!$L$6:$U$23,MATCH(MAIN!$I422,'ARZEW TO ROTT'!$L$6:$L$23,0),10)</f>
        <v>3.9715278886241805</v>
      </c>
    </row>
    <row r="423" spans="1:12" hidden="1" outlineLevel="1" x14ac:dyDescent="0.25">
      <c r="A423" s="155"/>
      <c r="B423" s="255" t="s">
        <v>57</v>
      </c>
      <c r="C423" s="524"/>
      <c r="D423" s="525"/>
      <c r="E423" t="s">
        <v>57</v>
      </c>
      <c r="F423" s="175">
        <f>INDEX('ARZEW TO ROTT'!$A$6:$J$23,MATCH(MAIN!$E423,'ARZEW TO ROTT'!$A$6:$A$23,0),6)</f>
        <v>0</v>
      </c>
      <c r="G423" s="178">
        <f>INDEX('ARZEW TO ROTT'!$A$6:$J$23,MATCH(MAIN!$E423,'ARZEW TO ROTT'!$A$6:$A$23,0),8)</f>
        <v>0</v>
      </c>
      <c r="H423" s="176">
        <f>INDEX('ARZEW TO ROTT'!$A$6:$J$23,MATCH(MAIN!$E423,'ARZEW TO ROTT'!$A$6:$A$23,0),10)</f>
        <v>0</v>
      </c>
      <c r="I423" s="179" t="s">
        <v>57</v>
      </c>
      <c r="J423" s="175">
        <f>INDEX('ARZEW TO ROTT'!$L$6:$U$23,MATCH(MAIN!$I423,'ARZEW TO ROTT'!$L$6:$L$23,0),6)</f>
        <v>0</v>
      </c>
      <c r="K423" s="178">
        <f>INDEX('ARZEW TO ROTT'!$L$6:$U$23,MATCH(MAIN!$I423,'ARZEW TO ROTT'!$L$6:$L$23,0),8)</f>
        <v>0</v>
      </c>
      <c r="L423" s="176">
        <f>INDEX('ARZEW TO ROTT'!$L$6:$U$23,MATCH(MAIN!$I423,'ARZEW TO ROTT'!$L$6:$L$23,0),10)</f>
        <v>0</v>
      </c>
    </row>
    <row r="424" spans="1:12" hidden="1" outlineLevel="1" x14ac:dyDescent="0.25">
      <c r="A424" s="155"/>
      <c r="B424" s="255" t="s">
        <v>58</v>
      </c>
      <c r="C424" s="524"/>
      <c r="D424" s="525"/>
      <c r="E424" t="s">
        <v>58</v>
      </c>
      <c r="F424" s="175">
        <f ca="1">INDEX('ARZEW TO ROTT'!$A$6:$J$23,MATCH(MAIN!$E424,'ARZEW TO ROTT'!$A$6:$A$23,0),6)</f>
        <v>0.33226879076086951</v>
      </c>
      <c r="G424" s="178">
        <f ca="1">INDEX('ARZEW TO ROTT'!$A$6:$J$23,MATCH(MAIN!$E424,'ARZEW TO ROTT'!$A$6:$A$23,0),8)</f>
        <v>0.32945629076086952</v>
      </c>
      <c r="H424" s="176">
        <f ca="1">INDEX('ARZEW TO ROTT'!$A$6:$J$23,MATCH(MAIN!$E424,'ARZEW TO ROTT'!$A$6:$A$23,0),10)</f>
        <v>0.32945629076086952</v>
      </c>
      <c r="I424" s="179" t="s">
        <v>58</v>
      </c>
      <c r="J424" s="175">
        <f ca="1">INDEX('ARZEW TO ROTT'!$L$6:$U$23,MATCH(MAIN!$I424,'ARZEW TO ROTT'!$L$6:$L$23,0),6)</f>
        <v>0.33226879076086951</v>
      </c>
      <c r="K424" s="178">
        <f ca="1">INDEX('ARZEW TO ROTT'!$L$6:$U$23,MATCH(MAIN!$I424,'ARZEW TO ROTT'!$L$6:$L$23,0),8)</f>
        <v>0.32945629076086952</v>
      </c>
      <c r="L424" s="176">
        <f ca="1">INDEX('ARZEW TO ROTT'!$L$6:$U$23,MATCH(MAIN!$I424,'ARZEW TO ROTT'!$L$6:$L$23,0),10)</f>
        <v>0.32945629076086952</v>
      </c>
    </row>
    <row r="425" spans="1:12" hidden="1" outlineLevel="1" x14ac:dyDescent="0.25">
      <c r="A425" s="155"/>
      <c r="B425" s="255" t="s">
        <v>59</v>
      </c>
      <c r="C425" s="524"/>
      <c r="D425" s="525"/>
      <c r="E425" t="s">
        <v>59</v>
      </c>
      <c r="F425" s="175">
        <f ca="1">INDEX('ARZEW TO ROTT'!$A$6:$J$23,MATCH(MAIN!$E425,'ARZEW TO ROTT'!$A$6:$A$23,0),6)</f>
        <v>1.1315699999999997</v>
      </c>
      <c r="G425" s="178">
        <f ca="1">INDEX('ARZEW TO ROTT'!$A$6:$J$23,MATCH(MAIN!$E425,'ARZEW TO ROTT'!$A$6:$A$23,0),8)</f>
        <v>1.1001374999999998</v>
      </c>
      <c r="H425" s="176">
        <f ca="1">INDEX('ARZEW TO ROTT'!$A$6:$J$23,MATCH(MAIN!$E425,'ARZEW TO ROTT'!$A$6:$A$23,0),10)</f>
        <v>1.1001374999999998</v>
      </c>
      <c r="I425" s="179" t="s">
        <v>59</v>
      </c>
      <c r="J425" s="175">
        <f ca="1">INDEX('ARZEW TO ROTT'!$L$6:$U$23,MATCH(MAIN!$I425,'ARZEW TO ROTT'!$L$6:$L$23,0),6)</f>
        <v>1.1315699999999997</v>
      </c>
      <c r="K425" s="178">
        <f ca="1">INDEX('ARZEW TO ROTT'!$L$6:$U$23,MATCH(MAIN!$I425,'ARZEW TO ROTT'!$L$6:$L$23,0),8)</f>
        <v>1.1001374999999998</v>
      </c>
      <c r="L425" s="176">
        <f ca="1">INDEX('ARZEW TO ROTT'!$L$6:$U$23,MATCH(MAIN!$I425,'ARZEW TO ROTT'!$L$6:$L$23,0),10)</f>
        <v>1.1001374999999998</v>
      </c>
    </row>
    <row r="426" spans="1:12" hidden="1" outlineLevel="1" x14ac:dyDescent="0.25">
      <c r="A426" s="155"/>
      <c r="B426" s="255" t="s">
        <v>60</v>
      </c>
      <c r="C426" s="524"/>
      <c r="D426" s="525"/>
      <c r="E426" t="s">
        <v>60</v>
      </c>
      <c r="F426" s="175">
        <f>INDEX('ARZEW TO ROTT'!$A$6:$J$23,MATCH(MAIN!$E426,'ARZEW TO ROTT'!$A$6:$A$23,0),6)</f>
        <v>8.3333333333333329E-2</v>
      </c>
      <c r="G426" s="178">
        <f>INDEX('ARZEW TO ROTT'!$A$6:$J$23,MATCH(MAIN!$E426,'ARZEW TO ROTT'!$A$6:$A$23,0),8)</f>
        <v>8.3333333333333329E-2</v>
      </c>
      <c r="H426" s="176">
        <f>INDEX('ARZEW TO ROTT'!$A$6:$J$23,MATCH(MAIN!$E426,'ARZEW TO ROTT'!$A$6:$A$23,0),10)</f>
        <v>8.3333333333333329E-2</v>
      </c>
      <c r="I426" s="179" t="s">
        <v>60</v>
      </c>
      <c r="J426" s="175">
        <f>INDEX('ARZEW TO ROTT'!$L$6:$U$23,MATCH(MAIN!$I426,'ARZEW TO ROTT'!$L$6:$L$23,0),6)</f>
        <v>0.12755102040816327</v>
      </c>
      <c r="K426" s="178">
        <f>INDEX('ARZEW TO ROTT'!$L$6:$U$23,MATCH(MAIN!$I426,'ARZEW TO ROTT'!$L$6:$L$23,0),8)</f>
        <v>0.12755102040816327</v>
      </c>
      <c r="L426" s="176">
        <f>INDEX('ARZEW TO ROTT'!$L$6:$U$23,MATCH(MAIN!$I426,'ARZEW TO ROTT'!$L$6:$L$23,0),10)</f>
        <v>0.12755102040816327</v>
      </c>
    </row>
    <row r="427" spans="1:12" hidden="1" outlineLevel="1" x14ac:dyDescent="0.25">
      <c r="A427" s="155"/>
      <c r="B427" s="255" t="s">
        <v>61</v>
      </c>
      <c r="C427" s="524"/>
      <c r="D427" s="525"/>
      <c r="E427" t="s">
        <v>61</v>
      </c>
      <c r="F427" s="175">
        <f>INDEX('ARZEW TO ROTT'!$A$6:$J$23,MATCH(MAIN!$E427,'ARZEW TO ROTT'!$A$6:$A$23,0),6)</f>
        <v>8.3333333333333332E-3</v>
      </c>
      <c r="G427" s="178">
        <f>INDEX('ARZEW TO ROTT'!$A$6:$J$23,MATCH(MAIN!$E427,'ARZEW TO ROTT'!$A$6:$A$23,0),8)</f>
        <v>8.3333333333333332E-3</v>
      </c>
      <c r="H427" s="176">
        <f>INDEX('ARZEW TO ROTT'!$A$6:$J$23,MATCH(MAIN!$E427,'ARZEW TO ROTT'!$A$6:$A$23,0),10)</f>
        <v>8.3333333333333332E-3</v>
      </c>
      <c r="I427" s="179" t="s">
        <v>61</v>
      </c>
      <c r="J427" s="175">
        <f>INDEX('ARZEW TO ROTT'!$L$6:$U$23,MATCH(MAIN!$I427,'ARZEW TO ROTT'!$L$6:$L$23,0),6)</f>
        <v>1.2755102040816327E-2</v>
      </c>
      <c r="K427" s="178">
        <f>INDEX('ARZEW TO ROTT'!$L$6:$U$23,MATCH(MAIN!$I427,'ARZEW TO ROTT'!$L$6:$L$23,0),8)</f>
        <v>1.2755102040816327E-2</v>
      </c>
      <c r="L427" s="176">
        <f>INDEX('ARZEW TO ROTT'!$L$6:$U$23,MATCH(MAIN!$I427,'ARZEW TO ROTT'!$L$6:$L$23,0),10)</f>
        <v>1.2755102040816327E-2</v>
      </c>
    </row>
    <row r="428" spans="1:12" hidden="1" outlineLevel="1" x14ac:dyDescent="0.25">
      <c r="A428" s="155"/>
      <c r="B428" s="255" t="s">
        <v>62</v>
      </c>
      <c r="C428" s="524"/>
      <c r="D428" s="525"/>
      <c r="E428" t="s">
        <v>62</v>
      </c>
      <c r="F428" s="175">
        <f>INDEX('ARZEW TO ROTT'!$A$6:$J$23,MATCH(MAIN!$E428,'ARZEW TO ROTT'!$A$6:$A$23,0),6)</f>
        <v>8.3333333333333332E-3</v>
      </c>
      <c r="G428" s="178">
        <f>INDEX('ARZEW TO ROTT'!$A$6:$J$23,MATCH(MAIN!$E428,'ARZEW TO ROTT'!$A$6:$A$23,0),8)</f>
        <v>8.3333333333333332E-3</v>
      </c>
      <c r="H428" s="176">
        <f>INDEX('ARZEW TO ROTT'!$A$6:$J$23,MATCH(MAIN!$E428,'ARZEW TO ROTT'!$A$6:$A$23,0),10)</f>
        <v>8.3333333333333332E-3</v>
      </c>
      <c r="I428" s="179" t="s">
        <v>62</v>
      </c>
      <c r="J428" s="175">
        <f>INDEX('ARZEW TO ROTT'!$L$6:$U$23,MATCH(MAIN!$I428,'ARZEW TO ROTT'!$L$6:$L$23,0),6)</f>
        <v>1.2755102040816327E-2</v>
      </c>
      <c r="K428" s="178">
        <f>INDEX('ARZEW TO ROTT'!$L$6:$U$23,MATCH(MAIN!$I428,'ARZEW TO ROTT'!$L$6:$L$23,0),8)</f>
        <v>1.2755102040816327E-2</v>
      </c>
      <c r="L428" s="176">
        <f>INDEX('ARZEW TO ROTT'!$L$6:$U$23,MATCH(MAIN!$I428,'ARZEW TO ROTT'!$L$6:$L$23,0),10)</f>
        <v>1.2755102040816327E-2</v>
      </c>
    </row>
    <row r="429" spans="1:12" hidden="1" outlineLevel="1" x14ac:dyDescent="0.25">
      <c r="A429" s="155"/>
      <c r="B429" s="255" t="s">
        <v>63</v>
      </c>
      <c r="C429" s="524"/>
      <c r="D429" s="525"/>
      <c r="E429" t="s">
        <v>63</v>
      </c>
      <c r="F429" s="175">
        <f>INDEX('ARZEW TO ROTT'!$A$6:$J$23,MATCH(MAIN!$E429,'ARZEW TO ROTT'!$A$6:$A$23,0),6)</f>
        <v>0.1</v>
      </c>
      <c r="G429" s="178">
        <f>INDEX('ARZEW TO ROTT'!$A$6:$J$23,MATCH(MAIN!$E429,'ARZEW TO ROTT'!$A$6:$A$23,0),8)</f>
        <v>0.1</v>
      </c>
      <c r="H429" s="176">
        <f>INDEX('ARZEW TO ROTT'!$A$6:$J$23,MATCH(MAIN!$E429,'ARZEW TO ROTT'!$A$6:$A$23,0),10)</f>
        <v>0.1</v>
      </c>
      <c r="I429" s="179" t="s">
        <v>63</v>
      </c>
      <c r="J429" s="175">
        <f>INDEX('ARZEW TO ROTT'!$L$6:$U$23,MATCH(MAIN!$I429,'ARZEW TO ROTT'!$L$6:$L$23,0),6)</f>
        <v>0.15306122448979592</v>
      </c>
      <c r="K429" s="178">
        <f>INDEX('ARZEW TO ROTT'!$L$6:$U$23,MATCH(MAIN!$I429,'ARZEW TO ROTT'!$L$6:$L$23,0),8)</f>
        <v>0.15306122448979592</v>
      </c>
      <c r="L429" s="176">
        <f>INDEX('ARZEW TO ROTT'!$L$6:$U$23,MATCH(MAIN!$I429,'ARZEW TO ROTT'!$L$6:$L$23,0),10)</f>
        <v>0.15306122448979592</v>
      </c>
    </row>
    <row r="430" spans="1:12" hidden="1" outlineLevel="1" x14ac:dyDescent="0.25">
      <c r="A430" s="155"/>
      <c r="B430" s="255" t="s">
        <v>64</v>
      </c>
      <c r="C430" s="524"/>
      <c r="D430" s="525"/>
      <c r="E430" t="s">
        <v>64</v>
      </c>
      <c r="F430" s="175">
        <f>INDEX('ARZEW TO ROTT'!$A$6:$J$23,MATCH(MAIN!$E430,'ARZEW TO ROTT'!$A$6:$A$23,0),6)</f>
        <v>6.6666666666666666E-2</v>
      </c>
      <c r="G430" s="178">
        <f>INDEX('ARZEW TO ROTT'!$A$6:$J$23,MATCH(MAIN!$E430,'ARZEW TO ROTT'!$A$6:$A$23,0),8)</f>
        <v>6.6666666666666666E-2</v>
      </c>
      <c r="H430" s="176">
        <f>INDEX('ARZEW TO ROTT'!$A$6:$J$23,MATCH(MAIN!$E430,'ARZEW TO ROTT'!$A$6:$A$23,0),10)</f>
        <v>6.6666666666666666E-2</v>
      </c>
      <c r="I430" s="179" t="s">
        <v>64</v>
      </c>
      <c r="J430" s="175">
        <f>INDEX('ARZEW TO ROTT'!$L$6:$U$23,MATCH(MAIN!$I430,'ARZEW TO ROTT'!$L$6:$L$23,0),6)</f>
        <v>0.10204081632653061</v>
      </c>
      <c r="K430" s="178">
        <f>INDEX('ARZEW TO ROTT'!$L$6:$U$23,MATCH(MAIN!$I430,'ARZEW TO ROTT'!$L$6:$L$23,0),8)</f>
        <v>0.10204081632653061</v>
      </c>
      <c r="L430" s="176">
        <f>INDEX('ARZEW TO ROTT'!$L$6:$U$23,MATCH(MAIN!$I430,'ARZEW TO ROTT'!$L$6:$L$23,0),10)</f>
        <v>0.10204081632653061</v>
      </c>
    </row>
    <row r="431" spans="1:12" hidden="1" outlineLevel="1" x14ac:dyDescent="0.25">
      <c r="A431" s="155"/>
      <c r="B431" s="255" t="s">
        <v>100</v>
      </c>
      <c r="C431" s="524"/>
      <c r="D431" s="525"/>
      <c r="E431" t="s">
        <v>100</v>
      </c>
      <c r="F431" s="175">
        <f ca="1">INDEX('ARZEW TO ROTT'!$A$6:$J$23,MATCH(MAIN!$E431,'ARZEW TO ROTT'!$A$6:$A$23,0),6)</f>
        <v>18.031670788974093</v>
      </c>
      <c r="G431" s="178">
        <f ca="1">INDEX('ARZEW TO ROTT'!$A$6:$J$23,MATCH(MAIN!$E431,'ARZEW TO ROTT'!$A$6:$A$23,0),8)</f>
        <v>17.963521679385046</v>
      </c>
      <c r="H431" s="176">
        <f ca="1">INDEX('ARZEW TO ROTT'!$A$6:$J$23,MATCH(MAIN!$E431,'ARZEW TO ROTT'!$A$6:$A$23,0),10)</f>
        <v>17.963521679385046</v>
      </c>
      <c r="I431" s="179" t="s">
        <v>100</v>
      </c>
      <c r="J431" s="175">
        <f ca="1">INDEX('ARZEW TO ROTT'!$L$6:$U$23,MATCH(MAIN!$I431,'ARZEW TO ROTT'!$L$6:$L$23,0),6)</f>
        <v>19.35355650325981</v>
      </c>
      <c r="K431" s="178">
        <f ca="1">INDEX('ARZEW TO ROTT'!$L$6:$U$23,MATCH(MAIN!$I431,'ARZEW TO ROTT'!$L$6:$L$23,0),8)</f>
        <v>19.28540739367077</v>
      </c>
      <c r="L431" s="176">
        <f ca="1">INDEX('ARZEW TO ROTT'!$L$6:$U$23,MATCH(MAIN!$I431,'ARZEW TO ROTT'!$L$6:$L$23,0),10)</f>
        <v>19.28540739367077</v>
      </c>
    </row>
    <row r="432" spans="1:12" hidden="1" outlineLevel="1" x14ac:dyDescent="0.25">
      <c r="A432" s="155"/>
      <c r="B432" s="255" t="s">
        <v>101</v>
      </c>
      <c r="C432" s="524"/>
      <c r="D432" s="525"/>
      <c r="E432" t="s">
        <v>101</v>
      </c>
      <c r="F432" s="175">
        <f ca="1">INDEX('ARZEW TO ROTT'!$A$6:$J$23,MATCH(MAIN!$E432,'ARZEW TO ROTT'!$A$6:$A$23,0),6)</f>
        <v>23.241</v>
      </c>
      <c r="G432" s="178">
        <f ca="1">INDEX('ARZEW TO ROTT'!$A$6:$J$23,MATCH(MAIN!$E432,'ARZEW TO ROTT'!$A$6:$A$23,0),8)</f>
        <v>16.509999999999998</v>
      </c>
      <c r="H432" s="176">
        <f ca="1">INDEX('ARZEW TO ROTT'!$A$6:$J$23,MATCH(MAIN!$E432,'ARZEW TO ROTT'!$A$6:$A$23,0),10)</f>
        <v>16.509999999999998</v>
      </c>
      <c r="I432" s="179" t="s">
        <v>101</v>
      </c>
      <c r="J432" s="175">
        <f ca="1">INDEX('ARZEW TO ROTT'!$L$6:$U$23,MATCH(MAIN!$I432,'ARZEW TO ROTT'!$L$6:$L$23,0),6)</f>
        <v>23.241</v>
      </c>
      <c r="K432" s="178">
        <f ca="1">INDEX('ARZEW TO ROTT'!$L$6:$U$23,MATCH(MAIN!$I432,'ARZEW TO ROTT'!$L$6:$L$23,0),8)</f>
        <v>16.509999999999998</v>
      </c>
      <c r="L432" s="176">
        <f ca="1">INDEX('ARZEW TO ROTT'!$L$6:$U$23,MATCH(MAIN!$I432,'ARZEW TO ROTT'!$L$6:$L$23,0),10)</f>
        <v>16.509999999999998</v>
      </c>
    </row>
    <row r="433" spans="1:12" hidden="1" outlineLevel="1" x14ac:dyDescent="0.25">
      <c r="A433" s="155"/>
      <c r="B433" s="255" t="s">
        <v>113</v>
      </c>
      <c r="C433" s="524"/>
      <c r="D433" s="525"/>
      <c r="E433" t="s">
        <v>113</v>
      </c>
      <c r="F433" s="175">
        <f ca="1">INDEX('ARZEW TO ROTT'!$A$6:$J$23,MATCH(MAIN!$E433,'ARZEW TO ROTT'!$A$6:$A$23,0),6)</f>
        <v>5.2093292110259064</v>
      </c>
      <c r="G433" s="178">
        <f ca="1">INDEX('ARZEW TO ROTT'!$A$6:$J$23,MATCH(MAIN!$E433,'ARZEW TO ROTT'!$A$6:$A$23,0),8)</f>
        <v>-1.4535216793850481</v>
      </c>
      <c r="H433" s="176">
        <f ca="1">INDEX('ARZEW TO ROTT'!$A$6:$J$23,MATCH(MAIN!$E433,'ARZEW TO ROTT'!$A$6:$A$23,0),10)</f>
        <v>-1.4535216793850481</v>
      </c>
      <c r="I433" s="179" t="s">
        <v>113</v>
      </c>
      <c r="J433" s="175">
        <f ca="1">INDEX('ARZEW TO ROTT'!$L$6:$U$23,MATCH(MAIN!$I433,'ARZEW TO ROTT'!$L$6:$L$23,0),6)</f>
        <v>3.8874434967401896</v>
      </c>
      <c r="K433" s="178">
        <f ca="1">INDEX('ARZEW TO ROTT'!$L$6:$U$23,MATCH(MAIN!$I433,'ARZEW TO ROTT'!$L$6:$L$23,0),8)</f>
        <v>-2.7754073936707719</v>
      </c>
      <c r="L433" s="176">
        <f ca="1">INDEX('ARZEW TO ROTT'!$L$6:$U$23,MATCH(MAIN!$I433,'ARZEW TO ROTT'!$L$6:$L$23,0),10)</f>
        <v>-2.7754073936707719</v>
      </c>
    </row>
    <row r="434" spans="1:12" ht="15.75" hidden="1" outlineLevel="1" thickBot="1" x14ac:dyDescent="0.3">
      <c r="A434" s="155"/>
      <c r="B434" s="255" t="s">
        <v>126</v>
      </c>
      <c r="C434" s="524"/>
      <c r="D434" s="525"/>
      <c r="E434" t="s">
        <v>126</v>
      </c>
      <c r="F434" s="217">
        <f ca="1">F412</f>
        <v>45917</v>
      </c>
      <c r="G434" s="217">
        <f ca="1">G412</f>
        <v>45931</v>
      </c>
      <c r="H434" s="217">
        <f ca="1">H412</f>
        <v>45945</v>
      </c>
      <c r="I434" s="220" t="str">
        <f>I408</f>
        <v>ROLL</v>
      </c>
      <c r="J434" s="217">
        <f ca="1">J412</f>
        <v>45917</v>
      </c>
      <c r="K434" s="217">
        <f ca="1">K412</f>
        <v>45931</v>
      </c>
      <c r="L434" s="217">
        <f ca="1">L412</f>
        <v>45945</v>
      </c>
    </row>
    <row r="435" spans="1:12" collapsed="1" x14ac:dyDescent="0.25"/>
    <row r="436" spans="1:12" ht="15.75" thickBot="1" x14ac:dyDescent="0.3"/>
    <row r="437" spans="1:12" ht="15.75" thickBot="1" x14ac:dyDescent="0.3">
      <c r="A437" s="548" t="s">
        <v>243</v>
      </c>
      <c r="B437" s="489"/>
      <c r="C437" s="549"/>
      <c r="D437" s="550"/>
      <c r="E437" s="489"/>
      <c r="F437" s="551" t="s">
        <v>129</v>
      </c>
      <c r="G437" s="552"/>
      <c r="H437" s="553"/>
      <c r="I437" s="489"/>
      <c r="J437" s="551" t="s">
        <v>130</v>
      </c>
      <c r="K437" s="552"/>
      <c r="L437" s="553"/>
    </row>
    <row r="438" spans="1:12" ht="15.75" thickBot="1" x14ac:dyDescent="0.3">
      <c r="A438" s="548"/>
      <c r="B438" s="490" t="s">
        <v>184</v>
      </c>
      <c r="C438" s="491"/>
      <c r="D438" s="492"/>
      <c r="E438" s="489"/>
      <c r="F438" s="493" t="str">
        <f ca="1">IF(DAY(F439)&lt;15,"1H-"&amp;VLOOKUP(MONTH(F439),Mapping!$A$1:$B$12,2,0),"2H-"&amp;VLOOKUP(MONTH(F439),Mapping!$A$1:$B$12,2,0))</f>
        <v>2H-SEP</v>
      </c>
      <c r="G438" s="494" t="str">
        <f ca="1">IF(DAY(G439)&lt;15,"1H-"&amp;VLOOKUP(MONTH(G439),Mapping!$A$1:$B$12,2,0),"2H-"&amp;VLOOKUP(MONTH(G439),Mapping!$A$1:$B$12,2,0))</f>
        <v>1H-OCT</v>
      </c>
      <c r="H438" s="495" t="str">
        <f ca="1">IF(DAY(H439)&lt;15,"1H-"&amp;VLOOKUP(MONTH(H439),Mapping!$A$1:$B$12,2,0),"2H-"&amp;VLOOKUP(MONTH(H439),Mapping!$A$1:$B$12,2,0))</f>
        <v>2H-OCT</v>
      </c>
      <c r="I438" s="496" t="e">
        <f>IF(DAY(I439)&lt;15,"1H-"&amp;VLOOKUP(MONTH(I439),Mapping!$A$1:$B$12,2,0),"2H-"&amp;VLOOKUP(MONTH(I439),Mapping!$A$1:$B$12,2,0))</f>
        <v>#VALUE!</v>
      </c>
      <c r="J438" s="493" t="str">
        <f ca="1">IF(DAY(J439)&lt;15,"1H-"&amp;VLOOKUP(MONTH(J439),Mapping!$A$1:$B$12,2,0),"2H-"&amp;VLOOKUP(MONTH(J439),Mapping!$A$1:$B$12,2,0))</f>
        <v>2H-SEP</v>
      </c>
      <c r="K438" s="494" t="str">
        <f ca="1">IF(DAY(K439)&lt;15,"1H-"&amp;VLOOKUP(MONTH(K439),Mapping!$A$1:$B$12,2,0),"2H-"&amp;VLOOKUP(MONTH(K439),Mapping!$A$1:$B$12,2,0))</f>
        <v>1H-OCT</v>
      </c>
      <c r="L438" s="495" t="str">
        <f ca="1">IF(DAY(L439)&lt;15,"1H-"&amp;VLOOKUP(MONTH(L439),Mapping!$A$1:$B$12,2,0),"2H-"&amp;VLOOKUP(MONTH(L439),Mapping!$A$1:$B$12,2,0))</f>
        <v>2H-OCT</v>
      </c>
    </row>
    <row r="439" spans="1:12" x14ac:dyDescent="0.25">
      <c r="C439" s="522"/>
      <c r="D439" s="523"/>
      <c r="F439" s="158">
        <f ca="1">'Loading Arrival'!L21</f>
        <v>45918</v>
      </c>
      <c r="G439" s="194">
        <f ca="1">'Loading Arrival'!M21</f>
        <v>45932</v>
      </c>
      <c r="H439" s="195">
        <f ca="1">'Loading Arrival'!N21</f>
        <v>45946</v>
      </c>
      <c r="I439" s="164" t="str">
        <f>I390</f>
        <v xml:space="preserve">Sale premium </v>
      </c>
      <c r="J439" s="194">
        <f ca="1">F439</f>
        <v>45918</v>
      </c>
      <c r="K439" s="194">
        <f ca="1">G439</f>
        <v>45932</v>
      </c>
      <c r="L439" s="194">
        <f ca="1">H439</f>
        <v>45946</v>
      </c>
    </row>
    <row r="440" spans="1:12" x14ac:dyDescent="0.25">
      <c r="A440" s="199" t="s">
        <v>227</v>
      </c>
      <c r="B440" s="168"/>
      <c r="C440" s="524"/>
      <c r="D440" s="525"/>
      <c r="F440" s="159">
        <f ca="1">F460+F441-F442</f>
        <v>-15.759534589041166</v>
      </c>
      <c r="G440" s="159">
        <f ca="1">G460+G441-G442</f>
        <v>-23.177972945205561</v>
      </c>
      <c r="H440" s="161">
        <f ca="1">H460+H441-H442</f>
        <v>-23.159875445205561</v>
      </c>
      <c r="I440" s="165"/>
      <c r="J440" s="160">
        <f ca="1">J460+J441-J442</f>
        <v>-17.575363160469735</v>
      </c>
      <c r="K440" s="160">
        <f ca="1">K460+K441-K442</f>
        <v>-24.993801516634129</v>
      </c>
      <c r="L440" s="161">
        <f ca="1">L460+L441-L442</f>
        <v>-24.975704016634126</v>
      </c>
    </row>
    <row r="441" spans="1:12" x14ac:dyDescent="0.25">
      <c r="A441" s="155"/>
      <c r="B441" s="169" t="s">
        <v>133</v>
      </c>
      <c r="C441" s="524"/>
      <c r="D441" s="525"/>
      <c r="E441" s="177" t="s">
        <v>128</v>
      </c>
      <c r="F441" s="175">
        <f ca="1">INDEX(Premium!$A$2:$D$15,MATCH(MAIN!$A440,Premium!$A$2:$A$15,0),MATCH(EOMONTH(F439,-1)+1,Premium!$A$2:$D$2,0))</f>
        <v>1.65</v>
      </c>
      <c r="G441" s="175">
        <f ca="1">INDEX(Premium!$A$2:$D$15,MATCH(MAIN!$A440,Premium!$A$2:$A$15,0),MATCH(EOMONTH(G439,-1)+1,Premium!$A$2:$D$2,0))</f>
        <v>0.95</v>
      </c>
      <c r="H441" s="175">
        <f ca="1">INDEX(Premium!$A$2:$D$15,MATCH(MAIN!$A440,Premium!$A$2:$A$15,0),MATCH(EOMONTH(H439,-1)+1,Premium!$A$2:$D$2,0))</f>
        <v>0.95</v>
      </c>
      <c r="I441" s="179" t="s">
        <v>128</v>
      </c>
      <c r="J441" s="175">
        <f ca="1">INDEX(Premium!$A$2:$D$15,MATCH(MAIN!$A440,Premium!$A$2:$A$15,0),MATCH(EOMONTH(J439,-1)+1,Premium!$A$2:$D$2,0))</f>
        <v>1.65</v>
      </c>
      <c r="K441" s="175">
        <f ca="1">INDEX(Premium!$A$2:$D$15,MATCH(MAIN!$A440,Premium!$A$2:$A$15,0),MATCH(EOMONTH(K439,-1)+1,Premium!$A$2:$D$2,0))</f>
        <v>0.95</v>
      </c>
      <c r="L441" s="175">
        <f ca="1">INDEX(Premium!$A$2:$D$15,MATCH(MAIN!$A440,Premium!$A$2:$A$15,0),MATCH(EOMONTH(L439,-1)+1,Premium!$A$2:$D$2,0))</f>
        <v>0.95</v>
      </c>
    </row>
    <row r="442" spans="1:12" ht="15.75" thickBot="1" x14ac:dyDescent="0.3">
      <c r="A442" s="155"/>
      <c r="B442" s="170" t="s">
        <v>132</v>
      </c>
      <c r="C442" s="524"/>
      <c r="D442" s="525"/>
      <c r="E442" s="177" t="s">
        <v>272</v>
      </c>
      <c r="F442" s="180">
        <f ca="1">INDEX(Premium!$A$21:$D$34,MATCH(MAIN!$A152,Premium!$A$21:$A$34,0),MATCH(EOMONTH(MAIN!F461,-1)+1,Premium!$A$21:$D$21,0))</f>
        <v>-7.25</v>
      </c>
      <c r="G442" s="180">
        <f ca="1">INDEX(Premium!$A$21:$D$34,MATCH(MAIN!$A152,Premium!$A$21:$A$34,0),MATCH(EOMONTH(MAIN!G461,-1)+1,Premium!$A$21:$D$21,0))</f>
        <v>-7.25</v>
      </c>
      <c r="H442" s="180">
        <f ca="1">INDEX(Premium!$A$21:$D$34,MATCH(MAIN!$A152,Premium!$A$21:$A$34,0),MATCH(EOMONTH(MAIN!H461,-1)+1,Premium!$A$21:$D$21,0))</f>
        <v>-7.25</v>
      </c>
      <c r="I442" s="179" t="s">
        <v>127</v>
      </c>
      <c r="J442" s="180">
        <f ca="1">INDEX(Premium!$A$21:$D$34,MATCH(MAIN!$A152,Premium!$A$21:$A$34,0),MATCH(EOMONTH(MAIN!J461,-1)+1,Premium!$A$21:$D$21,0))</f>
        <v>-7.25</v>
      </c>
      <c r="K442" s="180">
        <f ca="1">INDEX(Premium!$A$21:$D$34,MATCH(MAIN!$A152,Premium!$A$21:$A$34,0),MATCH(EOMONTH(MAIN!K461,-1)+1,Premium!$A$21:$D$21,0))</f>
        <v>-7.25</v>
      </c>
      <c r="L442" s="180">
        <f ca="1">INDEX(Premium!$A$21:$D$34,MATCH(MAIN!$A152,Premium!$A$21:$A$34,0),MATCH(EOMONTH(MAIN!L461,-1)+1,Premium!$A$21:$D$21,0))</f>
        <v>-7.25</v>
      </c>
    </row>
    <row r="443" spans="1:12" hidden="1" outlineLevel="1" x14ac:dyDescent="0.25">
      <c r="A443" s="155"/>
      <c r="B443" s="254" t="s">
        <v>53</v>
      </c>
      <c r="C443" s="524"/>
      <c r="D443" s="525"/>
      <c r="E443" s="6" t="s">
        <v>53</v>
      </c>
      <c r="F443" s="234">
        <f>INDEX('ARZEW TO USGC'!$A$6:$J$23,MATCH(MAIN!$E443,'ARZEW TO ROTT'!$A$6:$A$23,0),5)</f>
        <v>16.395600000000002</v>
      </c>
      <c r="G443" s="241">
        <f>INDEX('ARZEW TO USGC'!$A$6:$J$23,MATCH(MAIN!$E443,'ARZEW TO ROTT'!$A$6:$A$23,0),7)</f>
        <v>16.395600000000002</v>
      </c>
      <c r="H443" s="242">
        <f>INDEX('ARZEW TO USGC'!$A$6:$J$23,MATCH(MAIN!$E443,'ARZEW TO ROTT'!$A$6:$A$23,0),9)</f>
        <v>16.395600000000002</v>
      </c>
      <c r="I443" s="250" t="s">
        <v>53</v>
      </c>
      <c r="J443" s="234">
        <f>INDEX('ARZEW TO USGC'!$L$6:$U$23,MATCH(MAIN!$I443,'ARZEW TO ROTT'!$L$6:$L$23,0),5)</f>
        <v>19.518571428571427</v>
      </c>
      <c r="K443" s="241">
        <f>INDEX('ARZEW TO USGC'!$L$6:$U$23,MATCH(MAIN!$I443,'ARZEW TO ROTT'!$L$6:$L$23,0),7)</f>
        <v>19.518571428571427</v>
      </c>
      <c r="L443" s="242">
        <f>INDEX('ARZEW TO USGC'!$L$6:$U$23,MATCH(MAIN!$I443,'ARZEW TO ROTT'!$L$6:$L$23,0),9)</f>
        <v>19.518571428571427</v>
      </c>
    </row>
    <row r="444" spans="1:12" hidden="1" outlineLevel="1" x14ac:dyDescent="0.25">
      <c r="A444" s="155"/>
      <c r="B444" s="255" t="s">
        <v>54</v>
      </c>
      <c r="C444" s="524"/>
      <c r="D444" s="525"/>
      <c r="E444" t="s">
        <v>54</v>
      </c>
      <c r="F444" s="175">
        <f>INDEX('ARZEW TO USGC'!$A$6:$J$23,MATCH(MAIN!$E444,'ARZEW TO ROTT'!$A$6:$A$23,0),5)</f>
        <v>0</v>
      </c>
      <c r="G444" s="178">
        <f>INDEX('ARZEW TO USGC'!$A$6:$J$23,MATCH(MAIN!$E444,'ARZEW TO ROTT'!$A$6:$A$23,0),7)</f>
        <v>0</v>
      </c>
      <c r="H444" s="176">
        <f>INDEX('ARZEW TO USGC'!$A$6:$J$23,MATCH(MAIN!$E444,'ARZEW TO ROTT'!$A$6:$A$23,0),9)</f>
        <v>0</v>
      </c>
      <c r="I444" s="179" t="s">
        <v>54</v>
      </c>
      <c r="J444" s="175">
        <f>INDEX('ARZEW TO USGC'!$L$6:$U$23,MATCH(MAIN!$I444,'ARZEW TO ROTT'!$L$6:$L$23,0),5)</f>
        <v>0</v>
      </c>
      <c r="K444" s="178">
        <f>INDEX('ARZEW TO USGC'!$L$6:$U$23,MATCH(MAIN!$I444,'ARZEW TO ROTT'!$L$6:$L$23,0),7)</f>
        <v>0</v>
      </c>
      <c r="L444" s="176">
        <f>INDEX('ARZEW TO USGC'!$L$6:$U$23,MATCH(MAIN!$I444,'ARZEW TO ROTT'!$L$6:$L$23,0),9)</f>
        <v>0</v>
      </c>
    </row>
    <row r="445" spans="1:12" hidden="1" outlineLevel="1" x14ac:dyDescent="0.25">
      <c r="A445" s="155"/>
      <c r="B445" s="255" t="s">
        <v>55</v>
      </c>
      <c r="C445" s="524"/>
      <c r="D445" s="525"/>
      <c r="E445" t="s">
        <v>55</v>
      </c>
      <c r="F445" s="175">
        <f>INDEX('ARZEW TO USGC'!$A$6:$J$23,MATCH(MAIN!$E445,'ARZEW TO ROTT'!$A$6:$A$23,0),5)</f>
        <v>4</v>
      </c>
      <c r="G445" s="178">
        <f>INDEX('ARZEW TO USGC'!$A$6:$J$23,MATCH(MAIN!$E445,'ARZEW TO ROTT'!$A$6:$A$23,0),7)</f>
        <v>4</v>
      </c>
      <c r="H445" s="176">
        <f>INDEX('ARZEW TO USGC'!$A$6:$J$23,MATCH(MAIN!$E445,'ARZEW TO ROTT'!$A$6:$A$23,0),9)</f>
        <v>4</v>
      </c>
      <c r="I445" s="179" t="s">
        <v>55</v>
      </c>
      <c r="J445" s="175">
        <f>INDEX('ARZEW TO USGC'!$L$6:$U$23,MATCH(MAIN!$I445,'ARZEW TO ROTT'!$L$6:$L$23,0),5)</f>
        <v>2.3214285714285716</v>
      </c>
      <c r="K445" s="178">
        <f>INDEX('ARZEW TO USGC'!$L$6:$U$23,MATCH(MAIN!$I445,'ARZEW TO ROTT'!$L$6:$L$23,0),7)</f>
        <v>2.3214285714285716</v>
      </c>
      <c r="L445" s="176">
        <f>INDEX('ARZEW TO USGC'!$L$6:$U$23,MATCH(MAIN!$I445,'ARZEW TO ROTT'!$L$6:$L$23,0),9)</f>
        <v>2.3214285714285716</v>
      </c>
    </row>
    <row r="446" spans="1:12" hidden="1" outlineLevel="1" x14ac:dyDescent="0.25">
      <c r="A446" s="155"/>
      <c r="B446" s="255" t="s">
        <v>56</v>
      </c>
      <c r="C446" s="524"/>
      <c r="D446" s="525"/>
      <c r="E446" t="s">
        <v>56</v>
      </c>
      <c r="F446" s="175">
        <f>INDEX('ARZEW TO USGC'!$A$6:$J$23,MATCH(MAIN!$E446,'ARZEW TO ROTT'!$A$6:$A$23,0),5)</f>
        <v>0.1</v>
      </c>
      <c r="G446" s="178">
        <f>INDEX('ARZEW TO USGC'!$A$6:$J$23,MATCH(MAIN!$E446,'ARZEW TO ROTT'!$A$6:$A$23,0),7)</f>
        <v>0.1</v>
      </c>
      <c r="H446" s="176">
        <f>INDEX('ARZEW TO USGC'!$A$6:$J$23,MATCH(MAIN!$E446,'ARZEW TO ROTT'!$A$6:$A$23,0),9)</f>
        <v>0.1</v>
      </c>
      <c r="I446" s="179" t="s">
        <v>56</v>
      </c>
      <c r="J446" s="175">
        <f>INDEX('ARZEW TO USGC'!$L$6:$U$23,MATCH(MAIN!$I446,'ARZEW TO ROTT'!$L$6:$L$23,0),5)</f>
        <v>0.15306122448979592</v>
      </c>
      <c r="K446" s="178">
        <f>INDEX('ARZEW TO USGC'!$L$6:$U$23,MATCH(MAIN!$I446,'ARZEW TO ROTT'!$L$6:$L$23,0),7)</f>
        <v>0.15306122448979592</v>
      </c>
      <c r="L446" s="176">
        <f>INDEX('ARZEW TO USGC'!$L$6:$U$23,MATCH(MAIN!$I446,'ARZEW TO ROTT'!$L$6:$L$23,0),9)</f>
        <v>0.15306122448979592</v>
      </c>
    </row>
    <row r="447" spans="1:12" hidden="1" outlineLevel="1" x14ac:dyDescent="0.25">
      <c r="A447" s="155"/>
      <c r="B447" s="255" t="s">
        <v>124</v>
      </c>
      <c r="C447" s="524"/>
      <c r="D447" s="525"/>
      <c r="E447" t="s">
        <v>124</v>
      </c>
      <c r="F447" s="175">
        <f>INDEX('ARZEW TO USGC'!$A$6:$J$23,MATCH(MAIN!$E447,'ARZEW TO ROTT'!$A$6:$A$23,0),5)</f>
        <v>0.16666666666666666</v>
      </c>
      <c r="G447" s="178">
        <f>INDEX('ARZEW TO USGC'!$A$6:$J$23,MATCH(MAIN!$E447,'ARZEW TO ROTT'!$A$6:$A$23,0),7)</f>
        <v>0.16666666666666666</v>
      </c>
      <c r="H447" s="176">
        <f>INDEX('ARZEW TO USGC'!$A$6:$J$23,MATCH(MAIN!$E447,'ARZEW TO ROTT'!$A$6:$A$23,0),9)</f>
        <v>0.16666666666666666</v>
      </c>
      <c r="I447" s="179" t="s">
        <v>124</v>
      </c>
      <c r="J447" s="175">
        <f>INDEX('ARZEW TO USGC'!$L$6:$U$23,MATCH(MAIN!$I447,'ARZEW TO ROTT'!$L$6:$L$23,0),5)</f>
        <v>0.25510204081632654</v>
      </c>
      <c r="K447" s="178">
        <f>INDEX('ARZEW TO USGC'!$L$6:$U$23,MATCH(MAIN!$I447,'ARZEW TO ROTT'!$L$6:$L$23,0),7)</f>
        <v>0.25510204081632654</v>
      </c>
      <c r="L447" s="176">
        <f>INDEX('ARZEW TO USGC'!$L$6:$U$23,MATCH(MAIN!$I447,'ARZEW TO ROTT'!$L$6:$L$23,0),9)</f>
        <v>0.25510204081632654</v>
      </c>
    </row>
    <row r="448" spans="1:12" hidden="1" outlineLevel="1" x14ac:dyDescent="0.25">
      <c r="A448" s="155"/>
      <c r="B448" s="255" t="s">
        <v>125</v>
      </c>
      <c r="C448" s="524"/>
      <c r="D448" s="525"/>
      <c r="E448" t="s">
        <v>125</v>
      </c>
      <c r="F448" s="175">
        <f>INDEX('ARZEW TO USGC'!$A$6:$J$23,MATCH(MAIN!$E448,'ARZEW TO ROTT'!$A$6:$A$23,0),5)</f>
        <v>0.16666666666666666</v>
      </c>
      <c r="G448" s="178">
        <f>INDEX('ARZEW TO USGC'!$A$6:$J$23,MATCH(MAIN!$E448,'ARZEW TO ROTT'!$A$6:$A$23,0),7)</f>
        <v>0.16666666666666666</v>
      </c>
      <c r="H448" s="176">
        <f>INDEX('ARZEW TO USGC'!$A$6:$J$23,MATCH(MAIN!$E448,'ARZEW TO ROTT'!$A$6:$A$23,0),9)</f>
        <v>0.16666666666666666</v>
      </c>
      <c r="I448" s="179" t="s">
        <v>125</v>
      </c>
      <c r="J448" s="175">
        <f>INDEX('ARZEW TO USGC'!$L$6:$U$23,MATCH(MAIN!$I448,'ARZEW TO ROTT'!$L$6:$L$23,0),5)</f>
        <v>0.25510204081632654</v>
      </c>
      <c r="K448" s="178">
        <f>INDEX('ARZEW TO USGC'!$L$6:$U$23,MATCH(MAIN!$I448,'ARZEW TO ROTT'!$L$6:$L$23,0),7)</f>
        <v>0.25510204081632654</v>
      </c>
      <c r="L448" s="176">
        <f>INDEX('ARZEW TO USGC'!$L$6:$U$23,MATCH(MAIN!$I448,'ARZEW TO ROTT'!$L$6:$L$23,0),9)</f>
        <v>0.25510204081632654</v>
      </c>
    </row>
    <row r="449" spans="1:12" hidden="1" outlineLevel="1" x14ac:dyDescent="0.25">
      <c r="A449" s="155"/>
      <c r="B449" s="255" t="s">
        <v>81</v>
      </c>
      <c r="C449" s="524"/>
      <c r="D449" s="525"/>
      <c r="E449" t="s">
        <v>81</v>
      </c>
      <c r="F449" s="175">
        <f ca="1">INDEX('ARZEW TO USGC'!$A$6:$J$23,MATCH(MAIN!$E449,'ARZEW TO ROTT'!$A$6:$A$23,0),5)</f>
        <v>3.379109589041096</v>
      </c>
      <c r="G449" s="178">
        <f ca="1">INDEX('ARZEW TO USGC'!$A$6:$J$23,MATCH(MAIN!$E449,'ARZEW TO ROTT'!$A$6:$A$23,0),7)</f>
        <v>3.3655479452054795</v>
      </c>
      <c r="H449" s="176">
        <f ca="1">INDEX('ARZEW TO USGC'!$A$6:$J$23,MATCH(MAIN!$E449,'ARZEW TO ROTT'!$A$6:$A$23,0),9)</f>
        <v>3.3655479452054795</v>
      </c>
      <c r="I449" s="179" t="s">
        <v>81</v>
      </c>
      <c r="J449" s="175">
        <f ca="1">INDEX('ARZEW TO USGC'!$L$6:$U$23,MATCH(MAIN!$I449,'ARZEW TO ROTT'!$L$6:$L$23,0),5)</f>
        <v>3.379109589041096</v>
      </c>
      <c r="K449" s="178">
        <f ca="1">INDEX('ARZEW TO USGC'!$L$6:$U$23,MATCH(MAIN!$I449,'ARZEW TO ROTT'!$L$6:$L$23,0),7)</f>
        <v>3.3655479452054795</v>
      </c>
      <c r="L449" s="176">
        <f ca="1">INDEX('ARZEW TO USGC'!$L$6:$U$23,MATCH(MAIN!$I449,'ARZEW TO ROTT'!$L$6:$L$23,0),9)</f>
        <v>3.3655479452054795</v>
      </c>
    </row>
    <row r="450" spans="1:12" hidden="1" outlineLevel="1" x14ac:dyDescent="0.25">
      <c r="A450" s="155"/>
      <c r="B450" s="255" t="s">
        <v>57</v>
      </c>
      <c r="C450" s="524"/>
      <c r="D450" s="525"/>
      <c r="E450" t="s">
        <v>57</v>
      </c>
      <c r="F450" s="175">
        <f>INDEX('ARZEW TO USGC'!$A$6:$J$23,MATCH(MAIN!$E450,'ARZEW TO ROTT'!$A$6:$A$23,0),5)</f>
        <v>0</v>
      </c>
      <c r="G450" s="178">
        <f>INDEX('ARZEW TO USGC'!$A$6:$J$23,MATCH(MAIN!$E450,'ARZEW TO ROTT'!$A$6:$A$23,0),7)</f>
        <v>0</v>
      </c>
      <c r="H450" s="176">
        <f>INDEX('ARZEW TO USGC'!$A$6:$J$23,MATCH(MAIN!$E450,'ARZEW TO ROTT'!$A$6:$A$23,0),9)</f>
        <v>0</v>
      </c>
      <c r="I450" s="179" t="s">
        <v>57</v>
      </c>
      <c r="J450" s="175">
        <f>INDEX('ARZEW TO USGC'!$L$6:$U$23,MATCH(MAIN!$I450,'ARZEW TO ROTT'!$L$6:$L$23,0),5)</f>
        <v>0</v>
      </c>
      <c r="K450" s="178">
        <f>INDEX('ARZEW TO USGC'!$L$6:$U$23,MATCH(MAIN!$I450,'ARZEW TO ROTT'!$L$6:$L$23,0),7)</f>
        <v>0</v>
      </c>
      <c r="L450" s="176">
        <f>INDEX('ARZEW TO USGC'!$L$6:$U$23,MATCH(MAIN!$I450,'ARZEW TO ROTT'!$L$6:$L$23,0),9)</f>
        <v>0</v>
      </c>
    </row>
    <row r="451" spans="1:12" hidden="1" outlineLevel="1" x14ac:dyDescent="0.25">
      <c r="A451" s="155"/>
      <c r="B451" s="255" t="s">
        <v>58</v>
      </c>
      <c r="C451" s="524"/>
      <c r="D451" s="525"/>
      <c r="E451" t="s">
        <v>58</v>
      </c>
      <c r="F451" s="175">
        <f ca="1">INDEX('ARZEW TO USGC'!$A$6:$J$23,MATCH(MAIN!$E451,'ARZEW TO ROTT'!$A$6:$A$23,0),5)</f>
        <v>0.28031250000000002</v>
      </c>
      <c r="G451" s="178">
        <f ca="1">INDEX('ARZEW TO USGC'!$A$6:$J$23,MATCH(MAIN!$E451,'ARZEW TO ROTT'!$A$6:$A$23,0),7)</f>
        <v>0.27918750000000003</v>
      </c>
      <c r="H451" s="176">
        <f ca="1">INDEX('ARZEW TO USGC'!$A$6:$J$23,MATCH(MAIN!$E451,'ARZEW TO ROTT'!$A$6:$A$23,0),9)</f>
        <v>0.27918750000000003</v>
      </c>
      <c r="I451" s="179" t="s">
        <v>58</v>
      </c>
      <c r="J451" s="175">
        <f ca="1">INDEX('ARZEW TO USGC'!$L$6:$U$23,MATCH(MAIN!$I451,'ARZEW TO ROTT'!$L$6:$L$23,0),5)</f>
        <v>0.28031250000000002</v>
      </c>
      <c r="K451" s="178">
        <f ca="1">INDEX('ARZEW TO USGC'!$L$6:$U$23,MATCH(MAIN!$I451,'ARZEW TO ROTT'!$L$6:$L$23,0),7)</f>
        <v>0.27918750000000003</v>
      </c>
      <c r="L451" s="176">
        <f ca="1">INDEX('ARZEW TO USGC'!$L$6:$U$23,MATCH(MAIN!$I451,'ARZEW TO ROTT'!$L$6:$L$23,0),9)</f>
        <v>0.27918750000000003</v>
      </c>
    </row>
    <row r="452" spans="1:12" hidden="1" outlineLevel="1" x14ac:dyDescent="0.25">
      <c r="A452" s="155"/>
      <c r="B452" s="255" t="s">
        <v>59</v>
      </c>
      <c r="C452" s="524"/>
      <c r="D452" s="525"/>
      <c r="E452" t="s">
        <v>59</v>
      </c>
      <c r="F452" s="175">
        <f ca="1">INDEX('ARZEW TO USGC'!$A$6:$J$23,MATCH(MAIN!$E452,'ARZEW TO ROTT'!$A$6:$A$23,0),5)</f>
        <v>1.1001374999999998</v>
      </c>
      <c r="G452" s="178">
        <f ca="1">INDEX('ARZEW TO USGC'!$A$6:$J$23,MATCH(MAIN!$E452,'ARZEW TO ROTT'!$A$6:$A$23,0),7)</f>
        <v>1.1001374999999998</v>
      </c>
      <c r="H452" s="176">
        <f ca="1">INDEX('ARZEW TO USGC'!$A$6:$J$23,MATCH(MAIN!$E452,'ARZEW TO ROTT'!$A$6:$A$23,0),9)</f>
        <v>1.0820399999999997</v>
      </c>
      <c r="I452" s="179" t="s">
        <v>59</v>
      </c>
      <c r="J452" s="175">
        <f ca="1">INDEX('ARZEW TO USGC'!$L$6:$U$23,MATCH(MAIN!$I452,'ARZEW TO ROTT'!$L$6:$L$23,0),5)</f>
        <v>1.1001374999999998</v>
      </c>
      <c r="K452" s="178">
        <f ca="1">INDEX('ARZEW TO USGC'!$L$6:$U$23,MATCH(MAIN!$I452,'ARZEW TO ROTT'!$L$6:$L$23,0),7)</f>
        <v>1.1001374999999998</v>
      </c>
      <c r="L452" s="176">
        <f ca="1">INDEX('ARZEW TO USGC'!$L$6:$U$23,MATCH(MAIN!$I452,'ARZEW TO ROTT'!$L$6:$L$23,0),9)</f>
        <v>1.0820399999999997</v>
      </c>
    </row>
    <row r="453" spans="1:12" hidden="1" outlineLevel="1" x14ac:dyDescent="0.25">
      <c r="A453" s="155"/>
      <c r="B453" s="255" t="s">
        <v>60</v>
      </c>
      <c r="C453" s="524"/>
      <c r="D453" s="525"/>
      <c r="E453" t="s">
        <v>60</v>
      </c>
      <c r="F453" s="175">
        <f>INDEX('ARZEW TO USGC'!$A$6:$J$23,MATCH(MAIN!$E453,'ARZEW TO ROTT'!$A$6:$A$23,0),5)</f>
        <v>8.3333333333333329E-2</v>
      </c>
      <c r="G453" s="178">
        <f>INDEX('ARZEW TO USGC'!$A$6:$J$23,MATCH(MAIN!$E453,'ARZEW TO ROTT'!$A$6:$A$23,0),7)</f>
        <v>8.3333333333333329E-2</v>
      </c>
      <c r="H453" s="176">
        <f>INDEX('ARZEW TO USGC'!$A$6:$J$23,MATCH(MAIN!$E453,'ARZEW TO ROTT'!$A$6:$A$23,0),9)</f>
        <v>8.3333333333333329E-2</v>
      </c>
      <c r="I453" s="179" t="s">
        <v>60</v>
      </c>
      <c r="J453" s="175">
        <f>INDEX('ARZEW TO USGC'!$L$6:$U$23,MATCH(MAIN!$I453,'ARZEW TO ROTT'!$L$6:$L$23,0),5)</f>
        <v>0.12755102040816327</v>
      </c>
      <c r="K453" s="178">
        <f>INDEX('ARZEW TO USGC'!$L$6:$U$23,MATCH(MAIN!$I453,'ARZEW TO ROTT'!$L$6:$L$23,0),7)</f>
        <v>0.12755102040816327</v>
      </c>
      <c r="L453" s="176">
        <f>INDEX('ARZEW TO USGC'!$L$6:$U$23,MATCH(MAIN!$I453,'ARZEW TO ROTT'!$L$6:$L$23,0),9)</f>
        <v>0.12755102040816327</v>
      </c>
    </row>
    <row r="454" spans="1:12" hidden="1" outlineLevel="1" x14ac:dyDescent="0.25">
      <c r="A454" s="155"/>
      <c r="B454" s="255" t="s">
        <v>61</v>
      </c>
      <c r="C454" s="524"/>
      <c r="D454" s="525"/>
      <c r="E454" t="s">
        <v>61</v>
      </c>
      <c r="F454" s="175">
        <f>INDEX('ARZEW TO USGC'!$A$6:$J$23,MATCH(MAIN!$E454,'ARZEW TO ROTT'!$A$6:$A$23,0),5)</f>
        <v>8.3333333333333332E-3</v>
      </c>
      <c r="G454" s="178">
        <f>INDEX('ARZEW TO USGC'!$A$6:$J$23,MATCH(MAIN!$E454,'ARZEW TO ROTT'!$A$6:$A$23,0),7)</f>
        <v>8.3333333333333332E-3</v>
      </c>
      <c r="H454" s="176">
        <f>INDEX('ARZEW TO USGC'!$A$6:$J$23,MATCH(MAIN!$E454,'ARZEW TO ROTT'!$A$6:$A$23,0),9)</f>
        <v>8.3333333333333332E-3</v>
      </c>
      <c r="I454" s="179" t="s">
        <v>61</v>
      </c>
      <c r="J454" s="175">
        <f>INDEX('ARZEW TO USGC'!$L$6:$U$23,MATCH(MAIN!$I454,'ARZEW TO ROTT'!$L$6:$L$23,0),5)</f>
        <v>1.2755102040816327E-2</v>
      </c>
      <c r="K454" s="178">
        <f>INDEX('ARZEW TO USGC'!$L$6:$U$23,MATCH(MAIN!$I454,'ARZEW TO ROTT'!$L$6:$L$23,0),7)</f>
        <v>1.2755102040816327E-2</v>
      </c>
      <c r="L454" s="176">
        <f>INDEX('ARZEW TO USGC'!$L$6:$U$23,MATCH(MAIN!$I454,'ARZEW TO ROTT'!$L$6:$L$23,0),9)</f>
        <v>1.2755102040816327E-2</v>
      </c>
    </row>
    <row r="455" spans="1:12" hidden="1" outlineLevel="1" x14ac:dyDescent="0.25">
      <c r="A455" s="155"/>
      <c r="B455" s="255" t="s">
        <v>62</v>
      </c>
      <c r="C455" s="524"/>
      <c r="D455" s="525"/>
      <c r="E455" t="s">
        <v>62</v>
      </c>
      <c r="F455" s="175">
        <f>INDEX('ARZEW TO USGC'!$A$6:$J$23,MATCH(MAIN!$E455,'ARZEW TO ROTT'!$A$6:$A$23,0),5)</f>
        <v>8.3333333333333332E-3</v>
      </c>
      <c r="G455" s="178">
        <f>INDEX('ARZEW TO USGC'!$A$6:$J$23,MATCH(MAIN!$E455,'ARZEW TO ROTT'!$A$6:$A$23,0),7)</f>
        <v>8.3333333333333332E-3</v>
      </c>
      <c r="H455" s="176">
        <f>INDEX('ARZEW TO USGC'!$A$6:$J$23,MATCH(MAIN!$E455,'ARZEW TO ROTT'!$A$6:$A$23,0),9)</f>
        <v>8.3333333333333332E-3</v>
      </c>
      <c r="I455" s="179" t="s">
        <v>62</v>
      </c>
      <c r="J455" s="175">
        <f>INDEX('ARZEW TO USGC'!$L$6:$U$23,MATCH(MAIN!$I455,'ARZEW TO ROTT'!$L$6:$L$23,0),5)</f>
        <v>1.2755102040816327E-2</v>
      </c>
      <c r="K455" s="178">
        <f>INDEX('ARZEW TO USGC'!$L$6:$U$23,MATCH(MAIN!$I455,'ARZEW TO ROTT'!$L$6:$L$23,0),7)</f>
        <v>1.2755102040816327E-2</v>
      </c>
      <c r="L455" s="176">
        <f>INDEX('ARZEW TO USGC'!$L$6:$U$23,MATCH(MAIN!$I455,'ARZEW TO ROTT'!$L$6:$L$23,0),9)</f>
        <v>1.2755102040816327E-2</v>
      </c>
    </row>
    <row r="456" spans="1:12" hidden="1" outlineLevel="1" x14ac:dyDescent="0.25">
      <c r="A456" s="155"/>
      <c r="B456" s="255" t="s">
        <v>63</v>
      </c>
      <c r="C456" s="524"/>
      <c r="D456" s="525"/>
      <c r="E456" t="s">
        <v>63</v>
      </c>
      <c r="F456" s="175">
        <f>INDEX('ARZEW TO USGC'!$A$6:$J$23,MATCH(MAIN!$E456,'ARZEW TO ROTT'!$A$6:$A$23,0),5)</f>
        <v>0.1</v>
      </c>
      <c r="G456" s="178">
        <f>INDEX('ARZEW TO USGC'!$A$6:$J$23,MATCH(MAIN!$E456,'ARZEW TO ROTT'!$A$6:$A$23,0),7)</f>
        <v>0.1</v>
      </c>
      <c r="H456" s="176">
        <f>INDEX('ARZEW TO USGC'!$A$6:$J$23,MATCH(MAIN!$E456,'ARZEW TO ROTT'!$A$6:$A$23,0),9)</f>
        <v>0.1</v>
      </c>
      <c r="I456" s="179" t="s">
        <v>63</v>
      </c>
      <c r="J456" s="175">
        <f>INDEX('ARZEW TO USGC'!$L$6:$U$23,MATCH(MAIN!$I456,'ARZEW TO ROTT'!$L$6:$L$23,0),5)</f>
        <v>0.15306122448979592</v>
      </c>
      <c r="K456" s="178">
        <f>INDEX('ARZEW TO USGC'!$L$6:$U$23,MATCH(MAIN!$I456,'ARZEW TO ROTT'!$L$6:$L$23,0),7)</f>
        <v>0.15306122448979592</v>
      </c>
      <c r="L456" s="176">
        <f>INDEX('ARZEW TO USGC'!$L$6:$U$23,MATCH(MAIN!$I456,'ARZEW TO ROTT'!$L$6:$L$23,0),9)</f>
        <v>0.15306122448979592</v>
      </c>
    </row>
    <row r="457" spans="1:12" hidden="1" outlineLevel="1" x14ac:dyDescent="0.25">
      <c r="A457" s="155"/>
      <c r="B457" s="255" t="s">
        <v>64</v>
      </c>
      <c r="C457" s="524"/>
      <c r="D457" s="525"/>
      <c r="E457" t="s">
        <v>64</v>
      </c>
      <c r="F457" s="175">
        <f>INDEX('ARZEW TO USGC'!$A$6:$J$23,MATCH(MAIN!$E457,'ARZEW TO ROTT'!$A$6:$A$23,0),5)</f>
        <v>6.6666666666666666E-2</v>
      </c>
      <c r="G457" s="178">
        <f>INDEX('ARZEW TO USGC'!$A$6:$J$23,MATCH(MAIN!$E457,'ARZEW TO ROTT'!$A$6:$A$23,0),7)</f>
        <v>6.6666666666666666E-2</v>
      </c>
      <c r="H457" s="176">
        <f>INDEX('ARZEW TO USGC'!$A$6:$J$23,MATCH(MAIN!$E457,'ARZEW TO ROTT'!$A$6:$A$23,0),9)</f>
        <v>6.6666666666666666E-2</v>
      </c>
      <c r="I457" s="179" t="s">
        <v>64</v>
      </c>
      <c r="J457" s="175">
        <f>INDEX('ARZEW TO USGC'!$L$6:$U$23,MATCH(MAIN!$I457,'ARZEW TO ROTT'!$L$6:$L$23,0),5)</f>
        <v>0.10204081632653061</v>
      </c>
      <c r="K457" s="178">
        <f>INDEX('ARZEW TO USGC'!$L$6:$U$23,MATCH(MAIN!$I457,'ARZEW TO ROTT'!$L$6:$L$23,0),7)</f>
        <v>0.10204081632653061</v>
      </c>
      <c r="L457" s="176">
        <f>INDEX('ARZEW TO USGC'!$L$6:$U$23,MATCH(MAIN!$I457,'ARZEW TO ROTT'!$L$6:$L$23,0),9)</f>
        <v>0.10204081632653061</v>
      </c>
    </row>
    <row r="458" spans="1:12" hidden="1" outlineLevel="1" x14ac:dyDescent="0.25">
      <c r="A458" s="155"/>
      <c r="B458" s="255" t="s">
        <v>100</v>
      </c>
      <c r="C458" s="524"/>
      <c r="D458" s="525"/>
      <c r="E458" t="s">
        <v>100</v>
      </c>
      <c r="F458" s="175">
        <f ca="1">INDEX('ARZEW TO USGC'!$A$6:$J$23,MATCH(MAIN!$E458,'ARZEW TO ROTT'!$A$6:$A$23,0),5)</f>
        <v>25.855159589041101</v>
      </c>
      <c r="G458" s="178">
        <f ca="1">INDEX('ARZEW TO USGC'!$A$6:$J$23,MATCH(MAIN!$E458,'ARZEW TO ROTT'!$A$6:$A$23,0),7)</f>
        <v>25.84047294520548</v>
      </c>
      <c r="H458" s="176">
        <f ca="1">INDEX('ARZEW TO USGC'!$A$6:$J$23,MATCH(MAIN!$E458,'ARZEW TO ROTT'!$A$6:$A$23,0),9)</f>
        <v>25.822375445205481</v>
      </c>
      <c r="I458" s="179" t="s">
        <v>100</v>
      </c>
      <c r="J458" s="175">
        <f ca="1">INDEX('ARZEW TO USGC'!$L$6:$U$23,MATCH(MAIN!$I458,'ARZEW TO ROTT'!$L$6:$L$23,0),5)</f>
        <v>27.670988160469669</v>
      </c>
      <c r="K458" s="178">
        <f ca="1">INDEX('ARZEW TO USGC'!$L$6:$U$23,MATCH(MAIN!$I458,'ARZEW TO ROTT'!$L$6:$L$23,0),7)</f>
        <v>27.656301516634052</v>
      </c>
      <c r="L458" s="176">
        <f ca="1">INDEX('ARZEW TO USGC'!$L$6:$U$23,MATCH(MAIN!$I458,'ARZEW TO ROTT'!$L$6:$L$23,0),9)</f>
        <v>27.638204016634052</v>
      </c>
    </row>
    <row r="459" spans="1:12" hidden="1" outlineLevel="1" x14ac:dyDescent="0.25">
      <c r="A459" s="155"/>
      <c r="B459" s="255" t="s">
        <v>101</v>
      </c>
      <c r="C459" s="524"/>
      <c r="D459" s="525"/>
      <c r="E459" t="s">
        <v>101</v>
      </c>
      <c r="F459" s="175">
        <f ca="1">INDEX('ARZEW TO USGC'!$A$6:$J$23,MATCH(MAIN!$E459,'ARZEW TO ROTT'!$A$6:$A$23,0),5)</f>
        <v>1.1956249999999358</v>
      </c>
      <c r="G459" s="178">
        <f ca="1">INDEX('ARZEW TO USGC'!$A$6:$J$23,MATCH(MAIN!$E459,'ARZEW TO ROTT'!$A$6:$A$23,0),7)</f>
        <v>-5.5375000000000796</v>
      </c>
      <c r="H459" s="176">
        <f ca="1">INDEX('ARZEW TO USGC'!$A$6:$J$23,MATCH(MAIN!$E459,'ARZEW TO ROTT'!$A$6:$A$23,0),9)</f>
        <v>-5.5375000000000796</v>
      </c>
      <c r="I459" s="179" t="s">
        <v>101</v>
      </c>
      <c r="J459" s="175">
        <f ca="1">INDEX('ARZEW TO USGC'!$L$6:$U$23,MATCH(MAIN!$I459,'ARZEW TO ROTT'!$L$6:$L$23,0),5)</f>
        <v>1.1956249999999358</v>
      </c>
      <c r="K459" s="178">
        <f ca="1">INDEX('ARZEW TO USGC'!$L$6:$U$23,MATCH(MAIN!$I459,'ARZEW TO ROTT'!$L$6:$L$23,0),7)</f>
        <v>-5.5375000000000796</v>
      </c>
      <c r="L459" s="176">
        <f ca="1">INDEX('ARZEW TO USGC'!$L$6:$U$23,MATCH(MAIN!$I459,'ARZEW TO ROTT'!$L$6:$L$23,0),9)</f>
        <v>-5.5375000000000796</v>
      </c>
    </row>
    <row r="460" spans="1:12" hidden="1" outlineLevel="1" x14ac:dyDescent="0.25">
      <c r="A460" s="155"/>
      <c r="B460" s="255" t="s">
        <v>113</v>
      </c>
      <c r="C460" s="524"/>
      <c r="D460" s="525"/>
      <c r="E460" t="s">
        <v>113</v>
      </c>
      <c r="F460" s="175">
        <f ca="1">INDEX('ARZEW TO USGC'!$A$6:$J$23,MATCH(MAIN!$E460,'ARZEW TO ROTT'!$A$6:$A$23,0),5)</f>
        <v>-24.659534589041165</v>
      </c>
      <c r="G460" s="178">
        <f ca="1">INDEX('ARZEW TO USGC'!$A$6:$J$23,MATCH(MAIN!$E460,'ARZEW TO ROTT'!$A$6:$A$23,0),7)</f>
        <v>-31.37797294520556</v>
      </c>
      <c r="H460" s="176">
        <f ca="1">INDEX('ARZEW TO USGC'!$A$6:$J$23,MATCH(MAIN!$E460,'ARZEW TO ROTT'!$A$6:$A$23,0),9)</f>
        <v>-31.35987544520556</v>
      </c>
      <c r="I460" s="179" t="s">
        <v>113</v>
      </c>
      <c r="J460" s="175">
        <f ca="1">INDEX('ARZEW TO USGC'!$L$6:$U$23,MATCH(MAIN!$I460,'ARZEW TO ROTT'!$L$6:$L$23,0),5)</f>
        <v>-26.475363160469733</v>
      </c>
      <c r="K460" s="178">
        <f ca="1">INDEX('ARZEW TO USGC'!$L$6:$U$23,MATCH(MAIN!$I460,'ARZEW TO ROTT'!$L$6:$L$23,0),7)</f>
        <v>-33.193801516634132</v>
      </c>
      <c r="L460" s="176">
        <f ca="1">INDEX('ARZEW TO USGC'!$L$6:$U$23,MATCH(MAIN!$I460,'ARZEW TO ROTT'!$L$6:$L$23,0),9)</f>
        <v>-33.175704016634128</v>
      </c>
    </row>
    <row r="461" spans="1:12" ht="15.75" hidden="1" outlineLevel="1" thickBot="1" x14ac:dyDescent="0.3">
      <c r="A461" s="155"/>
      <c r="B461" s="255" t="s">
        <v>126</v>
      </c>
      <c r="C461" s="524"/>
      <c r="D461" s="525"/>
      <c r="E461" t="s">
        <v>126</v>
      </c>
      <c r="F461" s="217">
        <f ca="1">F439</f>
        <v>45918</v>
      </c>
      <c r="G461" s="217">
        <f t="shared" ref="G461:H461" ca="1" si="14">G439</f>
        <v>45932</v>
      </c>
      <c r="H461" s="217">
        <f t="shared" ca="1" si="14"/>
        <v>45946</v>
      </c>
      <c r="I461" s="220">
        <f>I435</f>
        <v>0</v>
      </c>
      <c r="J461" s="217">
        <f ca="1">J439</f>
        <v>45918</v>
      </c>
      <c r="K461" s="217">
        <f t="shared" ref="K461:L461" ca="1" si="15">K439</f>
        <v>45932</v>
      </c>
      <c r="L461" s="217">
        <f t="shared" ca="1" si="15"/>
        <v>45946</v>
      </c>
    </row>
    <row r="462" spans="1:12" ht="15.75" hidden="1" outlineLevel="1" thickBot="1" x14ac:dyDescent="0.3">
      <c r="A462" s="155"/>
      <c r="B462" s="155"/>
      <c r="C462" s="155"/>
      <c r="D462" s="155"/>
      <c r="E462" s="155"/>
      <c r="F462" s="155"/>
      <c r="G462" s="155"/>
      <c r="H462" s="155"/>
      <c r="I462" s="155"/>
      <c r="J462" s="155"/>
      <c r="K462" s="155"/>
      <c r="L462" s="155"/>
    </row>
    <row r="463" spans="1:12" hidden="1" outlineLevel="1" x14ac:dyDescent="0.25">
      <c r="A463" s="155"/>
      <c r="B463" s="155"/>
      <c r="C463" s="522"/>
      <c r="D463" s="523"/>
      <c r="F463" s="158">
        <f ca="1">F439</f>
        <v>45918</v>
      </c>
      <c r="G463" s="158">
        <f t="shared" ref="G463:H463" ca="1" si="16">G439</f>
        <v>45932</v>
      </c>
      <c r="H463" s="158">
        <f t="shared" ca="1" si="16"/>
        <v>45946</v>
      </c>
      <c r="I463" s="164" t="str">
        <f>I414</f>
        <v xml:space="preserve">Sale premium </v>
      </c>
      <c r="J463" s="194">
        <f ca="1">F463</f>
        <v>45918</v>
      </c>
      <c r="K463" s="194">
        <f ca="1">G463</f>
        <v>45932</v>
      </c>
      <c r="L463" s="194">
        <f ca="1">H463</f>
        <v>45946</v>
      </c>
    </row>
    <row r="464" spans="1:12" collapsed="1" x14ac:dyDescent="0.25">
      <c r="A464" s="199" t="s">
        <v>228</v>
      </c>
      <c r="B464" s="168"/>
      <c r="C464" s="524"/>
      <c r="D464" s="525"/>
      <c r="F464" s="159">
        <f ca="1">F484+F465-F466</f>
        <v>-1.6751882889740992</v>
      </c>
      <c r="G464" s="159">
        <f ca="1">G484+G465-G466</f>
        <v>-9.5867216793850591</v>
      </c>
      <c r="H464" s="161">
        <f ca="1">H484+H465-H466</f>
        <v>-9.5686241793850595</v>
      </c>
      <c r="I464" s="165"/>
      <c r="J464" s="160">
        <f ca="1">J484+J465-J466</f>
        <v>-3.4910168604026675</v>
      </c>
      <c r="K464" s="160">
        <f ca="1">K484+K465-K466</f>
        <v>-11.402550250813627</v>
      </c>
      <c r="L464" s="161">
        <f ca="1">L484+L465-L466</f>
        <v>-11.384452750813628</v>
      </c>
    </row>
    <row r="465" spans="1:12" x14ac:dyDescent="0.25">
      <c r="A465" s="155"/>
      <c r="B465" s="169" t="s">
        <v>133</v>
      </c>
      <c r="C465" s="524"/>
      <c r="D465" s="525"/>
      <c r="E465" s="177" t="s">
        <v>128</v>
      </c>
      <c r="F465" s="175">
        <f ca="1">INDEX(Premium!$A$2:$D$15,MATCH(MAIN!$A464,Premium!$A$2:$A$15,0),MATCH(EOMONTH(F463,-1)+1,Premium!$A$2:$D$2,0))</f>
        <v>1.3</v>
      </c>
      <c r="G465" s="175">
        <f ca="1">INDEX(Premium!$A$2:$D$15,MATCH(MAIN!$A464,Premium!$A$2:$A$15,0),MATCH(EOMONTH(G463,-1)+1,Premium!$A$2:$D$2,0))</f>
        <v>0.4</v>
      </c>
      <c r="H465" s="175">
        <f ca="1">INDEX(Premium!$A$2:$D$15,MATCH(MAIN!$A464,Premium!$A$2:$A$15,0),MATCH(EOMONTH(H463,-1)+1,Premium!$A$2:$D$2,0))</f>
        <v>0.4</v>
      </c>
      <c r="I465" s="179" t="s">
        <v>128</v>
      </c>
      <c r="J465" s="175">
        <f ca="1">INDEX(Premium!$A$2:$D$15,MATCH(MAIN!$A464,Premium!$A$2:$A$15,0),MATCH(EOMONTH(J463,-1)+1,Premium!$A$2:$D$2,0))</f>
        <v>1.3</v>
      </c>
      <c r="K465" s="175">
        <f ca="1">INDEX(Premium!$A$2:$D$15,MATCH(MAIN!$A464,Premium!$A$2:$A$15,0),MATCH(EOMONTH(K463,-1)+1,Premium!$A$2:$D$2,0))</f>
        <v>0.4</v>
      </c>
      <c r="L465" s="175">
        <f ca="1">INDEX(Premium!$A$2:$D$15,MATCH(MAIN!$A464,Premium!$A$2:$A$15,0),MATCH(EOMONTH(L463,-1)+1,Premium!$A$2:$D$2,0))</f>
        <v>0.4</v>
      </c>
    </row>
    <row r="466" spans="1:12" ht="15.75" thickBot="1" x14ac:dyDescent="0.3">
      <c r="A466" s="155"/>
      <c r="B466" s="170" t="s">
        <v>132</v>
      </c>
      <c r="C466" s="524"/>
      <c r="D466" s="525"/>
      <c r="E466" s="177" t="s">
        <v>273</v>
      </c>
      <c r="F466" s="180">
        <f ca="1">INDEX(Premium!$A$21:$D$34,MATCH(MAIN!$A207,Premium!$A$21:$A$34,0),MATCH(EOMONTH(MAIN!F485,-1)+1,Premium!$A$21:$D$21,0))</f>
        <v>-2</v>
      </c>
      <c r="G466" s="180">
        <f ca="1">INDEX(Premium!$A$21:$D$34,MATCH(MAIN!$A207,Premium!$A$21:$A$34,0),MATCH(EOMONTH(MAIN!G485,-1)+1,Premium!$A$21:$D$21,0))</f>
        <v>0</v>
      </c>
      <c r="H466" s="180">
        <f ca="1">INDEX(Premium!$A$21:$D$34,MATCH(MAIN!$A207,Premium!$A$21:$A$34,0),MATCH(EOMONTH(MAIN!H485,-1)+1,Premium!$A$21:$D$21,0))</f>
        <v>0</v>
      </c>
      <c r="I466" s="179" t="s">
        <v>127</v>
      </c>
      <c r="J466" s="180">
        <f ca="1">INDEX(Premium!$A$21:$D$34,MATCH(MAIN!$A207,Premium!$A$21:$A$34,0),MATCH(EOMONTH(MAIN!J485,-1)+1,Premium!$A$21:$D$21,0))</f>
        <v>-2</v>
      </c>
      <c r="K466" s="180">
        <f ca="1">INDEX(Premium!$A$21:$D$34,MATCH(MAIN!$A207,Premium!$A$21:$A$34,0),MATCH(EOMONTH(MAIN!K485,-1)+1,Premium!$A$21:$D$21,0))</f>
        <v>0</v>
      </c>
      <c r="L466" s="180">
        <f ca="1">INDEX(Premium!$A$21:$D$34,MATCH(MAIN!$A207,Premium!$A$21:$A$34,0),MATCH(EOMONTH(MAIN!L485,-1)+1,Premium!$A$21:$D$21,0))</f>
        <v>0</v>
      </c>
    </row>
    <row r="467" spans="1:12" ht="15.75" hidden="1" customHeight="1" outlineLevel="1" x14ac:dyDescent="0.25">
      <c r="A467" s="155"/>
      <c r="B467" s="254" t="s">
        <v>53</v>
      </c>
      <c r="C467" s="524"/>
      <c r="D467" s="525"/>
      <c r="E467" s="6" t="s">
        <v>53</v>
      </c>
      <c r="F467" s="234">
        <f>INDEX('ARZEW TO USGC'!$A$6:$J$23,MATCH(MAIN!$E467,'ARZEW TO USGC'!$A$6:$A$23,0),6)</f>
        <v>16.395600000000002</v>
      </c>
      <c r="G467" s="241">
        <f>INDEX('ARZEW TO USGC'!$A$6:$J$23,MATCH(MAIN!$E467,'ARZEW TO USGC'!$A$6:$A$23,0),8)</f>
        <v>16.395600000000002</v>
      </c>
      <c r="H467" s="242">
        <f>INDEX('ARZEW TO USGC'!$A$6:$J$23,MATCH(MAIN!$E467,'ARZEW TO USGC'!$A$6:$A$23,0),10)</f>
        <v>16.395600000000002</v>
      </c>
      <c r="I467" s="234" t="s">
        <v>53</v>
      </c>
      <c r="J467" s="234">
        <f>INDEX('ARZEW TO USGC'!$L$6:$U$23,MATCH(MAIN!$I467,'ARZEW TO USGC'!$L$6:$L$23,0),6)</f>
        <v>19.518571428571427</v>
      </c>
      <c r="K467" s="241">
        <f>INDEX('ARZEW TO USGC'!$L$6:$U$23,MATCH(MAIN!$I467,'ARZEW TO USGC'!$L$6:$L$23,0),8)</f>
        <v>19.518571428571427</v>
      </c>
      <c r="L467" s="242">
        <f>INDEX('ARZEW TO USGC'!$L$6:$U$23,MATCH(MAIN!$I467,'ARZEW TO USGC'!$L$6:$L$23,0),10)</f>
        <v>19.518571428571427</v>
      </c>
    </row>
    <row r="468" spans="1:12" hidden="1" outlineLevel="1" x14ac:dyDescent="0.25">
      <c r="A468" s="155"/>
      <c r="B468" s="255" t="s">
        <v>54</v>
      </c>
      <c r="C468" s="524"/>
      <c r="D468" s="525"/>
      <c r="E468" t="s">
        <v>54</v>
      </c>
      <c r="F468" s="175">
        <f>INDEX('ARZEW TO USGC'!$A$6:$J$23,MATCH(MAIN!$E468,'ARZEW TO USGC'!$A$6:$A$23,0),6)</f>
        <v>0</v>
      </c>
      <c r="G468" s="178">
        <f>INDEX('ARZEW TO USGC'!$A$6:$J$23,MATCH(MAIN!$E468,'ARZEW TO USGC'!$A$6:$A$23,0),8)</f>
        <v>0</v>
      </c>
      <c r="H468" s="176">
        <f>INDEX('ARZEW TO USGC'!$A$6:$J$23,MATCH(MAIN!$E468,'ARZEW TO USGC'!$A$6:$A$23,0),10)</f>
        <v>0</v>
      </c>
      <c r="I468" s="179" t="s">
        <v>54</v>
      </c>
      <c r="J468" s="175">
        <f>INDEX('ARZEW TO USGC'!$L$6:$U$23,MATCH(MAIN!$I468,'ARZEW TO USGC'!$L$6:$L$23,0),6)</f>
        <v>0</v>
      </c>
      <c r="K468" s="178">
        <f>INDEX('ARZEW TO USGC'!$L$6:$U$23,MATCH(MAIN!$I468,'ARZEW TO USGC'!$L$6:$L$23,0),8)</f>
        <v>0</v>
      </c>
      <c r="L468" s="176">
        <f>INDEX('ARZEW TO USGC'!$L$6:$U$23,MATCH(MAIN!$I468,'ARZEW TO USGC'!$L$6:$L$23,0),10)</f>
        <v>0</v>
      </c>
    </row>
    <row r="469" spans="1:12" hidden="1" outlineLevel="1" x14ac:dyDescent="0.25">
      <c r="A469" s="155"/>
      <c r="B469" s="255" t="s">
        <v>55</v>
      </c>
      <c r="C469" s="524"/>
      <c r="D469" s="525"/>
      <c r="E469" t="s">
        <v>55</v>
      </c>
      <c r="F469" s="175">
        <f>INDEX('ARZEW TO USGC'!$A$6:$J$23,MATCH(MAIN!$E469,'ARZEW TO USGC'!$A$6:$A$23,0),6)</f>
        <v>4</v>
      </c>
      <c r="G469" s="178">
        <f>INDEX('ARZEW TO USGC'!$A$6:$J$23,MATCH(MAIN!$E469,'ARZEW TO USGC'!$A$6:$A$23,0),8)</f>
        <v>4</v>
      </c>
      <c r="H469" s="176">
        <f>INDEX('ARZEW TO USGC'!$A$6:$J$23,MATCH(MAIN!$E469,'ARZEW TO USGC'!$A$6:$A$23,0),10)</f>
        <v>4</v>
      </c>
      <c r="I469" s="179" t="s">
        <v>55</v>
      </c>
      <c r="J469" s="175">
        <f>INDEX('ARZEW TO USGC'!$L$6:$U$23,MATCH(MAIN!$I469,'ARZEW TO USGC'!$L$6:$L$23,0),6)</f>
        <v>2.3214285714285716</v>
      </c>
      <c r="K469" s="178">
        <f>INDEX('ARZEW TO USGC'!$L$6:$U$23,MATCH(MAIN!$I469,'ARZEW TO USGC'!$L$6:$L$23,0),8)</f>
        <v>2.3214285714285716</v>
      </c>
      <c r="L469" s="176">
        <f>INDEX('ARZEW TO USGC'!$L$6:$U$23,MATCH(MAIN!$I469,'ARZEW TO USGC'!$L$6:$L$23,0),10)</f>
        <v>2.3214285714285716</v>
      </c>
    </row>
    <row r="470" spans="1:12" hidden="1" outlineLevel="1" x14ac:dyDescent="0.25">
      <c r="A470" s="155"/>
      <c r="B470" s="255" t="s">
        <v>56</v>
      </c>
      <c r="C470" s="524"/>
      <c r="D470" s="525"/>
      <c r="E470" t="s">
        <v>56</v>
      </c>
      <c r="F470" s="175">
        <f>INDEX('ARZEW TO USGC'!$A$6:$J$23,MATCH(MAIN!$E470,'ARZEW TO USGC'!$A$6:$A$23,0),6)</f>
        <v>0.1</v>
      </c>
      <c r="G470" s="178">
        <f>INDEX('ARZEW TO USGC'!$A$6:$J$23,MATCH(MAIN!$E470,'ARZEW TO USGC'!$A$6:$A$23,0),8)</f>
        <v>0.1</v>
      </c>
      <c r="H470" s="176">
        <f>INDEX('ARZEW TO USGC'!$A$6:$J$23,MATCH(MAIN!$E470,'ARZEW TO USGC'!$A$6:$A$23,0),10)</f>
        <v>0.1</v>
      </c>
      <c r="I470" s="179" t="s">
        <v>56</v>
      </c>
      <c r="J470" s="175">
        <f>INDEX('ARZEW TO USGC'!$L$6:$U$23,MATCH(MAIN!$I470,'ARZEW TO USGC'!$L$6:$L$23,0),6)</f>
        <v>0.15306122448979592</v>
      </c>
      <c r="K470" s="178">
        <f>INDEX('ARZEW TO USGC'!$L$6:$U$23,MATCH(MAIN!$I470,'ARZEW TO USGC'!$L$6:$L$23,0),8)</f>
        <v>0.15306122448979592</v>
      </c>
      <c r="L470" s="176">
        <f>INDEX('ARZEW TO USGC'!$L$6:$U$23,MATCH(MAIN!$I470,'ARZEW TO USGC'!$L$6:$L$23,0),10)</f>
        <v>0.15306122448979592</v>
      </c>
    </row>
    <row r="471" spans="1:12" hidden="1" outlineLevel="1" x14ac:dyDescent="0.25">
      <c r="A471" s="155"/>
      <c r="B471" s="255" t="s">
        <v>124</v>
      </c>
      <c r="C471" s="524"/>
      <c r="D471" s="525"/>
      <c r="E471" t="s">
        <v>124</v>
      </c>
      <c r="F471" s="175">
        <f>INDEX('ARZEW TO USGC'!$A$6:$J$23,MATCH(MAIN!$E471,'ARZEW TO USGC'!$A$6:$A$23,0),6)</f>
        <v>0.16666666666666666</v>
      </c>
      <c r="G471" s="178">
        <f>INDEX('ARZEW TO USGC'!$A$6:$J$23,MATCH(MAIN!$E471,'ARZEW TO USGC'!$A$6:$A$23,0),8)</f>
        <v>0.16666666666666666</v>
      </c>
      <c r="H471" s="176">
        <f>INDEX('ARZEW TO USGC'!$A$6:$J$23,MATCH(MAIN!$E471,'ARZEW TO USGC'!$A$6:$A$23,0),10)</f>
        <v>0.16666666666666666</v>
      </c>
      <c r="I471" s="179" t="s">
        <v>124</v>
      </c>
      <c r="J471" s="175">
        <f>INDEX('ARZEW TO USGC'!$L$6:$U$23,MATCH(MAIN!$I471,'ARZEW TO USGC'!$L$6:$L$23,0),6)</f>
        <v>0.25510204081632654</v>
      </c>
      <c r="K471" s="178">
        <f>INDEX('ARZEW TO USGC'!$L$6:$U$23,MATCH(MAIN!$I471,'ARZEW TO USGC'!$L$6:$L$23,0),8)</f>
        <v>0.25510204081632654</v>
      </c>
      <c r="L471" s="176">
        <f>INDEX('ARZEW TO USGC'!$L$6:$U$23,MATCH(MAIN!$I471,'ARZEW TO USGC'!$L$6:$L$23,0),10)</f>
        <v>0.25510204081632654</v>
      </c>
    </row>
    <row r="472" spans="1:12" hidden="1" outlineLevel="1" x14ac:dyDescent="0.25">
      <c r="A472" s="155"/>
      <c r="B472" s="255" t="s">
        <v>125</v>
      </c>
      <c r="C472" s="524"/>
      <c r="D472" s="525"/>
      <c r="E472" t="s">
        <v>125</v>
      </c>
      <c r="F472" s="175">
        <f>INDEX('ARZEW TO USGC'!$A$6:$J$23,MATCH(MAIN!$E472,'ARZEW TO USGC'!$A$6:$A$23,0),6)</f>
        <v>0.16666666666666666</v>
      </c>
      <c r="G472" s="178">
        <f>INDEX('ARZEW TO USGC'!$A$6:$J$23,MATCH(MAIN!$E472,'ARZEW TO USGC'!$A$6:$A$23,0),8)</f>
        <v>0.16666666666666666</v>
      </c>
      <c r="H472" s="176">
        <f>INDEX('ARZEW TO USGC'!$A$6:$J$23,MATCH(MAIN!$E472,'ARZEW TO USGC'!$A$6:$A$23,0),10)</f>
        <v>0.16666666666666666</v>
      </c>
      <c r="I472" s="179" t="s">
        <v>125</v>
      </c>
      <c r="J472" s="175">
        <f>INDEX('ARZEW TO USGC'!$L$6:$U$23,MATCH(MAIN!$I472,'ARZEW TO USGC'!$L$6:$L$23,0),6)</f>
        <v>0.25510204081632654</v>
      </c>
      <c r="K472" s="178">
        <f>INDEX('ARZEW TO USGC'!$L$6:$U$23,MATCH(MAIN!$I472,'ARZEW TO USGC'!$L$6:$L$23,0),8)</f>
        <v>0.25510204081632654</v>
      </c>
      <c r="L472" s="176">
        <f>INDEX('ARZEW TO USGC'!$L$6:$U$23,MATCH(MAIN!$I472,'ARZEW TO USGC'!$L$6:$L$23,0),10)</f>
        <v>0.25510204081632654</v>
      </c>
    </row>
    <row r="473" spans="1:12" hidden="1" outlineLevel="1" x14ac:dyDescent="0.25">
      <c r="A473" s="155"/>
      <c r="B473" s="255" t="s">
        <v>81</v>
      </c>
      <c r="C473" s="524"/>
      <c r="D473" s="525"/>
      <c r="E473" t="s">
        <v>81</v>
      </c>
      <c r="F473" s="175">
        <f ca="1">INDEX('ARZEW TO USGC'!$A$6:$J$23,MATCH(MAIN!$E473,'ARZEW TO USGC'!$A$6:$A$23,0),6)</f>
        <v>4.005431998213222</v>
      </c>
      <c r="G473" s="178">
        <f ca="1">INDEX('ARZEW TO USGC'!$A$6:$J$23,MATCH(MAIN!$E473,'ARZEW TO USGC'!$A$6:$A$23,0),8)</f>
        <v>3.9715278886241805</v>
      </c>
      <c r="H473" s="176">
        <f ca="1">INDEX('ARZEW TO USGC'!$A$6:$J$23,MATCH(MAIN!$E473,'ARZEW TO USGC'!$A$6:$A$23,0),10)</f>
        <v>3.9715278886241805</v>
      </c>
      <c r="I473" s="179" t="s">
        <v>81</v>
      </c>
      <c r="J473" s="175">
        <f ca="1">INDEX('ARZEW TO USGC'!$L$6:$U$23,MATCH(MAIN!$I473,'ARZEW TO USGC'!$L$6:$L$23,0),6)</f>
        <v>4.005431998213222</v>
      </c>
      <c r="K473" s="178">
        <f ca="1">INDEX('ARZEW TO USGC'!$L$6:$U$23,MATCH(MAIN!$I473,'ARZEW TO USGC'!$L$6:$L$23,0),8)</f>
        <v>3.9715278886241805</v>
      </c>
      <c r="L473" s="176">
        <f ca="1">INDEX('ARZEW TO USGC'!$L$6:$U$23,MATCH(MAIN!$I473,'ARZEW TO USGC'!$L$6:$L$23,0),10)</f>
        <v>3.9715278886241805</v>
      </c>
    </row>
    <row r="474" spans="1:12" hidden="1" outlineLevel="1" x14ac:dyDescent="0.25">
      <c r="A474" s="155"/>
      <c r="B474" s="255" t="s">
        <v>57</v>
      </c>
      <c r="C474" s="524"/>
      <c r="D474" s="525"/>
      <c r="E474" t="s">
        <v>57</v>
      </c>
      <c r="F474" s="175">
        <f>INDEX('ARZEW TO USGC'!$A$6:$J$23,MATCH(MAIN!$E474,'ARZEW TO USGC'!$A$6:$A$23,0),6)</f>
        <v>0</v>
      </c>
      <c r="G474" s="178">
        <f>INDEX('ARZEW TO USGC'!$A$6:$J$23,MATCH(MAIN!$E474,'ARZEW TO USGC'!$A$6:$A$23,0),8)</f>
        <v>0</v>
      </c>
      <c r="H474" s="176">
        <f>INDEX('ARZEW TO USGC'!$A$6:$J$23,MATCH(MAIN!$E474,'ARZEW TO USGC'!$A$6:$A$23,0),10)</f>
        <v>0</v>
      </c>
      <c r="I474" s="179" t="s">
        <v>57</v>
      </c>
      <c r="J474" s="175">
        <f>INDEX('ARZEW TO USGC'!$L$6:$U$23,MATCH(MAIN!$I474,'ARZEW TO USGC'!$L$6:$L$23,0),6)</f>
        <v>0</v>
      </c>
      <c r="K474" s="178">
        <f>INDEX('ARZEW TO USGC'!$L$6:$U$23,MATCH(MAIN!$I474,'ARZEW TO USGC'!$L$6:$L$23,0),8)</f>
        <v>0</v>
      </c>
      <c r="L474" s="176">
        <f>INDEX('ARZEW TO USGC'!$L$6:$U$23,MATCH(MAIN!$I474,'ARZEW TO USGC'!$L$6:$L$23,0),10)</f>
        <v>0</v>
      </c>
    </row>
    <row r="475" spans="1:12" hidden="1" outlineLevel="1" x14ac:dyDescent="0.25">
      <c r="A475" s="155"/>
      <c r="B475" s="255" t="s">
        <v>58</v>
      </c>
      <c r="C475" s="524"/>
      <c r="D475" s="525"/>
      <c r="E475" t="s">
        <v>58</v>
      </c>
      <c r="F475" s="175">
        <f ca="1">INDEX('ARZEW TO USGC'!$A$6:$J$23,MATCH(MAIN!$E475,'ARZEW TO USGC'!$A$6:$A$23,0),6)</f>
        <v>0.33226879076086951</v>
      </c>
      <c r="G475" s="178">
        <f ca="1">INDEX('ARZEW TO USGC'!$A$6:$J$23,MATCH(MAIN!$E475,'ARZEW TO USGC'!$A$6:$A$23,0),8)</f>
        <v>0.32945629076086952</v>
      </c>
      <c r="H475" s="176">
        <f ca="1">INDEX('ARZEW TO USGC'!$A$6:$J$23,MATCH(MAIN!$E475,'ARZEW TO USGC'!$A$6:$A$23,0),10)</f>
        <v>0.32945629076086952</v>
      </c>
      <c r="I475" s="179" t="s">
        <v>58</v>
      </c>
      <c r="J475" s="175">
        <f ca="1">INDEX('ARZEW TO USGC'!$L$6:$U$23,MATCH(MAIN!$I475,'ARZEW TO USGC'!$L$6:$L$23,0),6)</f>
        <v>0.33226879076086951</v>
      </c>
      <c r="K475" s="178">
        <f ca="1">INDEX('ARZEW TO USGC'!$L$6:$U$23,MATCH(MAIN!$I475,'ARZEW TO USGC'!$L$6:$L$23,0),8)</f>
        <v>0.32945629076086952</v>
      </c>
      <c r="L475" s="176">
        <f ca="1">INDEX('ARZEW TO USGC'!$L$6:$U$23,MATCH(MAIN!$I475,'ARZEW TO USGC'!$L$6:$L$23,0),10)</f>
        <v>0.32945629076086952</v>
      </c>
    </row>
    <row r="476" spans="1:12" hidden="1" outlineLevel="1" x14ac:dyDescent="0.25">
      <c r="A476" s="155"/>
      <c r="B476" s="255" t="s">
        <v>59</v>
      </c>
      <c r="C476" s="524"/>
      <c r="D476" s="525"/>
      <c r="E476" t="s">
        <v>59</v>
      </c>
      <c r="F476" s="175">
        <f ca="1">INDEX('ARZEW TO USGC'!$A$6:$J$23,MATCH(MAIN!$E476,'ARZEW TO USGC'!$A$6:$A$23,0),6)</f>
        <v>1.1001374999999998</v>
      </c>
      <c r="G476" s="178">
        <f ca="1">INDEX('ARZEW TO USGC'!$A$6:$J$23,MATCH(MAIN!$E476,'ARZEW TO USGC'!$A$6:$A$23,0),8)</f>
        <v>1.1001374999999998</v>
      </c>
      <c r="H476" s="176">
        <f ca="1">INDEX('ARZEW TO USGC'!$A$6:$J$23,MATCH(MAIN!$E476,'ARZEW TO USGC'!$A$6:$A$23,0),10)</f>
        <v>1.0820399999999997</v>
      </c>
      <c r="I476" s="179" t="s">
        <v>59</v>
      </c>
      <c r="J476" s="175">
        <f ca="1">INDEX('ARZEW TO USGC'!$L$6:$U$23,MATCH(MAIN!$I476,'ARZEW TO USGC'!$L$6:$L$23,0),6)</f>
        <v>1.1001374999999998</v>
      </c>
      <c r="K476" s="178">
        <f ca="1">INDEX('ARZEW TO USGC'!$L$6:$U$23,MATCH(MAIN!$I476,'ARZEW TO USGC'!$L$6:$L$23,0),8)</f>
        <v>1.1001374999999998</v>
      </c>
      <c r="L476" s="176">
        <f ca="1">INDEX('ARZEW TO USGC'!$L$6:$U$23,MATCH(MAIN!$I476,'ARZEW TO USGC'!$L$6:$L$23,0),10)</f>
        <v>1.0820399999999997</v>
      </c>
    </row>
    <row r="477" spans="1:12" hidden="1" outlineLevel="1" x14ac:dyDescent="0.25">
      <c r="A477" s="155"/>
      <c r="B477" s="255" t="s">
        <v>60</v>
      </c>
      <c r="C477" s="524"/>
      <c r="D477" s="525"/>
      <c r="E477" t="s">
        <v>60</v>
      </c>
      <c r="F477" s="175">
        <f>INDEX('ARZEW TO USGC'!$A$6:$J$23,MATCH(MAIN!$E477,'ARZEW TO USGC'!$A$6:$A$23,0),6)</f>
        <v>8.3333333333333329E-2</v>
      </c>
      <c r="G477" s="178">
        <f>INDEX('ARZEW TO USGC'!$A$6:$J$23,MATCH(MAIN!$E477,'ARZEW TO USGC'!$A$6:$A$23,0),8)</f>
        <v>8.3333333333333329E-2</v>
      </c>
      <c r="H477" s="176">
        <f>INDEX('ARZEW TO USGC'!$A$6:$J$23,MATCH(MAIN!$E477,'ARZEW TO USGC'!$A$6:$A$23,0),10)</f>
        <v>8.3333333333333329E-2</v>
      </c>
      <c r="I477" s="179" t="s">
        <v>60</v>
      </c>
      <c r="J477" s="175">
        <f>INDEX('ARZEW TO USGC'!$L$6:$U$23,MATCH(MAIN!$I477,'ARZEW TO USGC'!$L$6:$L$23,0),6)</f>
        <v>0.12755102040816327</v>
      </c>
      <c r="K477" s="178">
        <f>INDEX('ARZEW TO USGC'!$L$6:$U$23,MATCH(MAIN!$I477,'ARZEW TO USGC'!$L$6:$L$23,0),8)</f>
        <v>0.12755102040816327</v>
      </c>
      <c r="L477" s="176">
        <f>INDEX('ARZEW TO USGC'!$L$6:$U$23,MATCH(MAIN!$I477,'ARZEW TO USGC'!$L$6:$L$23,0),10)</f>
        <v>0.12755102040816327</v>
      </c>
    </row>
    <row r="478" spans="1:12" hidden="1" outlineLevel="1" x14ac:dyDescent="0.25">
      <c r="A478" s="155"/>
      <c r="B478" s="255" t="s">
        <v>61</v>
      </c>
      <c r="C478" s="524"/>
      <c r="D478" s="525"/>
      <c r="E478" t="s">
        <v>61</v>
      </c>
      <c r="F478" s="175">
        <f>INDEX('ARZEW TO USGC'!$A$6:$J$23,MATCH(MAIN!$E478,'ARZEW TO USGC'!$A$6:$A$23,0),6)</f>
        <v>8.3333333333333332E-3</v>
      </c>
      <c r="G478" s="178">
        <f>INDEX('ARZEW TO USGC'!$A$6:$J$23,MATCH(MAIN!$E478,'ARZEW TO USGC'!$A$6:$A$23,0),8)</f>
        <v>8.3333333333333332E-3</v>
      </c>
      <c r="H478" s="176">
        <f>INDEX('ARZEW TO USGC'!$A$6:$J$23,MATCH(MAIN!$E478,'ARZEW TO USGC'!$A$6:$A$23,0),10)</f>
        <v>8.3333333333333332E-3</v>
      </c>
      <c r="I478" s="179" t="s">
        <v>61</v>
      </c>
      <c r="J478" s="175">
        <f>INDEX('ARZEW TO USGC'!$L$6:$U$23,MATCH(MAIN!$I478,'ARZEW TO USGC'!$L$6:$L$23,0),6)</f>
        <v>1.2755102040816327E-2</v>
      </c>
      <c r="K478" s="178">
        <f>INDEX('ARZEW TO USGC'!$L$6:$U$23,MATCH(MAIN!$I478,'ARZEW TO USGC'!$L$6:$L$23,0),8)</f>
        <v>1.2755102040816327E-2</v>
      </c>
      <c r="L478" s="176">
        <f>INDEX('ARZEW TO USGC'!$L$6:$U$23,MATCH(MAIN!$I478,'ARZEW TO USGC'!$L$6:$L$23,0),10)</f>
        <v>1.2755102040816327E-2</v>
      </c>
    </row>
    <row r="479" spans="1:12" hidden="1" outlineLevel="1" x14ac:dyDescent="0.25">
      <c r="A479" s="155"/>
      <c r="B479" s="255" t="s">
        <v>62</v>
      </c>
      <c r="C479" s="524"/>
      <c r="D479" s="525"/>
      <c r="E479" t="s">
        <v>62</v>
      </c>
      <c r="F479" s="175">
        <f>INDEX('ARZEW TO USGC'!$A$6:$J$23,MATCH(MAIN!$E479,'ARZEW TO USGC'!$A$6:$A$23,0),6)</f>
        <v>8.3333333333333332E-3</v>
      </c>
      <c r="G479" s="178">
        <f>INDEX('ARZEW TO USGC'!$A$6:$J$23,MATCH(MAIN!$E479,'ARZEW TO USGC'!$A$6:$A$23,0),8)</f>
        <v>8.3333333333333332E-3</v>
      </c>
      <c r="H479" s="176">
        <f>INDEX('ARZEW TO USGC'!$A$6:$J$23,MATCH(MAIN!$E479,'ARZEW TO USGC'!$A$6:$A$23,0),10)</f>
        <v>8.3333333333333332E-3</v>
      </c>
      <c r="I479" s="179" t="s">
        <v>62</v>
      </c>
      <c r="J479" s="175">
        <f>INDEX('ARZEW TO USGC'!$L$6:$U$23,MATCH(MAIN!$I479,'ARZEW TO USGC'!$L$6:$L$23,0),6)</f>
        <v>1.2755102040816327E-2</v>
      </c>
      <c r="K479" s="178">
        <f>INDEX('ARZEW TO USGC'!$L$6:$U$23,MATCH(MAIN!$I479,'ARZEW TO USGC'!$L$6:$L$23,0),8)</f>
        <v>1.2755102040816327E-2</v>
      </c>
      <c r="L479" s="176">
        <f>INDEX('ARZEW TO USGC'!$L$6:$U$23,MATCH(MAIN!$I479,'ARZEW TO USGC'!$L$6:$L$23,0),10)</f>
        <v>1.2755102040816327E-2</v>
      </c>
    </row>
    <row r="480" spans="1:12" hidden="1" outlineLevel="1" x14ac:dyDescent="0.25">
      <c r="A480" s="155"/>
      <c r="B480" s="255" t="s">
        <v>63</v>
      </c>
      <c r="C480" s="524"/>
      <c r="D480" s="525"/>
      <c r="E480" t="s">
        <v>63</v>
      </c>
      <c r="F480" s="175">
        <f>INDEX('ARZEW TO USGC'!$A$6:$J$23,MATCH(MAIN!$E480,'ARZEW TO USGC'!$A$6:$A$23,0),6)</f>
        <v>0.1</v>
      </c>
      <c r="G480" s="178">
        <f>INDEX('ARZEW TO USGC'!$A$6:$J$23,MATCH(MAIN!$E480,'ARZEW TO USGC'!$A$6:$A$23,0),8)</f>
        <v>0.1</v>
      </c>
      <c r="H480" s="176">
        <f>INDEX('ARZEW TO USGC'!$A$6:$J$23,MATCH(MAIN!$E480,'ARZEW TO USGC'!$A$6:$A$23,0),10)</f>
        <v>0.1</v>
      </c>
      <c r="I480" s="179" t="s">
        <v>63</v>
      </c>
      <c r="J480" s="175">
        <f>INDEX('ARZEW TO USGC'!$L$6:$U$23,MATCH(MAIN!$I480,'ARZEW TO USGC'!$L$6:$L$23,0),6)</f>
        <v>0.15306122448979592</v>
      </c>
      <c r="K480" s="178">
        <f>INDEX('ARZEW TO USGC'!$L$6:$U$23,MATCH(MAIN!$I480,'ARZEW TO USGC'!$L$6:$L$23,0),8)</f>
        <v>0.15306122448979592</v>
      </c>
      <c r="L480" s="176">
        <f>INDEX('ARZEW TO USGC'!$L$6:$U$23,MATCH(MAIN!$I480,'ARZEW TO USGC'!$L$6:$L$23,0),10)</f>
        <v>0.15306122448979592</v>
      </c>
    </row>
    <row r="481" spans="1:12" hidden="1" outlineLevel="1" x14ac:dyDescent="0.25">
      <c r="A481" s="155"/>
      <c r="B481" s="255" t="s">
        <v>64</v>
      </c>
      <c r="C481" s="524"/>
      <c r="D481" s="525"/>
      <c r="E481" t="s">
        <v>64</v>
      </c>
      <c r="F481" s="175">
        <f>INDEX('ARZEW TO USGC'!$A$6:$J$23,MATCH(MAIN!$E481,'ARZEW TO USGC'!$A$6:$A$23,0),6)</f>
        <v>6.6666666666666666E-2</v>
      </c>
      <c r="G481" s="178">
        <f>INDEX('ARZEW TO USGC'!$A$6:$J$23,MATCH(MAIN!$E481,'ARZEW TO USGC'!$A$6:$A$23,0),8)</f>
        <v>6.6666666666666666E-2</v>
      </c>
      <c r="H481" s="176">
        <f>INDEX('ARZEW TO USGC'!$A$6:$J$23,MATCH(MAIN!$E481,'ARZEW TO USGC'!$A$6:$A$23,0),10)</f>
        <v>6.6666666666666666E-2</v>
      </c>
      <c r="I481" s="179" t="s">
        <v>64</v>
      </c>
      <c r="J481" s="175">
        <f>INDEX('ARZEW TO USGC'!$L$6:$U$23,MATCH(MAIN!$I481,'ARZEW TO USGC'!$L$6:$L$23,0),6)</f>
        <v>0.10204081632653061</v>
      </c>
      <c r="K481" s="178">
        <f>INDEX('ARZEW TO USGC'!$L$6:$U$23,MATCH(MAIN!$I481,'ARZEW TO USGC'!$L$6:$L$23,0),8)</f>
        <v>0.10204081632653061</v>
      </c>
      <c r="L481" s="176">
        <f>INDEX('ARZEW TO USGC'!$L$6:$U$23,MATCH(MAIN!$I481,'ARZEW TO USGC'!$L$6:$L$23,0),10)</f>
        <v>0.10204081632653061</v>
      </c>
    </row>
    <row r="482" spans="1:12" hidden="1" outlineLevel="1" x14ac:dyDescent="0.25">
      <c r="A482" s="155"/>
      <c r="B482" s="255" t="s">
        <v>100</v>
      </c>
      <c r="C482" s="524"/>
      <c r="D482" s="525"/>
      <c r="E482" t="s">
        <v>100</v>
      </c>
      <c r="F482" s="175">
        <f ca="1">INDEX('ARZEW TO USGC'!$A$6:$J$23,MATCH(MAIN!$E482,'ARZEW TO USGC'!$A$6:$A$23,0),6)</f>
        <v>26.533438288974097</v>
      </c>
      <c r="G482" s="178">
        <f ca="1">INDEX('ARZEW TO USGC'!$A$6:$J$23,MATCH(MAIN!$E482,'ARZEW TO USGC'!$A$6:$A$23,0),8)</f>
        <v>26.496721679385054</v>
      </c>
      <c r="H482" s="176">
        <f ca="1">INDEX('ARZEW TO USGC'!$A$6:$J$23,MATCH(MAIN!$E482,'ARZEW TO USGC'!$A$6:$A$23,0),10)</f>
        <v>26.478624179385054</v>
      </c>
      <c r="I482" s="179" t="s">
        <v>100</v>
      </c>
      <c r="J482" s="175">
        <f ca="1">INDEX('ARZEW TO USGC'!$L$6:$U$23,MATCH(MAIN!$I482,'ARZEW TO USGC'!$L$6:$L$23,0),6)</f>
        <v>28.349266860402665</v>
      </c>
      <c r="K482" s="178">
        <f ca="1">INDEX('ARZEW TO USGC'!$L$6:$U$23,MATCH(MAIN!$I482,'ARZEW TO USGC'!$L$6:$L$23,0),8)</f>
        <v>28.312550250813622</v>
      </c>
      <c r="L482" s="176">
        <f ca="1">INDEX('ARZEW TO USGC'!$L$6:$U$23,MATCH(MAIN!$I482,'ARZEW TO USGC'!$L$6:$L$23,0),10)</f>
        <v>28.294452750813623</v>
      </c>
    </row>
    <row r="483" spans="1:12" hidden="1" outlineLevel="1" x14ac:dyDescent="0.25">
      <c r="A483" s="155"/>
      <c r="B483" s="255" t="s">
        <v>101</v>
      </c>
      <c r="C483" s="524"/>
      <c r="D483" s="525"/>
      <c r="E483" t="s">
        <v>101</v>
      </c>
      <c r="F483" s="175">
        <f ca="1">INDEX('ARZEW TO USGC'!$A$6:$J$23,MATCH(MAIN!$E483,'ARZEW TO USGC'!$A$6:$A$23,0),6)</f>
        <v>21.558249999999997</v>
      </c>
      <c r="G483" s="178">
        <f ca="1">INDEX('ARZEW TO USGC'!$A$6:$J$23,MATCH(MAIN!$E483,'ARZEW TO USGC'!$A$6:$A$23,0),8)</f>
        <v>16.509999999999994</v>
      </c>
      <c r="H483" s="176">
        <f ca="1">INDEX('ARZEW TO USGC'!$A$6:$J$23,MATCH(MAIN!$E483,'ARZEW TO USGC'!$A$6:$A$23,0),10)</f>
        <v>16.509999999999994</v>
      </c>
      <c r="I483" s="179" t="s">
        <v>101</v>
      </c>
      <c r="J483" s="175">
        <f ca="1">INDEX('ARZEW TO USGC'!$L$6:$U$23,MATCH(MAIN!$I483,'ARZEW TO USGC'!$L$6:$L$23,0),6)</f>
        <v>21.558249999999997</v>
      </c>
      <c r="K483" s="178">
        <f ca="1">INDEX('ARZEW TO USGC'!$L$6:$U$23,MATCH(MAIN!$I483,'ARZEW TO USGC'!$L$6:$L$23,0),8)</f>
        <v>16.509999999999994</v>
      </c>
      <c r="L483" s="176">
        <f ca="1">INDEX('ARZEW TO USGC'!$L$6:$U$23,MATCH(MAIN!$I483,'ARZEW TO USGC'!$L$6:$L$23,0),10)</f>
        <v>16.509999999999994</v>
      </c>
    </row>
    <row r="484" spans="1:12" hidden="1" outlineLevel="1" x14ac:dyDescent="0.25">
      <c r="A484" s="155"/>
      <c r="B484" s="255" t="s">
        <v>113</v>
      </c>
      <c r="C484" s="524"/>
      <c r="D484" s="525"/>
      <c r="E484" t="s">
        <v>113</v>
      </c>
      <c r="F484" s="175">
        <f ca="1">INDEX('ARZEW TO USGC'!$A$6:$J$23,MATCH(MAIN!$E484,'ARZEW TO USGC'!$A$6:$A$23,0),6)</f>
        <v>-4.975188288974099</v>
      </c>
      <c r="G484" s="178">
        <f ca="1">INDEX('ARZEW TO USGC'!$A$6:$J$23,MATCH(MAIN!$E484,'ARZEW TO USGC'!$A$6:$A$23,0),8)</f>
        <v>-9.9867216793850595</v>
      </c>
      <c r="H484" s="176">
        <f ca="1">INDEX('ARZEW TO USGC'!$A$6:$J$23,MATCH(MAIN!$E484,'ARZEW TO USGC'!$A$6:$A$23,0),10)</f>
        <v>-9.9686241793850598</v>
      </c>
      <c r="I484" s="179" t="s">
        <v>113</v>
      </c>
      <c r="J484" s="175">
        <f ca="1">INDEX('ARZEW TO USGC'!$L$6:$U$23,MATCH(MAIN!$I484,'ARZEW TO USGC'!$L$6:$L$23,0),6)</f>
        <v>-6.7910168604026673</v>
      </c>
      <c r="K484" s="178">
        <f ca="1">INDEX('ARZEW TO USGC'!$L$6:$U$23,MATCH(MAIN!$I484,'ARZEW TO USGC'!$L$6:$L$23,0),8)</f>
        <v>-11.802550250813628</v>
      </c>
      <c r="L484" s="176">
        <f ca="1">INDEX('ARZEW TO USGC'!$L$6:$U$23,MATCH(MAIN!$I484,'ARZEW TO USGC'!$L$6:$L$23,0),10)</f>
        <v>-11.784452750813628</v>
      </c>
    </row>
    <row r="485" spans="1:12" ht="15.75" hidden="1" outlineLevel="1" thickBot="1" x14ac:dyDescent="0.3">
      <c r="A485" s="155"/>
      <c r="B485" s="255" t="s">
        <v>126</v>
      </c>
      <c r="C485" s="524"/>
      <c r="D485" s="525"/>
      <c r="E485" t="s">
        <v>126</v>
      </c>
      <c r="F485" s="217">
        <f ca="1">F463</f>
        <v>45918</v>
      </c>
      <c r="G485" s="217">
        <f ca="1">G463</f>
        <v>45932</v>
      </c>
      <c r="H485" s="217">
        <f ca="1">H463</f>
        <v>45946</v>
      </c>
      <c r="I485" s="220" t="str">
        <f>I459</f>
        <v>ROLL</v>
      </c>
      <c r="J485" s="217">
        <f ca="1">J463</f>
        <v>45918</v>
      </c>
      <c r="K485" s="217">
        <f ca="1">K463</f>
        <v>45932</v>
      </c>
      <c r="L485" s="217">
        <f ca="1">L463</f>
        <v>45946</v>
      </c>
    </row>
    <row r="486" spans="1:12" collapsed="1" x14ac:dyDescent="0.25"/>
    <row r="487" spans="1:12" ht="15.75" thickBot="1" x14ac:dyDescent="0.3"/>
    <row r="488" spans="1:12" ht="15.75" thickBot="1" x14ac:dyDescent="0.3">
      <c r="A488" s="554" t="s">
        <v>246</v>
      </c>
      <c r="B488" s="497"/>
      <c r="C488" s="555"/>
      <c r="D488" s="556"/>
      <c r="E488" s="497"/>
      <c r="F488" s="557" t="s">
        <v>129</v>
      </c>
      <c r="G488" s="558"/>
      <c r="H488" s="559"/>
      <c r="I488" s="497"/>
    </row>
    <row r="489" spans="1:12" ht="15.75" thickBot="1" x14ac:dyDescent="0.3">
      <c r="A489" s="554"/>
      <c r="B489" s="498" t="s">
        <v>184</v>
      </c>
      <c r="C489" s="499"/>
      <c r="D489" s="500"/>
      <c r="E489" s="497"/>
      <c r="F489" s="501" t="str">
        <f ca="1">IF(DAY(F490)&lt;15,"1H-"&amp;VLOOKUP(MONTH(F490),Mapping!$A$1:$B$12,2,0),"2H-"&amp;VLOOKUP(MONTH(F490),Mapping!$A$1:$B$12,2,0))</f>
        <v>2H-SEP</v>
      </c>
      <c r="G489" s="502" t="str">
        <f ca="1">IF(DAY(G490)&lt;15,"1H-"&amp;VLOOKUP(MONTH(G490),Mapping!$A$1:$B$12,2,0),"2H-"&amp;VLOOKUP(MONTH(G490),Mapping!$A$1:$B$12,2,0))</f>
        <v>1H-OCT</v>
      </c>
      <c r="H489" s="503" t="str">
        <f ca="1">IF(DAY(H490)&lt;15,"1H-"&amp;VLOOKUP(MONTH(H490),Mapping!$A$1:$B$12,2,0),"2H-"&amp;VLOOKUP(MONTH(H490),Mapping!$A$1:$B$12,2,0))</f>
        <v>2H-OCT</v>
      </c>
      <c r="I489" s="504" t="e">
        <f>IF(DAY(I490)&lt;15,"1H-"&amp;VLOOKUP(MONTH(I490),Mapping!$A$1:$B$12,2,0),"2H-"&amp;VLOOKUP(MONTH(I490),Mapping!$A$1:$B$12,2,0))</f>
        <v>#VALUE!</v>
      </c>
    </row>
    <row r="490" spans="1:12" x14ac:dyDescent="0.25">
      <c r="C490" s="522"/>
      <c r="D490" s="523"/>
      <c r="F490" s="158">
        <f ca="1">'Loading Arrival'!Q3</f>
        <v>45918</v>
      </c>
      <c r="G490" s="194">
        <f ca="1">'Loading Arrival'!R3</f>
        <v>45932</v>
      </c>
      <c r="H490" s="195">
        <f ca="1">'Loading Arrival'!S3</f>
        <v>45946</v>
      </c>
      <c r="I490" s="164" t="str">
        <f>I441</f>
        <v xml:space="preserve">Sale premium </v>
      </c>
    </row>
    <row r="491" spans="1:12" x14ac:dyDescent="0.25">
      <c r="A491" s="199" t="s">
        <v>276</v>
      </c>
      <c r="B491" s="168"/>
      <c r="C491" s="524"/>
      <c r="D491" s="525"/>
      <c r="F491" s="159">
        <f ca="1">F511+F492-F493</f>
        <v>-38.068498982980557</v>
      </c>
      <c r="G491" s="159">
        <f ca="1">G511+G492-G493</f>
        <v>-45.399039611872226</v>
      </c>
      <c r="H491" s="161">
        <f ca="1">H511+H492-H493</f>
        <v>-45.399039611872226</v>
      </c>
      <c r="I491" s="165"/>
    </row>
    <row r="492" spans="1:12" x14ac:dyDescent="0.25">
      <c r="A492" s="155"/>
      <c r="B492" s="169" t="s">
        <v>133</v>
      </c>
      <c r="C492" s="524"/>
      <c r="D492" s="525"/>
      <c r="E492" s="177" t="s">
        <v>128</v>
      </c>
      <c r="F492" s="175">
        <f ca="1">INDEX(Premium!$A$2:$D$18,MATCH(MAIN!$A152,Premium!$A$2:$A$18,0),MATCH(EOMONTH(F490,-1)+1,Premium!$A$2:$D$2,0))</f>
        <v>-7.25</v>
      </c>
      <c r="G492" s="175">
        <f ca="1">INDEX(Premium!$A$2:$D$18,MATCH(MAIN!$A152,Premium!$A$2:$A$18,0),MATCH(EOMONTH(G490,-1)+1,Premium!$A$2:$D$2,0))</f>
        <v>-7.25</v>
      </c>
      <c r="H492" s="175">
        <f ca="1">INDEX(Premium!$A$2:$D$18,MATCH(MAIN!$A152,Premium!$A$2:$A$18,0),MATCH(EOMONTH(H490,-1)+1,Premium!$A$2:$D$2,0))</f>
        <v>-7.25</v>
      </c>
      <c r="I492" s="179" t="s">
        <v>128</v>
      </c>
    </row>
    <row r="493" spans="1:12" ht="15.75" thickBot="1" x14ac:dyDescent="0.3">
      <c r="A493" s="155"/>
      <c r="B493" s="170" t="s">
        <v>132</v>
      </c>
      <c r="C493" s="524"/>
      <c r="D493" s="525"/>
      <c r="E493" s="177" t="s">
        <v>272</v>
      </c>
      <c r="F493" s="180">
        <f ca="1">INDEX(Premium!$A$21:$D$37,MATCH(MAIN!$A491,Premium!$A$21:$A$37,0),MATCH(EOMONTH(MAIN!F512,-1)+1,Premium!$A$21:$D$21,0))</f>
        <v>2.5</v>
      </c>
      <c r="G493" s="180">
        <f ca="1">INDEX(Premium!$A$21:$D$37,MATCH(MAIN!$A491,Premium!$A$21:$A$37,0),MATCH(EOMONTH(MAIN!G512,-1)+1,Premium!$A$21:$D$21,0))</f>
        <v>2.5</v>
      </c>
      <c r="H493" s="180">
        <f ca="1">INDEX(Premium!$A$21:$D$37,MATCH(MAIN!$A491,Premium!$A$21:$A$37,0),MATCH(EOMONTH(MAIN!H512,-1)+1,Premium!$A$21:$D$21,0))</f>
        <v>2.5</v>
      </c>
      <c r="I493" s="179" t="s">
        <v>127</v>
      </c>
    </row>
    <row r="494" spans="1:12" hidden="1" outlineLevel="1" x14ac:dyDescent="0.25">
      <c r="A494" s="155"/>
      <c r="B494" s="254" t="s">
        <v>53</v>
      </c>
      <c r="C494" s="524"/>
      <c r="D494" s="525"/>
      <c r="E494" s="6" t="s">
        <v>53</v>
      </c>
      <c r="F494" s="234">
        <f>INDEX('IRAQ TO MED'!$A$6:$J$23,MATCH(MAIN!E494,'IRAQ TO MED'!$A$6:$A$23,0),5)</f>
        <v>21.333333333333332</v>
      </c>
      <c r="G494" s="241">
        <f>INDEX('IRAQ TO MED'!$A$6:$J$23,MATCH(MAIN!E494,'IRAQ TO MED'!$A$6:$A$23,0),7)</f>
        <v>21.333333333333332</v>
      </c>
      <c r="H494" s="242">
        <f>INDEX('IRAQ TO MED'!$A$6:$J$23,MATCH(MAIN!E494,'IRAQ TO MED'!$A$6:$A$23,0),9)</f>
        <v>21.333333333333332</v>
      </c>
      <c r="I494" s="234" t="e">
        <f>INDEX('IRAQ TO MED'!$A$6:$J$23,MATCH(MAIN!H494,'IRAQ TO MED'!$A$6:$A$23,0),5)</f>
        <v>#N/A</v>
      </c>
    </row>
    <row r="495" spans="1:12" hidden="1" outlineLevel="1" x14ac:dyDescent="0.25">
      <c r="A495" s="155"/>
      <c r="B495" s="255" t="s">
        <v>54</v>
      </c>
      <c r="C495" s="524"/>
      <c r="D495" s="525"/>
      <c r="E495" t="s">
        <v>54</v>
      </c>
      <c r="F495" s="175">
        <f>INDEX('IRAQ TO MED'!$A$6:$J$23,MATCH(MAIN!E495,'IRAQ TO MED'!$A$6:$A$23,0),5)</f>
        <v>0</v>
      </c>
      <c r="G495" s="178">
        <f>INDEX('IRAQ TO MED'!$A$6:$J$23,MATCH(MAIN!E495,'IRAQ TO MED'!$A$6:$A$23,0),7)</f>
        <v>0</v>
      </c>
      <c r="H495" s="176">
        <f>INDEX('IRAQ TO MED'!$A$6:$J$23,MATCH(MAIN!E495,'IRAQ TO MED'!$A$6:$A$23,0),9)</f>
        <v>0</v>
      </c>
      <c r="I495" s="179" t="s">
        <v>54</v>
      </c>
    </row>
    <row r="496" spans="1:12" hidden="1" outlineLevel="1" x14ac:dyDescent="0.25">
      <c r="A496" s="155"/>
      <c r="B496" s="255" t="s">
        <v>55</v>
      </c>
      <c r="C496" s="524"/>
      <c r="D496" s="525"/>
      <c r="E496" t="s">
        <v>55</v>
      </c>
      <c r="F496" s="175">
        <f>INDEX('IRAQ TO MED'!$A$6:$J$23,MATCH(MAIN!E496,'IRAQ TO MED'!$A$6:$A$23,0),5)</f>
        <v>3.3333333333333335</v>
      </c>
      <c r="G496" s="178">
        <f>INDEX('IRAQ TO MED'!$A$6:$J$23,MATCH(MAIN!E496,'IRAQ TO MED'!$A$6:$A$23,0),7)</f>
        <v>3.3333333333333335</v>
      </c>
      <c r="H496" s="176">
        <f>INDEX('IRAQ TO MED'!$A$6:$J$23,MATCH(MAIN!E496,'IRAQ TO MED'!$A$6:$A$23,0),9)</f>
        <v>3.3333333333333335</v>
      </c>
      <c r="I496" s="179" t="s">
        <v>55</v>
      </c>
    </row>
    <row r="497" spans="1:9" hidden="1" outlineLevel="1" x14ac:dyDescent="0.25">
      <c r="A497" s="155"/>
      <c r="B497" s="255" t="s">
        <v>56</v>
      </c>
      <c r="C497" s="524"/>
      <c r="D497" s="525"/>
      <c r="E497" t="s">
        <v>56</v>
      </c>
      <c r="F497" s="175">
        <f>INDEX('IRAQ TO MED'!$A$6:$J$23,MATCH(MAIN!E497,'IRAQ TO MED'!$A$6:$A$23,0),5)</f>
        <v>0.1</v>
      </c>
      <c r="G497" s="178">
        <f>INDEX('IRAQ TO MED'!$A$6:$J$23,MATCH(MAIN!E497,'IRAQ TO MED'!$A$6:$A$23,0),7)</f>
        <v>0.1</v>
      </c>
      <c r="H497" s="176">
        <f>INDEX('IRAQ TO MED'!$A$6:$J$23,MATCH(MAIN!E497,'IRAQ TO MED'!$A$6:$A$23,0),9)</f>
        <v>0.1</v>
      </c>
      <c r="I497" s="179" t="s">
        <v>56</v>
      </c>
    </row>
    <row r="498" spans="1:9" hidden="1" outlineLevel="1" x14ac:dyDescent="0.25">
      <c r="A498" s="155"/>
      <c r="B498" s="255" t="s">
        <v>124</v>
      </c>
      <c r="C498" s="524"/>
      <c r="D498" s="525"/>
      <c r="E498" t="s">
        <v>124</v>
      </c>
      <c r="F498" s="175">
        <f>INDEX('IRAQ TO MED'!$A$6:$J$23,MATCH(MAIN!E498,'IRAQ TO MED'!$A$6:$A$23,0),5)</f>
        <v>0.16666666666666666</v>
      </c>
      <c r="G498" s="178">
        <f>INDEX('IRAQ TO MED'!$A$6:$J$23,MATCH(MAIN!E498,'IRAQ TO MED'!$A$6:$A$23,0),7)</f>
        <v>0.16666666666666666</v>
      </c>
      <c r="H498" s="176">
        <f>INDEX('IRAQ TO MED'!$A$6:$J$23,MATCH(MAIN!E498,'IRAQ TO MED'!$A$6:$A$23,0),9)</f>
        <v>0.16666666666666666</v>
      </c>
      <c r="I498" s="179" t="s">
        <v>124</v>
      </c>
    </row>
    <row r="499" spans="1:9" hidden="1" outlineLevel="1" x14ac:dyDescent="0.25">
      <c r="A499" s="155"/>
      <c r="B499" s="255" t="s">
        <v>125</v>
      </c>
      <c r="C499" s="524"/>
      <c r="D499" s="525"/>
      <c r="E499" t="s">
        <v>125</v>
      </c>
      <c r="F499" s="175">
        <f>INDEX('IRAQ TO MED'!$A$6:$J$23,MATCH(MAIN!E499,'IRAQ TO MED'!$A$6:$A$23,0),5)</f>
        <v>0.16666666666666666</v>
      </c>
      <c r="G499" s="178">
        <f>INDEX('IRAQ TO MED'!$A$6:$J$23,MATCH(MAIN!E499,'IRAQ TO MED'!$A$6:$A$23,0),7)</f>
        <v>0.16666666666666666</v>
      </c>
      <c r="H499" s="176">
        <f>INDEX('IRAQ TO MED'!$A$6:$J$23,MATCH(MAIN!E499,'IRAQ TO MED'!$A$6:$A$23,0),9)</f>
        <v>0.16666666666666666</v>
      </c>
      <c r="I499" s="179" t="s">
        <v>125</v>
      </c>
    </row>
    <row r="500" spans="1:9" hidden="1" outlineLevel="1" x14ac:dyDescent="0.25">
      <c r="A500" s="155"/>
      <c r="B500" s="255" t="s">
        <v>81</v>
      </c>
      <c r="C500" s="524"/>
      <c r="D500" s="525"/>
      <c r="E500" t="s">
        <v>81</v>
      </c>
      <c r="F500" s="175">
        <f ca="1">INDEX('IRAQ TO MED'!$A$6:$J$23,MATCH(MAIN!E500,'IRAQ TO MED'!$A$6:$A$23,0),5)</f>
        <v>3.379109589041096</v>
      </c>
      <c r="G500" s="178">
        <f ca="1">INDEX('IRAQ TO MED'!$A$6:$J$23,MATCH(MAIN!E500,'IRAQ TO MED'!$A$6:$A$23,0),7)</f>
        <v>3.3655479452054795</v>
      </c>
      <c r="H500" s="176">
        <f ca="1">INDEX('IRAQ TO MED'!$A$6:$J$23,MATCH(MAIN!E500,'IRAQ TO MED'!$A$6:$A$23,0),9)</f>
        <v>3.3655479452054795</v>
      </c>
      <c r="I500" s="179" t="s">
        <v>81</v>
      </c>
    </row>
    <row r="501" spans="1:9" hidden="1" outlineLevel="1" x14ac:dyDescent="0.25">
      <c r="A501" s="155"/>
      <c r="B501" s="255" t="s">
        <v>57</v>
      </c>
      <c r="C501" s="524"/>
      <c r="D501" s="525"/>
      <c r="E501" t="s">
        <v>57</v>
      </c>
      <c r="F501" s="175">
        <f>INDEX('IRAQ TO MED'!$A$6:$J$23,MATCH(MAIN!E501,'IRAQ TO MED'!$A$6:$A$23,0),5)</f>
        <v>0</v>
      </c>
      <c r="G501" s="178">
        <f>INDEX('IRAQ TO MED'!$A$6:$J$23,MATCH(MAIN!E501,'IRAQ TO MED'!$A$6:$A$23,0),7)</f>
        <v>0</v>
      </c>
      <c r="H501" s="176">
        <f>INDEX('IRAQ TO MED'!$A$6:$J$23,MATCH(MAIN!E501,'IRAQ TO MED'!$A$6:$A$23,0),9)</f>
        <v>0</v>
      </c>
      <c r="I501" s="179" t="s">
        <v>57</v>
      </c>
    </row>
    <row r="502" spans="1:9" hidden="1" outlineLevel="1" x14ac:dyDescent="0.25">
      <c r="A502" s="155"/>
      <c r="B502" s="255" t="s">
        <v>58</v>
      </c>
      <c r="C502" s="524"/>
      <c r="D502" s="525"/>
      <c r="E502" t="s">
        <v>58</v>
      </c>
      <c r="F502" s="175">
        <f ca="1">INDEX('IRAQ TO MED'!$A$6:$J$23,MATCH(MAIN!E502,'IRAQ TO MED'!$A$6:$A$23,0),5)</f>
        <v>0.28031250000000002</v>
      </c>
      <c r="G502" s="178">
        <f ca="1">INDEX('IRAQ TO MED'!$A$6:$J$23,MATCH(MAIN!E502,'IRAQ TO MED'!$A$6:$A$23,0),7)</f>
        <v>0.27918750000000003</v>
      </c>
      <c r="H502" s="176">
        <f ca="1">INDEX('IRAQ TO MED'!$A$6:$J$23,MATCH(MAIN!E502,'IRAQ TO MED'!$A$6:$A$23,0),9)</f>
        <v>0.27918750000000003</v>
      </c>
      <c r="I502" s="179" t="s">
        <v>58</v>
      </c>
    </row>
    <row r="503" spans="1:9" hidden="1" outlineLevel="1" x14ac:dyDescent="0.25">
      <c r="A503" s="155"/>
      <c r="B503" s="255" t="s">
        <v>59</v>
      </c>
      <c r="C503" s="524"/>
      <c r="D503" s="525"/>
      <c r="E503" t="s">
        <v>59</v>
      </c>
      <c r="F503" s="175">
        <f ca="1">INDEX('IRAQ TO MED'!$A$6:$J$23,MATCH(MAIN!E503,'IRAQ TO MED'!$A$6:$A$23,0),5)</f>
        <v>1.1001374999999998</v>
      </c>
      <c r="G503" s="178">
        <f ca="1">INDEX('IRAQ TO MED'!$A$6:$J$23,MATCH(MAIN!E503,'IRAQ TO MED'!$A$6:$A$23,0),7)</f>
        <v>1.1001374999999998</v>
      </c>
      <c r="H503" s="176">
        <f ca="1">INDEX('IRAQ TO MED'!$A$6:$J$23,MATCH(MAIN!E503,'IRAQ TO MED'!$A$6:$A$23,0),9)</f>
        <v>1.1001374999999998</v>
      </c>
      <c r="I503" s="179" t="s">
        <v>59</v>
      </c>
    </row>
    <row r="504" spans="1:9" hidden="1" outlineLevel="1" x14ac:dyDescent="0.25">
      <c r="A504" s="155"/>
      <c r="B504" s="255" t="s">
        <v>60</v>
      </c>
      <c r="C504" s="524"/>
      <c r="D504" s="525"/>
      <c r="E504" t="s">
        <v>60</v>
      </c>
      <c r="F504" s="175">
        <f>INDEX('IRAQ TO MED'!$A$6:$J$23,MATCH(MAIN!E504,'IRAQ TO MED'!$A$6:$A$23,0),5)</f>
        <v>8.3333333333333329E-2</v>
      </c>
      <c r="G504" s="178">
        <f>INDEX('IRAQ TO MED'!$A$6:$J$23,MATCH(MAIN!E504,'IRAQ TO MED'!$A$6:$A$23,0),7)</f>
        <v>8.3333333333333329E-2</v>
      </c>
      <c r="H504" s="176">
        <f>INDEX('IRAQ TO MED'!$A$6:$J$23,MATCH(MAIN!E504,'IRAQ TO MED'!$A$6:$A$23,0),9)</f>
        <v>8.3333333333333329E-2</v>
      </c>
      <c r="I504" s="179" t="s">
        <v>60</v>
      </c>
    </row>
    <row r="505" spans="1:9" hidden="1" outlineLevel="1" x14ac:dyDescent="0.25">
      <c r="A505" s="155"/>
      <c r="B505" s="255" t="s">
        <v>61</v>
      </c>
      <c r="C505" s="524"/>
      <c r="D505" s="525"/>
      <c r="E505" t="s">
        <v>61</v>
      </c>
      <c r="F505" s="175">
        <f>INDEX('IRAQ TO MED'!$A$6:$J$23,MATCH(MAIN!E505,'IRAQ TO MED'!$A$6:$A$23,0),5)</f>
        <v>8.3333333333333332E-3</v>
      </c>
      <c r="G505" s="178">
        <f>INDEX('IRAQ TO MED'!$A$6:$J$23,MATCH(MAIN!E505,'IRAQ TO MED'!$A$6:$A$23,0),7)</f>
        <v>8.3333333333333332E-3</v>
      </c>
      <c r="H505" s="176">
        <f>INDEX('IRAQ TO MED'!$A$6:$J$23,MATCH(MAIN!E505,'IRAQ TO MED'!$A$6:$A$23,0),9)</f>
        <v>8.3333333333333332E-3</v>
      </c>
      <c r="I505" s="179" t="s">
        <v>61</v>
      </c>
    </row>
    <row r="506" spans="1:9" hidden="1" outlineLevel="1" x14ac:dyDescent="0.25">
      <c r="A506" s="155"/>
      <c r="B506" s="255" t="s">
        <v>62</v>
      </c>
      <c r="C506" s="524"/>
      <c r="D506" s="525"/>
      <c r="E506" t="s">
        <v>62</v>
      </c>
      <c r="F506" s="175">
        <f>INDEX('IRAQ TO MED'!$A$6:$J$23,MATCH(MAIN!E506,'IRAQ TO MED'!$A$6:$A$23,0),5)</f>
        <v>8.3333333333333332E-3</v>
      </c>
      <c r="G506" s="178">
        <f>INDEX('IRAQ TO MED'!$A$6:$J$23,MATCH(MAIN!E506,'IRAQ TO MED'!$A$6:$A$23,0),7)</f>
        <v>8.3333333333333332E-3</v>
      </c>
      <c r="H506" s="176">
        <f>INDEX('IRAQ TO MED'!$A$6:$J$23,MATCH(MAIN!E506,'IRAQ TO MED'!$A$6:$A$23,0),9)</f>
        <v>8.3333333333333332E-3</v>
      </c>
      <c r="I506" s="179" t="s">
        <v>62</v>
      </c>
    </row>
    <row r="507" spans="1:9" hidden="1" outlineLevel="1" x14ac:dyDescent="0.25">
      <c r="A507" s="155"/>
      <c r="B507" s="255" t="s">
        <v>63</v>
      </c>
      <c r="C507" s="524"/>
      <c r="D507" s="525"/>
      <c r="E507" t="s">
        <v>63</v>
      </c>
      <c r="F507" s="175">
        <f>INDEX('IRAQ TO MED'!$A$6:$J$23,MATCH(MAIN!E507,'IRAQ TO MED'!$A$6:$A$23,0),5)</f>
        <v>0.1</v>
      </c>
      <c r="G507" s="178">
        <f>INDEX('IRAQ TO MED'!$A$6:$J$23,MATCH(MAIN!E507,'IRAQ TO MED'!$A$6:$A$23,0),7)</f>
        <v>0.1</v>
      </c>
      <c r="H507" s="176">
        <f>INDEX('IRAQ TO MED'!$A$6:$J$23,MATCH(MAIN!E507,'IRAQ TO MED'!$A$6:$A$23,0),9)</f>
        <v>0.1</v>
      </c>
      <c r="I507" s="179" t="s">
        <v>63</v>
      </c>
    </row>
    <row r="508" spans="1:9" hidden="1" outlineLevel="1" x14ac:dyDescent="0.25">
      <c r="A508" s="155"/>
      <c r="B508" s="255" t="s">
        <v>64</v>
      </c>
      <c r="C508" s="524"/>
      <c r="D508" s="525"/>
      <c r="E508" t="s">
        <v>64</v>
      </c>
      <c r="F508" s="175">
        <f>INDEX('IRAQ TO MED'!$A$6:$J$23,MATCH(MAIN!E508,'IRAQ TO MED'!$A$6:$A$23,0),5)</f>
        <v>6.6666666666666666E-2</v>
      </c>
      <c r="G508" s="178">
        <f>INDEX('IRAQ TO MED'!$A$6:$J$23,MATCH(MAIN!E508,'IRAQ TO MED'!$A$6:$A$23,0),7)</f>
        <v>6.6666666666666666E-2</v>
      </c>
      <c r="H508" s="176">
        <f>INDEX('IRAQ TO MED'!$A$6:$J$23,MATCH(MAIN!E508,'IRAQ TO MED'!$A$6:$A$23,0),9)</f>
        <v>6.6666666666666666E-2</v>
      </c>
      <c r="I508" s="179" t="s">
        <v>64</v>
      </c>
    </row>
    <row r="509" spans="1:9" hidden="1" outlineLevel="1" x14ac:dyDescent="0.25">
      <c r="A509" s="155"/>
      <c r="B509" s="255" t="s">
        <v>100</v>
      </c>
      <c r="C509" s="524"/>
      <c r="D509" s="525"/>
      <c r="E509" t="s">
        <v>100</v>
      </c>
      <c r="F509" s="175">
        <f ca="1">INDEX('IRAQ TO MED'!$A$6:$J$23,MATCH(MAIN!E509,'IRAQ TO MED'!$A$6:$A$23,0),5)</f>
        <v>30.126226255707763</v>
      </c>
      <c r="G509" s="178">
        <f ca="1">INDEX('IRAQ TO MED'!$A$6:$J$23,MATCH(MAIN!E509,'IRAQ TO MED'!$A$6:$A$23,0),7)</f>
        <v>30.111539611872143</v>
      </c>
      <c r="H509" s="176">
        <f ca="1">INDEX('IRAQ TO MED'!$A$6:$J$23,MATCH(MAIN!E509,'IRAQ TO MED'!$A$6:$A$23,0),9)</f>
        <v>30.111539611872143</v>
      </c>
      <c r="I509" s="179" t="s">
        <v>100</v>
      </c>
    </row>
    <row r="510" spans="1:9" hidden="1" outlineLevel="1" x14ac:dyDescent="0.25">
      <c r="A510" s="155"/>
      <c r="B510" s="255" t="s">
        <v>101</v>
      </c>
      <c r="C510" s="524"/>
      <c r="D510" s="525"/>
      <c r="E510" t="s">
        <v>101</v>
      </c>
      <c r="F510" s="175">
        <f ca="1">INDEX('IRAQ TO MED'!$A$6:$J$23,MATCH(MAIN!E510,'IRAQ TO MED'!$A$6:$A$23,0),5)</f>
        <v>1.8077272727272098</v>
      </c>
      <c r="G510" s="178">
        <f ca="1">INDEX('IRAQ TO MED'!$A$6:$J$23,MATCH(MAIN!E510,'IRAQ TO MED'!$A$6:$A$23,0),7)</f>
        <v>-5.5375000000000796</v>
      </c>
      <c r="H510" s="176">
        <f ca="1">INDEX('IRAQ TO MED'!$A$6:$J$23,MATCH(MAIN!E510,'IRAQ TO MED'!$A$6:$A$23,0),9)</f>
        <v>-5.5375000000000796</v>
      </c>
      <c r="I510" s="179" t="s">
        <v>101</v>
      </c>
    </row>
    <row r="511" spans="1:9" hidden="1" outlineLevel="1" x14ac:dyDescent="0.25">
      <c r="A511" s="155"/>
      <c r="B511" s="255" t="s">
        <v>113</v>
      </c>
      <c r="C511" s="524"/>
      <c r="D511" s="525"/>
      <c r="E511" t="s">
        <v>113</v>
      </c>
      <c r="F511" s="175">
        <f ca="1">INDEX('IRAQ TO MED'!$A$6:$J$23,MATCH(MAIN!E511,'IRAQ TO MED'!$A$6:$A$23,0),5)</f>
        <v>-28.318498982980554</v>
      </c>
      <c r="G511" s="178">
        <f ca="1">INDEX('IRAQ TO MED'!$A$6:$J$23,MATCH(MAIN!E511,'IRAQ TO MED'!$A$6:$A$23,0),7)</f>
        <v>-35.649039611872226</v>
      </c>
      <c r="H511" s="176">
        <f ca="1">INDEX('IRAQ TO MED'!$A$6:$J$23,MATCH(MAIN!E511,'IRAQ TO MED'!$A$6:$A$23,0),9)</f>
        <v>-35.649039611872226</v>
      </c>
      <c r="I511" s="179" t="s">
        <v>113</v>
      </c>
    </row>
    <row r="512" spans="1:9" ht="15.75" hidden="1" outlineLevel="1" thickBot="1" x14ac:dyDescent="0.3">
      <c r="A512" s="155"/>
      <c r="B512" s="255" t="s">
        <v>126</v>
      </c>
      <c r="C512" s="524"/>
      <c r="D512" s="525"/>
      <c r="E512" t="s">
        <v>126</v>
      </c>
      <c r="F512" s="217">
        <f ca="1">F490</f>
        <v>45918</v>
      </c>
      <c r="G512" s="217">
        <f ca="1">G490</f>
        <v>45932</v>
      </c>
      <c r="H512" s="217">
        <f ca="1">H490</f>
        <v>45946</v>
      </c>
      <c r="I512" s="220">
        <f>I486</f>
        <v>0</v>
      </c>
    </row>
    <row r="513" spans="1:9" ht="15.75" hidden="1" outlineLevel="1" thickBot="1" x14ac:dyDescent="0.3">
      <c r="A513" s="155"/>
      <c r="B513" s="155"/>
      <c r="C513" s="155"/>
      <c r="D513" s="155"/>
      <c r="E513" s="155"/>
      <c r="F513" s="155"/>
      <c r="G513" s="155"/>
      <c r="H513" s="155"/>
      <c r="I513" s="155"/>
    </row>
    <row r="514" spans="1:9" hidden="1" outlineLevel="1" x14ac:dyDescent="0.25">
      <c r="A514" s="155"/>
      <c r="B514" s="155"/>
      <c r="C514" s="522"/>
      <c r="D514" s="523"/>
      <c r="F514" s="158">
        <f ca="1">F490</f>
        <v>45918</v>
      </c>
      <c r="G514" s="158">
        <f t="shared" ref="G514:H514" ca="1" si="17">G490</f>
        <v>45932</v>
      </c>
      <c r="H514" s="158">
        <f t="shared" ca="1" si="17"/>
        <v>45946</v>
      </c>
      <c r="I514" s="164" t="str">
        <f>I465</f>
        <v xml:space="preserve">Sale premium </v>
      </c>
    </row>
    <row r="515" spans="1:9" collapsed="1" x14ac:dyDescent="0.25">
      <c r="A515" s="199" t="s">
        <v>277</v>
      </c>
      <c r="B515" s="168"/>
      <c r="C515" s="524"/>
      <c r="D515" s="525"/>
      <c r="F515" s="159">
        <f ca="1">F535+F516-F517</f>
        <v>-13.287323137458944</v>
      </c>
      <c r="G515" s="159">
        <f ca="1">G535+G516-G517</f>
        <v>-16.757788346051722</v>
      </c>
      <c r="H515" s="161">
        <f ca="1">H535+H516-H517</f>
        <v>-16.757788346051722</v>
      </c>
      <c r="I515" s="165"/>
    </row>
    <row r="516" spans="1:9" x14ac:dyDescent="0.25">
      <c r="A516" s="155"/>
      <c r="B516" s="169" t="s">
        <v>133</v>
      </c>
      <c r="C516" s="524"/>
      <c r="D516" s="525"/>
      <c r="E516" s="177" t="s">
        <v>128</v>
      </c>
      <c r="F516" s="175">
        <f ca="1">INDEX(Premium!$A$2:$D$18,MATCH(MAIN!$A207,Premium!$A$2:$A$18,0),MATCH(EOMONTH(F514,-1)+1,Premium!$A$2:$D$2,0))</f>
        <v>-2</v>
      </c>
      <c r="G516" s="175">
        <f ca="1">INDEX(Premium!$A$2:$D$18,MATCH(MAIN!$A207,Premium!$A$2:$A$18,0),MATCH(EOMONTH(G514,-1)+1,Premium!$A$2:$D$2,0))</f>
        <v>0</v>
      </c>
      <c r="H516" s="175">
        <f ca="1">INDEX(Premium!$A$2:$D$18,MATCH(MAIN!$A207,Premium!$A$2:$A$18,0),MATCH(EOMONTH(H514,-1)+1,Premium!$A$2:$D$2,0))</f>
        <v>0</v>
      </c>
      <c r="I516" s="179" t="s">
        <v>128</v>
      </c>
    </row>
    <row r="517" spans="1:9" ht="15.75" thickBot="1" x14ac:dyDescent="0.3">
      <c r="A517" s="155"/>
      <c r="B517" s="170" t="s">
        <v>132</v>
      </c>
      <c r="C517" s="524"/>
      <c r="D517" s="525"/>
      <c r="E517" s="177" t="s">
        <v>272</v>
      </c>
      <c r="F517" s="180">
        <f ca="1">INDEX(Premium!$A$21:$D$37,MATCH(MAIN!$A515,Premium!$A$21:$A$37,0),MATCH(EOMONTH(MAIN!F536,-1)+1,Premium!$A$21:$D$21,0))</f>
        <v>2.5</v>
      </c>
      <c r="G517" s="180">
        <f ca="1">INDEX(Premium!$A$21:$D$37,MATCH(MAIN!$A515,Premium!$A$21:$A$37,0),MATCH(EOMONTH(MAIN!G536,-1)+1,Premium!$A$21:$D$21,0))</f>
        <v>2.5</v>
      </c>
      <c r="H517" s="180">
        <f ca="1">INDEX(Premium!$A$21:$D$37,MATCH(MAIN!$A515,Premium!$A$21:$A$37,0),MATCH(EOMONTH(MAIN!H536,-1)+1,Premium!$A$21:$D$21,0))</f>
        <v>2.5</v>
      </c>
      <c r="I517" s="179" t="s">
        <v>127</v>
      </c>
    </row>
    <row r="518" spans="1:9" hidden="1" outlineLevel="1" x14ac:dyDescent="0.25">
      <c r="A518" s="155"/>
      <c r="B518" s="254" t="s">
        <v>53</v>
      </c>
      <c r="C518" s="524"/>
      <c r="D518" s="525"/>
      <c r="E518" s="6" t="s">
        <v>53</v>
      </c>
      <c r="F518" s="234">
        <f>INDEX('IRAQ TO MED'!$A$6:$J$23,MATCH(MAIN!E518,'IRAQ TO MED'!$A$6:$A$23,0),6)</f>
        <v>21.333333333333332</v>
      </c>
      <c r="G518" s="241">
        <f>INDEX('IRAQ TO MED'!$A$6:$J$23,MATCH(MAIN!E518,'IRAQ TO MED'!$A$6:$A$23,0),8)</f>
        <v>21.333333333333332</v>
      </c>
      <c r="H518" s="242">
        <f>INDEX('IRAQ TO MED'!$A$6:$J$23,MATCH(MAIN!E518,'IRAQ TO MED'!$A$6:$A$23,0),10)</f>
        <v>21.333333333333332</v>
      </c>
      <c r="I518" s="250" t="s">
        <v>53</v>
      </c>
    </row>
    <row r="519" spans="1:9" hidden="1" outlineLevel="1" x14ac:dyDescent="0.25">
      <c r="A519" s="155"/>
      <c r="B519" s="255" t="s">
        <v>54</v>
      </c>
      <c r="C519" s="524"/>
      <c r="D519" s="525"/>
      <c r="E519" t="s">
        <v>54</v>
      </c>
      <c r="F519" s="175">
        <f>INDEX('IRAQ TO MED'!$A$6:$J$23,MATCH(MAIN!E519,'IRAQ TO MED'!$A$6:$A$23,0),6)</f>
        <v>0</v>
      </c>
      <c r="G519" s="178">
        <f>INDEX('IRAQ TO MED'!$A$6:$J$23,MATCH(MAIN!E519,'IRAQ TO MED'!$A$6:$A$23,0),8)</f>
        <v>0</v>
      </c>
      <c r="H519" s="176">
        <f>INDEX('IRAQ TO MED'!$A$6:$J$23,MATCH(MAIN!E519,'IRAQ TO MED'!$A$6:$A$23,0),10)</f>
        <v>0</v>
      </c>
      <c r="I519" s="179" t="s">
        <v>54</v>
      </c>
    </row>
    <row r="520" spans="1:9" hidden="1" outlineLevel="1" x14ac:dyDescent="0.25">
      <c r="A520" s="155"/>
      <c r="B520" s="255" t="s">
        <v>55</v>
      </c>
      <c r="C520" s="524"/>
      <c r="D520" s="525"/>
      <c r="E520" t="s">
        <v>55</v>
      </c>
      <c r="F520" s="175">
        <f>INDEX('IRAQ TO MED'!$A$6:$J$23,MATCH(MAIN!E520,'IRAQ TO MED'!$A$6:$A$23,0),6)</f>
        <v>3.3333333333333335</v>
      </c>
      <c r="G520" s="178">
        <f>INDEX('IRAQ TO MED'!$A$6:$J$23,MATCH(MAIN!E520,'IRAQ TO MED'!$A$6:$A$23,0),8)</f>
        <v>3.3333333333333335</v>
      </c>
      <c r="H520" s="176">
        <f>INDEX('IRAQ TO MED'!$A$6:$J$23,MATCH(MAIN!E520,'IRAQ TO MED'!$A$6:$A$23,0),10)</f>
        <v>3.3333333333333335</v>
      </c>
      <c r="I520" s="179" t="s">
        <v>55</v>
      </c>
    </row>
    <row r="521" spans="1:9" hidden="1" outlineLevel="1" x14ac:dyDescent="0.25">
      <c r="A521" s="155"/>
      <c r="B521" s="255" t="s">
        <v>56</v>
      </c>
      <c r="C521" s="524"/>
      <c r="D521" s="525"/>
      <c r="E521" t="s">
        <v>56</v>
      </c>
      <c r="F521" s="175">
        <f>INDEX('IRAQ TO MED'!$A$6:$J$23,MATCH(MAIN!E521,'IRAQ TO MED'!$A$6:$A$23,0),6)</f>
        <v>0.1</v>
      </c>
      <c r="G521" s="178">
        <f>INDEX('IRAQ TO MED'!$A$6:$J$23,MATCH(MAIN!E521,'IRAQ TO MED'!$A$6:$A$23,0),8)</f>
        <v>0.1</v>
      </c>
      <c r="H521" s="176">
        <f>INDEX('IRAQ TO MED'!$A$6:$J$23,MATCH(MAIN!E521,'IRAQ TO MED'!$A$6:$A$23,0),10)</f>
        <v>0.1</v>
      </c>
      <c r="I521" s="179" t="s">
        <v>56</v>
      </c>
    </row>
    <row r="522" spans="1:9" hidden="1" outlineLevel="1" x14ac:dyDescent="0.25">
      <c r="A522" s="155"/>
      <c r="B522" s="255" t="s">
        <v>124</v>
      </c>
      <c r="C522" s="524"/>
      <c r="D522" s="525"/>
      <c r="E522" t="s">
        <v>124</v>
      </c>
      <c r="F522" s="175">
        <f>INDEX('IRAQ TO MED'!$A$6:$J$23,MATCH(MAIN!E522,'IRAQ TO MED'!$A$6:$A$23,0),6)</f>
        <v>0.16666666666666666</v>
      </c>
      <c r="G522" s="178">
        <f>INDEX('IRAQ TO MED'!$A$6:$J$23,MATCH(MAIN!E522,'IRAQ TO MED'!$A$6:$A$23,0),8)</f>
        <v>0.16666666666666666</v>
      </c>
      <c r="H522" s="176">
        <f>INDEX('IRAQ TO MED'!$A$6:$J$23,MATCH(MAIN!E522,'IRAQ TO MED'!$A$6:$A$23,0),10)</f>
        <v>0.16666666666666666</v>
      </c>
      <c r="I522" s="179" t="s">
        <v>124</v>
      </c>
    </row>
    <row r="523" spans="1:9" hidden="1" outlineLevel="1" x14ac:dyDescent="0.25">
      <c r="A523" s="155"/>
      <c r="B523" s="255" t="s">
        <v>125</v>
      </c>
      <c r="C523" s="524"/>
      <c r="D523" s="525"/>
      <c r="E523" t="s">
        <v>125</v>
      </c>
      <c r="F523" s="175">
        <f>INDEX('IRAQ TO MED'!$A$6:$J$23,MATCH(MAIN!E523,'IRAQ TO MED'!$A$6:$A$23,0),6)</f>
        <v>0.16666666666666666</v>
      </c>
      <c r="G523" s="178">
        <f>INDEX('IRAQ TO MED'!$A$6:$J$23,MATCH(MAIN!E523,'IRAQ TO MED'!$A$6:$A$23,0),8)</f>
        <v>0.16666666666666666</v>
      </c>
      <c r="H523" s="176">
        <f>INDEX('IRAQ TO MED'!$A$6:$J$23,MATCH(MAIN!E523,'IRAQ TO MED'!$A$6:$A$23,0),10)</f>
        <v>0.16666666666666666</v>
      </c>
      <c r="I523" s="179" t="s">
        <v>125</v>
      </c>
    </row>
    <row r="524" spans="1:9" hidden="1" outlineLevel="1" x14ac:dyDescent="0.25">
      <c r="A524" s="155"/>
      <c r="B524" s="255" t="s">
        <v>81</v>
      </c>
      <c r="C524" s="524"/>
      <c r="D524" s="525"/>
      <c r="E524" t="s">
        <v>81</v>
      </c>
      <c r="F524" s="175">
        <f ca="1">INDEX('IRAQ TO MED'!$A$6:$J$23,MATCH(MAIN!E524,'IRAQ TO MED'!$A$6:$A$23,0),6)</f>
        <v>4.005431998213222</v>
      </c>
      <c r="G524" s="178">
        <f ca="1">INDEX('IRAQ TO MED'!$A$6:$J$23,MATCH(MAIN!E524,'IRAQ TO MED'!$A$6:$A$23,0),8)</f>
        <v>3.9715278886241805</v>
      </c>
      <c r="H524" s="176">
        <f ca="1">INDEX('IRAQ TO MED'!$A$6:$J$23,MATCH(MAIN!E524,'IRAQ TO MED'!$A$6:$A$23,0),10)</f>
        <v>3.9715278886241805</v>
      </c>
      <c r="I524" s="179" t="s">
        <v>81</v>
      </c>
    </row>
    <row r="525" spans="1:9" hidden="1" outlineLevel="1" x14ac:dyDescent="0.25">
      <c r="A525" s="155"/>
      <c r="B525" s="255" t="s">
        <v>57</v>
      </c>
      <c r="C525" s="524"/>
      <c r="D525" s="525"/>
      <c r="E525" t="s">
        <v>57</v>
      </c>
      <c r="F525" s="175">
        <f>INDEX('IRAQ TO MED'!$A$6:$J$23,MATCH(MAIN!E525,'IRAQ TO MED'!$A$6:$A$23,0),6)</f>
        <v>0</v>
      </c>
      <c r="G525" s="178">
        <f>INDEX('IRAQ TO MED'!$A$6:$J$23,MATCH(MAIN!E525,'IRAQ TO MED'!$A$6:$A$23,0),8)</f>
        <v>0</v>
      </c>
      <c r="H525" s="176">
        <f>INDEX('IRAQ TO MED'!$A$6:$J$23,MATCH(MAIN!E525,'IRAQ TO MED'!$A$6:$A$23,0),10)</f>
        <v>0</v>
      </c>
      <c r="I525" s="179" t="s">
        <v>57</v>
      </c>
    </row>
    <row r="526" spans="1:9" hidden="1" outlineLevel="1" x14ac:dyDescent="0.25">
      <c r="A526" s="155"/>
      <c r="B526" s="255" t="s">
        <v>58</v>
      </c>
      <c r="C526" s="524"/>
      <c r="D526" s="525"/>
      <c r="E526" t="s">
        <v>58</v>
      </c>
      <c r="F526" s="175">
        <f ca="1">INDEX('IRAQ TO MED'!$A$6:$J$23,MATCH(MAIN!E526,'IRAQ TO MED'!$A$6:$A$23,0),6)</f>
        <v>0.33226879076086951</v>
      </c>
      <c r="G526" s="178">
        <f ca="1">INDEX('IRAQ TO MED'!$A$6:$J$23,MATCH(MAIN!E526,'IRAQ TO MED'!$A$6:$A$23,0),8)</f>
        <v>0.32945629076086952</v>
      </c>
      <c r="H526" s="176">
        <f ca="1">INDEX('IRAQ TO MED'!$A$6:$J$23,MATCH(MAIN!E526,'IRAQ TO MED'!$A$6:$A$23,0),10)</f>
        <v>0.32945629076086952</v>
      </c>
      <c r="I526" s="179" t="s">
        <v>58</v>
      </c>
    </row>
    <row r="527" spans="1:9" hidden="1" outlineLevel="1" x14ac:dyDescent="0.25">
      <c r="A527" s="155"/>
      <c r="B527" s="255" t="s">
        <v>59</v>
      </c>
      <c r="C527" s="524"/>
      <c r="D527" s="525"/>
      <c r="E527" t="s">
        <v>59</v>
      </c>
      <c r="F527" s="175">
        <f ca="1">INDEX('IRAQ TO MED'!$A$6:$J$23,MATCH(MAIN!E527,'IRAQ TO MED'!$A$6:$A$23,0),6)</f>
        <v>1.1001374999999998</v>
      </c>
      <c r="G527" s="178">
        <f ca="1">INDEX('IRAQ TO MED'!$A$6:$J$23,MATCH(MAIN!E527,'IRAQ TO MED'!$A$6:$A$23,0),8)</f>
        <v>1.1001374999999998</v>
      </c>
      <c r="H527" s="176">
        <f ca="1">INDEX('IRAQ TO MED'!$A$6:$J$23,MATCH(MAIN!E527,'IRAQ TO MED'!$A$6:$A$23,0),10)</f>
        <v>1.1001374999999998</v>
      </c>
      <c r="I527" s="179" t="s">
        <v>59</v>
      </c>
    </row>
    <row r="528" spans="1:9" hidden="1" outlineLevel="1" x14ac:dyDescent="0.25">
      <c r="A528" s="155"/>
      <c r="B528" s="255" t="s">
        <v>60</v>
      </c>
      <c r="C528" s="524"/>
      <c r="D528" s="525"/>
      <c r="E528" t="s">
        <v>60</v>
      </c>
      <c r="F528" s="175">
        <f>INDEX('IRAQ TO MED'!$A$6:$J$23,MATCH(MAIN!E528,'IRAQ TO MED'!$A$6:$A$23,0),6)</f>
        <v>8.3333333333333329E-2</v>
      </c>
      <c r="G528" s="178">
        <f>INDEX('IRAQ TO MED'!$A$6:$J$23,MATCH(MAIN!E528,'IRAQ TO MED'!$A$6:$A$23,0),8)</f>
        <v>8.3333333333333329E-2</v>
      </c>
      <c r="H528" s="176">
        <f>INDEX('IRAQ TO MED'!$A$6:$J$23,MATCH(MAIN!E528,'IRAQ TO MED'!$A$6:$A$23,0),10)</f>
        <v>8.3333333333333329E-2</v>
      </c>
      <c r="I528" s="179" t="s">
        <v>60</v>
      </c>
    </row>
    <row r="529" spans="1:9" hidden="1" outlineLevel="1" x14ac:dyDescent="0.25">
      <c r="A529" s="155"/>
      <c r="B529" s="255" t="s">
        <v>61</v>
      </c>
      <c r="C529" s="524"/>
      <c r="D529" s="525"/>
      <c r="E529" t="s">
        <v>61</v>
      </c>
      <c r="F529" s="175">
        <f>INDEX('IRAQ TO MED'!$A$6:$J$23,MATCH(MAIN!E529,'IRAQ TO MED'!$A$6:$A$23,0),6)</f>
        <v>8.3333333333333332E-3</v>
      </c>
      <c r="G529" s="178">
        <f>INDEX('IRAQ TO MED'!$A$6:$J$23,MATCH(MAIN!E529,'IRAQ TO MED'!$A$6:$A$23,0),8)</f>
        <v>8.3333333333333332E-3</v>
      </c>
      <c r="H529" s="176">
        <f>INDEX('IRAQ TO MED'!$A$6:$J$23,MATCH(MAIN!E529,'IRAQ TO MED'!$A$6:$A$23,0),10)</f>
        <v>8.3333333333333332E-3</v>
      </c>
      <c r="I529" s="179" t="s">
        <v>61</v>
      </c>
    </row>
    <row r="530" spans="1:9" hidden="1" outlineLevel="1" x14ac:dyDescent="0.25">
      <c r="A530" s="155"/>
      <c r="B530" s="255" t="s">
        <v>62</v>
      </c>
      <c r="C530" s="524"/>
      <c r="D530" s="525"/>
      <c r="E530" t="s">
        <v>62</v>
      </c>
      <c r="F530" s="175">
        <f>INDEX('IRAQ TO MED'!$A$6:$J$23,MATCH(MAIN!E530,'IRAQ TO MED'!$A$6:$A$23,0),6)</f>
        <v>8.3333333333333332E-3</v>
      </c>
      <c r="G530" s="178">
        <f>INDEX('IRAQ TO MED'!$A$6:$J$23,MATCH(MAIN!E530,'IRAQ TO MED'!$A$6:$A$23,0),8)</f>
        <v>8.3333333333333332E-3</v>
      </c>
      <c r="H530" s="176">
        <f>INDEX('IRAQ TO MED'!$A$6:$J$23,MATCH(MAIN!E530,'IRAQ TO MED'!$A$6:$A$23,0),10)</f>
        <v>8.3333333333333332E-3</v>
      </c>
      <c r="I530" s="179" t="s">
        <v>62</v>
      </c>
    </row>
    <row r="531" spans="1:9" hidden="1" outlineLevel="1" x14ac:dyDescent="0.25">
      <c r="A531" s="155"/>
      <c r="B531" s="255" t="s">
        <v>63</v>
      </c>
      <c r="C531" s="524"/>
      <c r="D531" s="525"/>
      <c r="E531" t="s">
        <v>63</v>
      </c>
      <c r="F531" s="175">
        <f>INDEX('IRAQ TO MED'!$A$6:$J$23,MATCH(MAIN!E531,'IRAQ TO MED'!$A$6:$A$23,0),6)</f>
        <v>0.1</v>
      </c>
      <c r="G531" s="178">
        <f>INDEX('IRAQ TO MED'!$A$6:$J$23,MATCH(MAIN!E531,'IRAQ TO MED'!$A$6:$A$23,0),8)</f>
        <v>0.1</v>
      </c>
      <c r="H531" s="176">
        <f>INDEX('IRAQ TO MED'!$A$6:$J$23,MATCH(MAIN!E531,'IRAQ TO MED'!$A$6:$A$23,0),10)</f>
        <v>0.1</v>
      </c>
      <c r="I531" s="179" t="s">
        <v>63</v>
      </c>
    </row>
    <row r="532" spans="1:9" hidden="1" outlineLevel="1" x14ac:dyDescent="0.25">
      <c r="A532" s="155"/>
      <c r="B532" s="255" t="s">
        <v>64</v>
      </c>
      <c r="C532" s="524"/>
      <c r="D532" s="525"/>
      <c r="E532" t="s">
        <v>64</v>
      </c>
      <c r="F532" s="175">
        <f>INDEX('IRAQ TO MED'!$A$6:$J$23,MATCH(MAIN!E532,'IRAQ TO MED'!$A$6:$A$23,0),6)</f>
        <v>6.6666666666666666E-2</v>
      </c>
      <c r="G532" s="178">
        <f>INDEX('IRAQ TO MED'!$A$6:$J$23,MATCH(MAIN!E532,'IRAQ TO MED'!$A$6:$A$23,0),8)</f>
        <v>6.6666666666666666E-2</v>
      </c>
      <c r="H532" s="176">
        <f>INDEX('IRAQ TO MED'!$A$6:$J$23,MATCH(MAIN!E532,'IRAQ TO MED'!$A$6:$A$23,0),10)</f>
        <v>6.6666666666666666E-2</v>
      </c>
      <c r="I532" s="179" t="s">
        <v>64</v>
      </c>
    </row>
    <row r="533" spans="1:9" hidden="1" outlineLevel="1" x14ac:dyDescent="0.25">
      <c r="A533" s="155"/>
      <c r="B533" s="255" t="s">
        <v>100</v>
      </c>
      <c r="C533" s="524"/>
      <c r="D533" s="525"/>
      <c r="E533" t="s">
        <v>100</v>
      </c>
      <c r="F533" s="175">
        <f ca="1">INDEX('IRAQ TO MED'!$A$6:$J$23,MATCH(MAIN!E533,'IRAQ TO MED'!$A$6:$A$23,0),6)</f>
        <v>30.804504955640759</v>
      </c>
      <c r="G533" s="178">
        <f ca="1">INDEX('IRAQ TO MED'!$A$6:$J$23,MATCH(MAIN!E533,'IRAQ TO MED'!$A$6:$A$23,0),8)</f>
        <v>30.767788346051717</v>
      </c>
      <c r="H533" s="176">
        <f ca="1">INDEX('IRAQ TO MED'!$A$6:$J$23,MATCH(MAIN!E533,'IRAQ TO MED'!$A$6:$A$23,0),10)</f>
        <v>30.767788346051717</v>
      </c>
      <c r="I533" s="179" t="s">
        <v>100</v>
      </c>
    </row>
    <row r="534" spans="1:9" hidden="1" outlineLevel="1" x14ac:dyDescent="0.25">
      <c r="A534" s="155"/>
      <c r="B534" s="255" t="s">
        <v>101</v>
      </c>
      <c r="C534" s="524"/>
      <c r="D534" s="525"/>
      <c r="E534" t="s">
        <v>101</v>
      </c>
      <c r="F534" s="175">
        <f ca="1">INDEX('IRAQ TO MED'!$A$6:$J$23,MATCH(MAIN!E534,'IRAQ TO MED'!$A$6:$A$23,0),6)</f>
        <v>22.017181818181815</v>
      </c>
      <c r="G534" s="178">
        <f ca="1">INDEX('IRAQ TO MED'!$A$6:$J$23,MATCH(MAIN!E534,'IRAQ TO MED'!$A$6:$A$23,0),8)</f>
        <v>16.509999999999994</v>
      </c>
      <c r="H534" s="176">
        <f ca="1">INDEX('IRAQ TO MED'!$A$6:$J$23,MATCH(MAIN!E534,'IRAQ TO MED'!$A$6:$A$23,0),10)</f>
        <v>16.509999999999994</v>
      </c>
      <c r="I534" s="179" t="s">
        <v>101</v>
      </c>
    </row>
    <row r="535" spans="1:9" hidden="1" outlineLevel="1" x14ac:dyDescent="0.25">
      <c r="A535" s="155"/>
      <c r="B535" s="255" t="s">
        <v>113</v>
      </c>
      <c r="C535" s="524"/>
      <c r="D535" s="525"/>
      <c r="E535" t="s">
        <v>113</v>
      </c>
      <c r="F535" s="175">
        <f ca="1">INDEX('IRAQ TO MED'!$A$6:$J$23,MATCH(MAIN!E535,'IRAQ TO MED'!$A$6:$A$23,0),6)</f>
        <v>-8.7873231374589444</v>
      </c>
      <c r="G535" s="178">
        <f ca="1">INDEX('IRAQ TO MED'!$A$6:$J$23,MATCH(MAIN!E535,'IRAQ TO MED'!$A$6:$A$23,0),8)</f>
        <v>-14.257788346051722</v>
      </c>
      <c r="H535" s="176">
        <f ca="1">INDEX('IRAQ TO MED'!$A$6:$J$23,MATCH(MAIN!E535,'IRAQ TO MED'!$A$6:$A$23,0),10)</f>
        <v>-14.257788346051722</v>
      </c>
      <c r="I535" s="179" t="s">
        <v>113</v>
      </c>
    </row>
    <row r="536" spans="1:9" ht="15.75" hidden="1" outlineLevel="1" thickBot="1" x14ac:dyDescent="0.3">
      <c r="A536" s="155"/>
      <c r="B536" s="255" t="s">
        <v>126</v>
      </c>
      <c r="C536" s="524"/>
      <c r="D536" s="525"/>
      <c r="E536" t="s">
        <v>126</v>
      </c>
      <c r="F536" s="217">
        <f ca="1">F514</f>
        <v>45918</v>
      </c>
      <c r="G536" s="217">
        <f ca="1">G514</f>
        <v>45932</v>
      </c>
      <c r="H536" s="217">
        <f ca="1">H514</f>
        <v>45946</v>
      </c>
      <c r="I536" s="220" t="str">
        <f>I510</f>
        <v>ROLL</v>
      </c>
    </row>
    <row r="537" spans="1:9" collapsed="1" x14ac:dyDescent="0.25"/>
    <row r="538" spans="1:9" ht="15.75" thickBot="1" x14ac:dyDescent="0.3"/>
    <row r="539" spans="1:9" ht="15.75" thickBot="1" x14ac:dyDescent="0.3">
      <c r="A539" s="554" t="s">
        <v>247</v>
      </c>
      <c r="B539" s="497"/>
      <c r="C539" s="555"/>
      <c r="D539" s="556"/>
      <c r="E539" s="497"/>
      <c r="F539" s="557" t="s">
        <v>129</v>
      </c>
      <c r="G539" s="558"/>
      <c r="H539" s="559"/>
      <c r="I539" s="497"/>
    </row>
    <row r="540" spans="1:9" ht="15.75" thickBot="1" x14ac:dyDescent="0.3">
      <c r="A540" s="554"/>
      <c r="B540" s="498" t="s">
        <v>184</v>
      </c>
      <c r="C540" s="499"/>
      <c r="D540" s="500"/>
      <c r="E540" s="497"/>
      <c r="F540" s="501" t="str">
        <f ca="1">IF(DAY(F541)&lt;15,"1H-"&amp;VLOOKUP(MONTH(F541),Mapping!$A$1:$B$12,2,0),"2H-"&amp;VLOOKUP(MONTH(F541),Mapping!$A$1:$B$12,2,0))</f>
        <v>2H-SEP</v>
      </c>
      <c r="G540" s="502" t="str">
        <f ca="1">IF(DAY(G541)&lt;15,"1H-"&amp;VLOOKUP(MONTH(G541),Mapping!$A$1:$B$12,2,0),"2H-"&amp;VLOOKUP(MONTH(G541),Mapping!$A$1:$B$12,2,0))</f>
        <v>1H-OCT</v>
      </c>
      <c r="H540" s="503" t="str">
        <f ca="1">IF(DAY(H541)&lt;15,"1H-"&amp;VLOOKUP(MONTH(H541),Mapping!$A$1:$B$12,2,0),"2H-"&amp;VLOOKUP(MONTH(H541),Mapping!$A$1:$B$12,2,0))</f>
        <v>2H-OCT</v>
      </c>
      <c r="I540" s="504" t="e">
        <f>IF(DAY(I541)&lt;15,"1H-"&amp;VLOOKUP(MONTH(I541),Mapping!$A$1:$B$12,2,0),"2H-"&amp;VLOOKUP(MONTH(I541),Mapping!$A$1:$B$12,2,0))</f>
        <v>#VALUE!</v>
      </c>
    </row>
    <row r="541" spans="1:9" x14ac:dyDescent="0.25">
      <c r="C541" s="522"/>
      <c r="D541" s="523"/>
      <c r="F541" s="158">
        <f ca="1">'Loading Arrival'!Q12</f>
        <v>45918</v>
      </c>
      <c r="G541" s="194">
        <f ca="1">'Loading Arrival'!R12</f>
        <v>45932</v>
      </c>
      <c r="H541" s="195">
        <f ca="1">'Loading Arrival'!S12</f>
        <v>45946</v>
      </c>
      <c r="I541" s="164" t="str">
        <f>I492</f>
        <v xml:space="preserve">Sale premium </v>
      </c>
    </row>
    <row r="542" spans="1:9" x14ac:dyDescent="0.25">
      <c r="A542" s="199" t="s">
        <v>276</v>
      </c>
      <c r="B542" s="168"/>
      <c r="C542" s="524"/>
      <c r="D542" s="525"/>
      <c r="F542" s="159">
        <f ca="1">F562+F543-F544</f>
        <v>-37.504559589041179</v>
      </c>
      <c r="G542" s="159">
        <f ca="1">G562+G543-G544</f>
        <v>-40.933256926687051</v>
      </c>
      <c r="H542" s="161">
        <f ca="1">H562+H543-H544</f>
        <v>-41.871219889650021</v>
      </c>
      <c r="I542" s="165"/>
    </row>
    <row r="543" spans="1:9" x14ac:dyDescent="0.25">
      <c r="A543" s="155"/>
      <c r="B543" s="169" t="s">
        <v>133</v>
      </c>
      <c r="C543" s="524"/>
      <c r="D543" s="525"/>
      <c r="E543" s="177" t="s">
        <v>128</v>
      </c>
      <c r="F543" s="175">
        <f ca="1">INDEX(Premium!$A$2:$D$18,MATCH(MAIN!$A338,Premium!$A$2:$A$18,0),MATCH(EOMONTH(F541,-1)+1,Premium!$A$2:$D$2,0))</f>
        <v>3</v>
      </c>
      <c r="G543" s="175">
        <f ca="1">INDEX(Premium!$A$2:$D$18,MATCH(MAIN!$A338,Premium!$A$2:$A$18,0),MATCH(EOMONTH(G541,-1)+1,Premium!$A$2:$D$2,0))</f>
        <v>3</v>
      </c>
      <c r="H543" s="175">
        <f ca="1">INDEX(Premium!$A$2:$D$18,MATCH(MAIN!$A338,Premium!$A$2:$A$18,0),MATCH(EOMONTH(H541,-1)+1,Premium!$A$2:$D$2,0))</f>
        <v>3</v>
      </c>
      <c r="I543" s="179" t="s">
        <v>128</v>
      </c>
    </row>
    <row r="544" spans="1:9" ht="15.75" thickBot="1" x14ac:dyDescent="0.3">
      <c r="A544" s="155"/>
      <c r="B544" s="170" t="s">
        <v>132</v>
      </c>
      <c r="C544" s="524"/>
      <c r="D544" s="525"/>
      <c r="E544" s="177" t="s">
        <v>273</v>
      </c>
      <c r="F544" s="180">
        <f ca="1">INDEX(Premium!$A$21:$D$37,MATCH(MAIN!$A542,Premium!$A$21:$A$37,0),MATCH(EOMONTH(MAIN!F563,-1)+1,Premium!$A$21:$D$21,0))</f>
        <v>2.5</v>
      </c>
      <c r="G544" s="180">
        <f ca="1">INDEX(Premium!$A$21:$D$37,MATCH(MAIN!$A542,Premium!$A$21:$A$37,0),MATCH(EOMONTH(MAIN!G563,-1)+1,Premium!$A$21:$D$21,0))</f>
        <v>2.5</v>
      </c>
      <c r="H544" s="180">
        <f ca="1">INDEX(Premium!$A$21:$D$37,MATCH(MAIN!$A542,Premium!$A$21:$A$37,0),MATCH(EOMONTH(MAIN!H563,-1)+1,Premium!$A$21:$D$21,0))</f>
        <v>2.5</v>
      </c>
      <c r="I544" s="179" t="s">
        <v>127</v>
      </c>
    </row>
    <row r="545" spans="1:9" hidden="1" outlineLevel="1" x14ac:dyDescent="0.25">
      <c r="A545" s="155"/>
      <c r="B545" s="254" t="s">
        <v>53</v>
      </c>
      <c r="C545" s="524"/>
      <c r="D545" s="525"/>
      <c r="E545" s="6" t="s">
        <v>53</v>
      </c>
      <c r="F545" s="234">
        <f>INDEX('IRAQ TO ROTT'!$A$6:$J$23,MATCH(MAIN!E545,'IRAQ TO MED'!$A$6:$A$23,0),5)</f>
        <v>26.666666666666668</v>
      </c>
      <c r="G545" s="241">
        <f>INDEX('IRAQ TO ROTT'!$A$6:$J$23,MATCH(MAIN!E545,'IRAQ TO MED'!$A$6:$A$23,0),7)</f>
        <v>26.666666666666668</v>
      </c>
      <c r="H545" s="242">
        <f>INDEX('IRAQ TO ROTT'!$A$6:$J$23,MATCH(MAIN!E545,'IRAQ TO MED'!$A$6:$A$23,0),9)</f>
        <v>26.666666666666668</v>
      </c>
      <c r="I545" s="250" t="s">
        <v>53</v>
      </c>
    </row>
    <row r="546" spans="1:9" hidden="1" outlineLevel="1" x14ac:dyDescent="0.25">
      <c r="A546" s="155"/>
      <c r="B546" s="255" t="s">
        <v>54</v>
      </c>
      <c r="C546" s="524"/>
      <c r="D546" s="525"/>
      <c r="E546" t="s">
        <v>54</v>
      </c>
      <c r="F546" s="175">
        <f>INDEX('IRAQ TO ROTT'!$A$6:$J$23,MATCH(MAIN!E546,'IRAQ TO MED'!$A$6:$A$23,0),5)</f>
        <v>0</v>
      </c>
      <c r="G546" s="178">
        <f>INDEX('IRAQ TO ROTT'!$A$6:$J$23,MATCH(MAIN!E546,'IRAQ TO MED'!$A$6:$A$23,0),7)</f>
        <v>0</v>
      </c>
      <c r="H546" s="176">
        <f>INDEX('IRAQ TO ROTT'!$A$6:$J$23,MATCH(MAIN!E546,'IRAQ TO MED'!$A$6:$A$23,0),9)</f>
        <v>0</v>
      </c>
      <c r="I546" s="179" t="s">
        <v>54</v>
      </c>
    </row>
    <row r="547" spans="1:9" hidden="1" outlineLevel="1" x14ac:dyDescent="0.25">
      <c r="A547" s="155"/>
      <c r="B547" s="255" t="s">
        <v>55</v>
      </c>
      <c r="C547" s="524"/>
      <c r="D547" s="525"/>
      <c r="E547" t="s">
        <v>55</v>
      </c>
      <c r="F547" s="175">
        <f>INDEX('IRAQ TO ROTT'!$A$6:$J$23,MATCH(MAIN!E547,'IRAQ TO MED'!$A$6:$A$23,0),5)</f>
        <v>3.3333333333333335</v>
      </c>
      <c r="G547" s="178">
        <f>INDEX('IRAQ TO ROTT'!$A$6:$J$23,MATCH(MAIN!E547,'IRAQ TO MED'!$A$6:$A$23,0),7)</f>
        <v>3.3333333333333335</v>
      </c>
      <c r="H547" s="176">
        <f>INDEX('IRAQ TO ROTT'!$A$6:$J$23,MATCH(MAIN!E547,'IRAQ TO MED'!$A$6:$A$23,0),9)</f>
        <v>3.3333333333333335</v>
      </c>
      <c r="I547" s="179" t="s">
        <v>55</v>
      </c>
    </row>
    <row r="548" spans="1:9" hidden="1" outlineLevel="1" x14ac:dyDescent="0.25">
      <c r="A548" s="155"/>
      <c r="B548" s="255" t="s">
        <v>56</v>
      </c>
      <c r="C548" s="524"/>
      <c r="D548" s="525"/>
      <c r="E548" t="s">
        <v>56</v>
      </c>
      <c r="F548" s="175">
        <f>INDEX('IRAQ TO ROTT'!$A$6:$J$23,MATCH(MAIN!E548,'IRAQ TO MED'!$A$6:$A$23,0),5)</f>
        <v>0.1</v>
      </c>
      <c r="G548" s="178">
        <f>INDEX('IRAQ TO ROTT'!$A$6:$J$23,MATCH(MAIN!E548,'IRAQ TO MED'!$A$6:$A$23,0),7)</f>
        <v>0.1</v>
      </c>
      <c r="H548" s="176">
        <f>INDEX('IRAQ TO ROTT'!$A$6:$J$23,MATCH(MAIN!E548,'IRAQ TO MED'!$A$6:$A$23,0),9)</f>
        <v>0.1</v>
      </c>
      <c r="I548" s="179" t="s">
        <v>56</v>
      </c>
    </row>
    <row r="549" spans="1:9" hidden="1" outlineLevel="1" x14ac:dyDescent="0.25">
      <c r="A549" s="155"/>
      <c r="B549" s="255" t="s">
        <v>124</v>
      </c>
      <c r="C549" s="524"/>
      <c r="D549" s="525"/>
      <c r="E549" t="s">
        <v>124</v>
      </c>
      <c r="F549" s="175">
        <f>INDEX('IRAQ TO ROTT'!$A$6:$J$23,MATCH(MAIN!E549,'IRAQ TO MED'!$A$6:$A$23,0),5)</f>
        <v>0.16666666666666666</v>
      </c>
      <c r="G549" s="178">
        <f>INDEX('IRAQ TO ROTT'!$A$6:$J$23,MATCH(MAIN!E549,'IRAQ TO MED'!$A$6:$A$23,0),7)</f>
        <v>0.16666666666666666</v>
      </c>
      <c r="H549" s="176">
        <f>INDEX('IRAQ TO ROTT'!$A$6:$J$23,MATCH(MAIN!E549,'IRAQ TO MED'!$A$6:$A$23,0),9)</f>
        <v>0.16666666666666666</v>
      </c>
      <c r="I549" s="179" t="s">
        <v>124</v>
      </c>
    </row>
    <row r="550" spans="1:9" hidden="1" outlineLevel="1" x14ac:dyDescent="0.25">
      <c r="A550" s="155"/>
      <c r="B550" s="255" t="s">
        <v>125</v>
      </c>
      <c r="C550" s="524"/>
      <c r="D550" s="525"/>
      <c r="E550" t="s">
        <v>125</v>
      </c>
      <c r="F550" s="175">
        <f>INDEX('IRAQ TO ROTT'!$A$6:$J$23,MATCH(MAIN!E550,'IRAQ TO MED'!$A$6:$A$23,0),5)</f>
        <v>0.16666666666666666</v>
      </c>
      <c r="G550" s="178">
        <f>INDEX('IRAQ TO ROTT'!$A$6:$J$23,MATCH(MAIN!E550,'IRAQ TO MED'!$A$6:$A$23,0),7)</f>
        <v>0.16666666666666666</v>
      </c>
      <c r="H550" s="176">
        <f>INDEX('IRAQ TO ROTT'!$A$6:$J$23,MATCH(MAIN!E550,'IRAQ TO MED'!$A$6:$A$23,0),9)</f>
        <v>0.16666666666666666</v>
      </c>
      <c r="I550" s="179" t="s">
        <v>125</v>
      </c>
    </row>
    <row r="551" spans="1:9" hidden="1" outlineLevel="1" x14ac:dyDescent="0.25">
      <c r="A551" s="155"/>
      <c r="B551" s="255" t="s">
        <v>81</v>
      </c>
      <c r="C551" s="524"/>
      <c r="D551" s="525"/>
      <c r="E551" t="s">
        <v>81</v>
      </c>
      <c r="F551" s="175">
        <f ca="1">INDEX('IRAQ TO ROTT'!$A$6:$J$23,MATCH(MAIN!E551,'IRAQ TO MED'!$A$6:$A$23,0),5)</f>
        <v>3.379109589041096</v>
      </c>
      <c r="G551" s="178">
        <f ca="1">INDEX('IRAQ TO ROTT'!$A$6:$J$23,MATCH(MAIN!E551,'IRAQ TO MED'!$A$6:$A$23,0),7)</f>
        <v>3.3655479452054795</v>
      </c>
      <c r="H551" s="176">
        <f ca="1">INDEX('IRAQ TO ROTT'!$A$6:$J$23,MATCH(MAIN!E551,'IRAQ TO MED'!$A$6:$A$23,0),9)</f>
        <v>3.3655479452054795</v>
      </c>
      <c r="I551" s="179" t="s">
        <v>81</v>
      </c>
    </row>
    <row r="552" spans="1:9" hidden="1" outlineLevel="1" x14ac:dyDescent="0.25">
      <c r="A552" s="155"/>
      <c r="B552" s="255" t="s">
        <v>57</v>
      </c>
      <c r="C552" s="524"/>
      <c r="D552" s="525"/>
      <c r="E552" t="s">
        <v>57</v>
      </c>
      <c r="F552" s="175">
        <f>INDEX('IRAQ TO ROTT'!$A$6:$J$23,MATCH(MAIN!E552,'IRAQ TO MED'!$A$6:$A$23,0),5)</f>
        <v>0</v>
      </c>
      <c r="G552" s="178">
        <f>INDEX('IRAQ TO ROTT'!$A$6:$J$23,MATCH(MAIN!E552,'IRAQ TO MED'!$A$6:$A$23,0),7)</f>
        <v>0</v>
      </c>
      <c r="H552" s="176">
        <f>INDEX('IRAQ TO ROTT'!$A$6:$J$23,MATCH(MAIN!E552,'IRAQ TO MED'!$A$6:$A$23,0),9)</f>
        <v>0</v>
      </c>
      <c r="I552" s="179" t="s">
        <v>57</v>
      </c>
    </row>
    <row r="553" spans="1:9" hidden="1" outlineLevel="1" x14ac:dyDescent="0.25">
      <c r="A553" s="155"/>
      <c r="B553" s="255" t="s">
        <v>58</v>
      </c>
      <c r="C553" s="524"/>
      <c r="D553" s="525"/>
      <c r="E553" t="s">
        <v>58</v>
      </c>
      <c r="F553" s="175">
        <f ca="1">INDEX('IRAQ TO ROTT'!$A$6:$J$23,MATCH(MAIN!E553,'IRAQ TO MED'!$A$6:$A$23,0),5)</f>
        <v>0.28031250000000002</v>
      </c>
      <c r="G553" s="178">
        <f ca="1">INDEX('IRAQ TO ROTT'!$A$6:$J$23,MATCH(MAIN!E553,'IRAQ TO MED'!$A$6:$A$23,0),7)</f>
        <v>0.27918750000000003</v>
      </c>
      <c r="H553" s="176">
        <f ca="1">INDEX('IRAQ TO ROTT'!$A$6:$J$23,MATCH(MAIN!E553,'IRAQ TO MED'!$A$6:$A$23,0),9)</f>
        <v>0.27918750000000003</v>
      </c>
      <c r="I553" s="179" t="s">
        <v>58</v>
      </c>
    </row>
    <row r="554" spans="1:9" hidden="1" outlineLevel="1" x14ac:dyDescent="0.25">
      <c r="A554" s="155"/>
      <c r="B554" s="255" t="s">
        <v>59</v>
      </c>
      <c r="C554" s="524"/>
      <c r="D554" s="525"/>
      <c r="E554" t="s">
        <v>59</v>
      </c>
      <c r="F554" s="175">
        <f ca="1">INDEX('IRAQ TO ROTT'!$A$6:$J$23,MATCH(MAIN!E554,'IRAQ TO MED'!$A$6:$A$23,0),5)</f>
        <v>1.1001374999999998</v>
      </c>
      <c r="G554" s="178">
        <f ca="1">INDEX('IRAQ TO ROTT'!$A$6:$J$23,MATCH(MAIN!E554,'IRAQ TO MED'!$A$6:$A$23,0),7)</f>
        <v>1.0820399999999997</v>
      </c>
      <c r="H554" s="176">
        <f ca="1">INDEX('IRAQ TO ROTT'!$A$6:$J$23,MATCH(MAIN!E554,'IRAQ TO MED'!$A$6:$A$23,0),9)</f>
        <v>1.0820399999999997</v>
      </c>
      <c r="I554" s="179" t="s">
        <v>59</v>
      </c>
    </row>
    <row r="555" spans="1:9" hidden="1" outlineLevel="1" x14ac:dyDescent="0.25">
      <c r="A555" s="155"/>
      <c r="B555" s="255" t="s">
        <v>60</v>
      </c>
      <c r="C555" s="524"/>
      <c r="D555" s="525"/>
      <c r="E555" t="s">
        <v>60</v>
      </c>
      <c r="F555" s="175">
        <f>INDEX('IRAQ TO ROTT'!$A$6:$J$23,MATCH(MAIN!E555,'IRAQ TO MED'!$A$6:$A$23,0),5)</f>
        <v>8.3333333333333329E-2</v>
      </c>
      <c r="G555" s="178">
        <f>INDEX('IRAQ TO ROTT'!$A$6:$J$23,MATCH(MAIN!E555,'IRAQ TO MED'!$A$6:$A$23,0),7)</f>
        <v>8.3333333333333329E-2</v>
      </c>
      <c r="H555" s="176">
        <f>INDEX('IRAQ TO ROTT'!$A$6:$J$23,MATCH(MAIN!E555,'IRAQ TO MED'!$A$6:$A$23,0),9)</f>
        <v>8.3333333333333329E-2</v>
      </c>
      <c r="I555" s="179" t="s">
        <v>60</v>
      </c>
    </row>
    <row r="556" spans="1:9" hidden="1" outlineLevel="1" x14ac:dyDescent="0.25">
      <c r="A556" s="155"/>
      <c r="B556" s="255" t="s">
        <v>61</v>
      </c>
      <c r="C556" s="524"/>
      <c r="D556" s="525"/>
      <c r="E556" t="s">
        <v>61</v>
      </c>
      <c r="F556" s="175">
        <f>INDEX('IRAQ TO ROTT'!$A$6:$J$23,MATCH(MAIN!E556,'IRAQ TO MED'!$A$6:$A$23,0),5)</f>
        <v>8.3333333333333332E-3</v>
      </c>
      <c r="G556" s="178">
        <f>INDEX('IRAQ TO ROTT'!$A$6:$J$23,MATCH(MAIN!E556,'IRAQ TO MED'!$A$6:$A$23,0),7)</f>
        <v>8.3333333333333332E-3</v>
      </c>
      <c r="H556" s="176">
        <f>INDEX('IRAQ TO ROTT'!$A$6:$J$23,MATCH(MAIN!E556,'IRAQ TO MED'!$A$6:$A$23,0),9)</f>
        <v>8.3333333333333332E-3</v>
      </c>
      <c r="I556" s="179" t="s">
        <v>61</v>
      </c>
    </row>
    <row r="557" spans="1:9" hidden="1" outlineLevel="1" x14ac:dyDescent="0.25">
      <c r="A557" s="155"/>
      <c r="B557" s="255" t="s">
        <v>62</v>
      </c>
      <c r="C557" s="524"/>
      <c r="D557" s="525"/>
      <c r="E557" t="s">
        <v>62</v>
      </c>
      <c r="F557" s="175">
        <f>INDEX('IRAQ TO ROTT'!$A$6:$J$23,MATCH(MAIN!E557,'IRAQ TO MED'!$A$6:$A$23,0),5)</f>
        <v>8.3333333333333332E-3</v>
      </c>
      <c r="G557" s="178">
        <f>INDEX('IRAQ TO ROTT'!$A$6:$J$23,MATCH(MAIN!E557,'IRAQ TO MED'!$A$6:$A$23,0),7)</f>
        <v>8.3333333333333332E-3</v>
      </c>
      <c r="H557" s="176">
        <f>INDEX('IRAQ TO ROTT'!$A$6:$J$23,MATCH(MAIN!E557,'IRAQ TO MED'!$A$6:$A$23,0),9)</f>
        <v>8.3333333333333332E-3</v>
      </c>
      <c r="I557" s="179" t="s">
        <v>62</v>
      </c>
    </row>
    <row r="558" spans="1:9" hidden="1" outlineLevel="1" x14ac:dyDescent="0.25">
      <c r="A558" s="155"/>
      <c r="B558" s="255" t="s">
        <v>63</v>
      </c>
      <c r="C558" s="524"/>
      <c r="D558" s="525"/>
      <c r="E558" t="s">
        <v>63</v>
      </c>
      <c r="F558" s="175">
        <f>INDEX('IRAQ TO ROTT'!$A$6:$J$23,MATCH(MAIN!E558,'IRAQ TO MED'!$A$6:$A$23,0),5)</f>
        <v>0.1</v>
      </c>
      <c r="G558" s="178">
        <f>INDEX('IRAQ TO ROTT'!$A$6:$J$23,MATCH(MAIN!E558,'IRAQ TO MED'!$A$6:$A$23,0),7)</f>
        <v>0.1</v>
      </c>
      <c r="H558" s="176">
        <f>INDEX('IRAQ TO ROTT'!$A$6:$J$23,MATCH(MAIN!E558,'IRAQ TO MED'!$A$6:$A$23,0),9)</f>
        <v>0.1</v>
      </c>
      <c r="I558" s="179" t="s">
        <v>63</v>
      </c>
    </row>
    <row r="559" spans="1:9" hidden="1" outlineLevel="1" x14ac:dyDescent="0.25">
      <c r="A559" s="155"/>
      <c r="B559" s="255" t="s">
        <v>64</v>
      </c>
      <c r="C559" s="524"/>
      <c r="D559" s="525"/>
      <c r="E559" t="s">
        <v>64</v>
      </c>
      <c r="F559" s="175">
        <f>INDEX('IRAQ TO ROTT'!$A$6:$J$23,MATCH(MAIN!E559,'IRAQ TO MED'!$A$6:$A$23,0),5)</f>
        <v>6.6666666666666666E-2</v>
      </c>
      <c r="G559" s="178">
        <f>INDEX('IRAQ TO ROTT'!$A$6:$J$23,MATCH(MAIN!E559,'IRAQ TO MED'!$A$6:$A$23,0),7)</f>
        <v>6.6666666666666666E-2</v>
      </c>
      <c r="H559" s="176">
        <f>INDEX('IRAQ TO ROTT'!$A$6:$J$23,MATCH(MAIN!E559,'IRAQ TO MED'!$A$6:$A$23,0),9)</f>
        <v>6.6666666666666666E-2</v>
      </c>
      <c r="I559" s="179" t="s">
        <v>64</v>
      </c>
    </row>
    <row r="560" spans="1:9" hidden="1" outlineLevel="1" x14ac:dyDescent="0.25">
      <c r="A560" s="155"/>
      <c r="B560" s="255" t="s">
        <v>100</v>
      </c>
      <c r="C560" s="524"/>
      <c r="D560" s="525"/>
      <c r="E560" t="s">
        <v>100</v>
      </c>
      <c r="F560" s="175">
        <f ca="1">INDEX('IRAQ TO ROTT'!$A$6:$J$23,MATCH(MAIN!E560,'IRAQ TO MED'!$A$6:$A$23,0),5)</f>
        <v>35.459559589041106</v>
      </c>
      <c r="G560" s="178">
        <f ca="1">INDEX('IRAQ TO ROTT'!$A$6:$J$23,MATCH(MAIN!E560,'IRAQ TO MED'!$A$6:$A$23,0),7)</f>
        <v>35.426775445205486</v>
      </c>
      <c r="H560" s="176">
        <f ca="1">INDEX('IRAQ TO ROTT'!$A$6:$J$23,MATCH(MAIN!E560,'IRAQ TO MED'!$A$6:$A$23,0),9)</f>
        <v>35.426775445205486</v>
      </c>
      <c r="I560" s="179" t="s">
        <v>100</v>
      </c>
    </row>
    <row r="561" spans="1:9" hidden="1" outlineLevel="1" x14ac:dyDescent="0.25">
      <c r="A561" s="155"/>
      <c r="B561" s="255" t="s">
        <v>101</v>
      </c>
      <c r="C561" s="524"/>
      <c r="D561" s="525"/>
      <c r="E561" t="s">
        <v>101</v>
      </c>
      <c r="F561" s="175">
        <f ca="1">INDEX('IRAQ TO ROTT'!$A$6:$J$23,MATCH(MAIN!E561,'IRAQ TO MED'!$A$6:$A$23,0),5)</f>
        <v>-2.5450000000000728</v>
      </c>
      <c r="G561" s="178">
        <f ca="1">INDEX('IRAQ TO ROTT'!$A$6:$J$23,MATCH(MAIN!E561,'IRAQ TO MED'!$A$6:$A$23,0),7)</f>
        <v>-6.0064814814815657</v>
      </c>
      <c r="H561" s="176">
        <f ca="1">INDEX('IRAQ TO ROTT'!$A$6:$J$23,MATCH(MAIN!E561,'IRAQ TO MED'!$A$6:$A$23,0),9)</f>
        <v>-6.9444444444445388</v>
      </c>
      <c r="I561" s="179" t="s">
        <v>101</v>
      </c>
    </row>
    <row r="562" spans="1:9" hidden="1" outlineLevel="1" x14ac:dyDescent="0.25">
      <c r="A562" s="155"/>
      <c r="B562" s="255" t="s">
        <v>113</v>
      </c>
      <c r="C562" s="524"/>
      <c r="D562" s="525"/>
      <c r="E562" t="s">
        <v>113</v>
      </c>
      <c r="F562" s="175">
        <f ca="1">INDEX('IRAQ TO ROTT'!$A$6:$J$23,MATCH(MAIN!E562,'IRAQ TO MED'!$A$6:$A$23,0),5)</f>
        <v>-38.004559589041179</v>
      </c>
      <c r="G562" s="178">
        <f ca="1">INDEX('IRAQ TO ROTT'!$A$6:$J$23,MATCH(MAIN!E562,'IRAQ TO MED'!$A$6:$A$23,0),7)</f>
        <v>-41.433256926687051</v>
      </c>
      <c r="H562" s="176">
        <f ca="1">INDEX('IRAQ TO ROTT'!$A$6:$J$23,MATCH(MAIN!E562,'IRAQ TO MED'!$A$6:$A$23,0),9)</f>
        <v>-42.371219889650021</v>
      </c>
      <c r="I562" s="179" t="s">
        <v>113</v>
      </c>
    </row>
    <row r="563" spans="1:9" ht="15.75" hidden="1" outlineLevel="1" thickBot="1" x14ac:dyDescent="0.3">
      <c r="A563" s="155"/>
      <c r="B563" s="255" t="s">
        <v>126</v>
      </c>
      <c r="C563" s="524"/>
      <c r="D563" s="525"/>
      <c r="E563" t="s">
        <v>126</v>
      </c>
      <c r="F563" s="217">
        <f ca="1">F541</f>
        <v>45918</v>
      </c>
      <c r="G563" s="217">
        <f ca="1">G541</f>
        <v>45932</v>
      </c>
      <c r="H563" s="217">
        <f ca="1">H541</f>
        <v>45946</v>
      </c>
      <c r="I563" s="220">
        <f>I537</f>
        <v>0</v>
      </c>
    </row>
    <row r="564" spans="1:9" ht="15.75" hidden="1" outlineLevel="1" thickBot="1" x14ac:dyDescent="0.3">
      <c r="A564" s="155"/>
      <c r="B564" s="155"/>
      <c r="C564" s="155"/>
      <c r="D564" s="155"/>
      <c r="E564" s="155"/>
      <c r="F564" s="155"/>
      <c r="G564" s="155"/>
      <c r="H564" s="155"/>
      <c r="I564" s="155"/>
    </row>
    <row r="565" spans="1:9" hidden="1" outlineLevel="1" x14ac:dyDescent="0.25">
      <c r="A565" s="155"/>
      <c r="B565" s="155"/>
      <c r="C565" s="522"/>
      <c r="D565" s="523"/>
      <c r="F565" s="158">
        <f ca="1">F541</f>
        <v>45918</v>
      </c>
      <c r="G565" s="158">
        <f t="shared" ref="G565:H565" ca="1" si="18">G541</f>
        <v>45932</v>
      </c>
      <c r="H565" s="158">
        <f t="shared" ca="1" si="18"/>
        <v>45946</v>
      </c>
      <c r="I565" s="164" t="str">
        <f>I516</f>
        <v xml:space="preserve">Sale premium </v>
      </c>
    </row>
    <row r="566" spans="1:9" collapsed="1" x14ac:dyDescent="0.25">
      <c r="A566" s="199" t="s">
        <v>277</v>
      </c>
      <c r="B566" s="168"/>
      <c r="C566" s="524"/>
      <c r="D566" s="525"/>
      <c r="F566" s="159">
        <f ca="1">F586+F567-F568</f>
        <v>-19.114171622307449</v>
      </c>
      <c r="G566" s="159">
        <f t="shared" ref="G566:H566" ca="1" si="19">G586+G567-G568</f>
        <v>-21.361820475681359</v>
      </c>
      <c r="H566" s="159">
        <f t="shared" ca="1" si="19"/>
        <v>-21.479413068273949</v>
      </c>
      <c r="I566" s="165"/>
    </row>
    <row r="567" spans="1:9" x14ac:dyDescent="0.25">
      <c r="A567" s="155"/>
      <c r="B567" s="169" t="s">
        <v>133</v>
      </c>
      <c r="C567" s="524"/>
      <c r="D567" s="525"/>
      <c r="E567" s="177" t="s">
        <v>128</v>
      </c>
      <c r="F567" s="175">
        <f ca="1">INDEX(Premium!$A$2:$D$18,MATCH(MAIN!$A362,Premium!$A$2:$A$18,0),MATCH(EOMONTH(F565,-1)+1,Premium!$A$2:$D$2,0))</f>
        <v>0.77</v>
      </c>
      <c r="G567" s="175">
        <f ca="1">INDEX(Premium!$A$2:$D$18,MATCH(MAIN!$A362,Premium!$A$2:$A$18,0),MATCH(EOMONTH(G565,-1)+1,Premium!$A$2:$D$2,0))</f>
        <v>0.77</v>
      </c>
      <c r="H567" s="175">
        <f ca="1">INDEX(Premium!$A$2:$D$18,MATCH(MAIN!$A362,Premium!$A$2:$A$18,0),MATCH(EOMONTH(H565,-1)+1,Premium!$A$2:$D$2,0))</f>
        <v>0.77</v>
      </c>
      <c r="I567" s="179" t="s">
        <v>128</v>
      </c>
    </row>
    <row r="568" spans="1:9" ht="15.75" thickBot="1" x14ac:dyDescent="0.3">
      <c r="A568" s="155"/>
      <c r="B568" s="170" t="s">
        <v>132</v>
      </c>
      <c r="C568" s="524"/>
      <c r="D568" s="525"/>
      <c r="E568" s="177" t="s">
        <v>273</v>
      </c>
      <c r="F568" s="180">
        <f ca="1">INDEX(Premium!$A$21:$D$37,MATCH(MAIN!$A566,Premium!$A$21:$A$37,0),MATCH(EOMONTH(MAIN!F587,-1)+1,Premium!$A$21:$D$21,0))</f>
        <v>2.5</v>
      </c>
      <c r="G568" s="180">
        <f ca="1">INDEX(Premium!$A$21:$D$37,MATCH(MAIN!$A566,Premium!$A$21:$A$37,0),MATCH(EOMONTH(MAIN!G587,-1)+1,Premium!$A$21:$D$21,0))</f>
        <v>2.5</v>
      </c>
      <c r="H568" s="180">
        <f ca="1">INDEX(Premium!$A$21:$D$37,MATCH(MAIN!$A566,Premium!$A$21:$A$37,0),MATCH(EOMONTH(MAIN!H587,-1)+1,Premium!$A$21:$D$21,0))</f>
        <v>2.5</v>
      </c>
      <c r="I568" s="179" t="s">
        <v>127</v>
      </c>
    </row>
    <row r="569" spans="1:9" hidden="1" outlineLevel="1" x14ac:dyDescent="0.25">
      <c r="A569" s="155"/>
      <c r="B569" s="254" t="s">
        <v>53</v>
      </c>
      <c r="C569" s="524"/>
      <c r="D569" s="525"/>
      <c r="E569" s="6" t="s">
        <v>53</v>
      </c>
      <c r="F569" s="234">
        <f>INDEX('IRAQ TO ROTT'!$A$6:$J$23,MATCH(MAIN!E569,'IRAQ TO MED'!$A$6:$A$23,0),6)</f>
        <v>26.666666666666668</v>
      </c>
      <c r="G569" s="241">
        <f>INDEX('IRAQ TO ROTT'!$A$6:$J$23,MATCH(MAIN!E569,'IRAQ TO MED'!$A$6:$A$23,0),8)</f>
        <v>26.666666666666668</v>
      </c>
      <c r="H569" s="242">
        <f>INDEX('IRAQ TO ROTT'!$A$6:$J$23,MATCH(MAIN!E569,'IRAQ TO MED'!$A$6:$A$23,0),10)</f>
        <v>26.666666666666668</v>
      </c>
      <c r="I569" s="250" t="s">
        <v>53</v>
      </c>
    </row>
    <row r="570" spans="1:9" hidden="1" outlineLevel="1" x14ac:dyDescent="0.25">
      <c r="A570" s="155"/>
      <c r="B570" s="255" t="s">
        <v>54</v>
      </c>
      <c r="C570" s="524"/>
      <c r="D570" s="525"/>
      <c r="E570" t="s">
        <v>54</v>
      </c>
      <c r="F570" s="175">
        <f>INDEX('IRAQ TO ROTT'!$A$6:$J$23,MATCH(MAIN!E570,'IRAQ TO MED'!$A$6:$A$23,0),6)</f>
        <v>0</v>
      </c>
      <c r="G570" s="178">
        <f>INDEX('IRAQ TO ROTT'!$A$6:$J$23,MATCH(MAIN!E570,'IRAQ TO MED'!$A$6:$A$23,0),8)</f>
        <v>0</v>
      </c>
      <c r="H570" s="176">
        <f>INDEX('IRAQ TO ROTT'!$A$6:$J$23,MATCH(MAIN!E570,'IRAQ TO MED'!$A$6:$A$23,0),10)</f>
        <v>0</v>
      </c>
      <c r="I570" s="179" t="s">
        <v>54</v>
      </c>
    </row>
    <row r="571" spans="1:9" hidden="1" outlineLevel="1" x14ac:dyDescent="0.25">
      <c r="A571" s="155"/>
      <c r="B571" s="255" t="s">
        <v>55</v>
      </c>
      <c r="C571" s="524"/>
      <c r="D571" s="525"/>
      <c r="E571" t="s">
        <v>55</v>
      </c>
      <c r="F571" s="175">
        <f>INDEX('IRAQ TO ROTT'!$A$6:$J$23,MATCH(MAIN!E571,'IRAQ TO MED'!$A$6:$A$23,0),6)</f>
        <v>3.3333333333333335</v>
      </c>
      <c r="G571" s="178">
        <f>INDEX('IRAQ TO ROTT'!$A$6:$J$23,MATCH(MAIN!E571,'IRAQ TO MED'!$A$6:$A$23,0),8)</f>
        <v>3.3333333333333335</v>
      </c>
      <c r="H571" s="176">
        <f>INDEX('IRAQ TO ROTT'!$A$6:$J$23,MATCH(MAIN!E571,'IRAQ TO MED'!$A$6:$A$23,0),10)</f>
        <v>3.3333333333333335</v>
      </c>
      <c r="I571" s="179" t="s">
        <v>55</v>
      </c>
    </row>
    <row r="572" spans="1:9" hidden="1" outlineLevel="1" x14ac:dyDescent="0.25">
      <c r="A572" s="155"/>
      <c r="B572" s="255" t="s">
        <v>56</v>
      </c>
      <c r="C572" s="524"/>
      <c r="D572" s="525"/>
      <c r="E572" t="s">
        <v>56</v>
      </c>
      <c r="F572" s="175">
        <f>INDEX('IRAQ TO ROTT'!$A$6:$J$23,MATCH(MAIN!E572,'IRAQ TO MED'!$A$6:$A$23,0),6)</f>
        <v>0.1</v>
      </c>
      <c r="G572" s="178">
        <f>INDEX('IRAQ TO ROTT'!$A$6:$J$23,MATCH(MAIN!E572,'IRAQ TO MED'!$A$6:$A$23,0),8)</f>
        <v>0.1</v>
      </c>
      <c r="H572" s="176">
        <f>INDEX('IRAQ TO ROTT'!$A$6:$J$23,MATCH(MAIN!E572,'IRAQ TO MED'!$A$6:$A$23,0),10)</f>
        <v>0.1</v>
      </c>
      <c r="I572" s="179" t="s">
        <v>56</v>
      </c>
    </row>
    <row r="573" spans="1:9" hidden="1" outlineLevel="1" x14ac:dyDescent="0.25">
      <c r="A573" s="155"/>
      <c r="B573" s="255" t="s">
        <v>124</v>
      </c>
      <c r="C573" s="524"/>
      <c r="D573" s="525"/>
      <c r="E573" t="s">
        <v>124</v>
      </c>
      <c r="F573" s="175">
        <f>INDEX('IRAQ TO ROTT'!$A$6:$J$23,MATCH(MAIN!E573,'IRAQ TO MED'!$A$6:$A$23,0),6)</f>
        <v>0.16666666666666666</v>
      </c>
      <c r="G573" s="178">
        <f>INDEX('IRAQ TO ROTT'!$A$6:$J$23,MATCH(MAIN!E573,'IRAQ TO MED'!$A$6:$A$23,0),8)</f>
        <v>0.16666666666666666</v>
      </c>
      <c r="H573" s="176">
        <f>INDEX('IRAQ TO ROTT'!$A$6:$J$23,MATCH(MAIN!E573,'IRAQ TO MED'!$A$6:$A$23,0),10)</f>
        <v>0.16666666666666666</v>
      </c>
      <c r="I573" s="179" t="s">
        <v>124</v>
      </c>
    </row>
    <row r="574" spans="1:9" hidden="1" outlineLevel="1" x14ac:dyDescent="0.25">
      <c r="A574" s="155"/>
      <c r="B574" s="255" t="s">
        <v>125</v>
      </c>
      <c r="C574" s="524"/>
      <c r="D574" s="525"/>
      <c r="E574" t="s">
        <v>125</v>
      </c>
      <c r="F574" s="175">
        <f>INDEX('IRAQ TO ROTT'!$A$6:$J$23,MATCH(MAIN!E574,'IRAQ TO MED'!$A$6:$A$23,0),6)</f>
        <v>0.16666666666666666</v>
      </c>
      <c r="G574" s="178">
        <f>INDEX('IRAQ TO ROTT'!$A$6:$J$23,MATCH(MAIN!E574,'IRAQ TO MED'!$A$6:$A$23,0),8)</f>
        <v>0.16666666666666666</v>
      </c>
      <c r="H574" s="176">
        <f>INDEX('IRAQ TO ROTT'!$A$6:$J$23,MATCH(MAIN!E574,'IRAQ TO MED'!$A$6:$A$23,0),10)</f>
        <v>0.16666666666666666</v>
      </c>
      <c r="I574" s="179" t="s">
        <v>125</v>
      </c>
    </row>
    <row r="575" spans="1:9" hidden="1" outlineLevel="1" x14ac:dyDescent="0.25">
      <c r="A575" s="155"/>
      <c r="B575" s="255" t="s">
        <v>81</v>
      </c>
      <c r="C575" s="524"/>
      <c r="D575" s="525"/>
      <c r="E575" t="s">
        <v>81</v>
      </c>
      <c r="F575" s="175">
        <f ca="1">INDEX('IRAQ TO ROTT'!$A$6:$J$23,MATCH(MAIN!E575,'IRAQ TO MED'!$A$6:$A$23,0),6)</f>
        <v>4.005431998213222</v>
      </c>
      <c r="G575" s="178">
        <f ca="1">INDEX('IRAQ TO ROTT'!$A$6:$J$23,MATCH(MAIN!E575,'IRAQ TO MED'!$A$6:$A$23,0),8)</f>
        <v>3.9715278886241805</v>
      </c>
      <c r="H575" s="176">
        <f ca="1">INDEX('IRAQ TO ROTT'!$A$6:$J$23,MATCH(MAIN!E575,'IRAQ TO MED'!$A$6:$A$23,0),10)</f>
        <v>3.9715278886241805</v>
      </c>
      <c r="I575" s="179" t="s">
        <v>81</v>
      </c>
    </row>
    <row r="576" spans="1:9" hidden="1" outlineLevel="1" x14ac:dyDescent="0.25">
      <c r="A576" s="155"/>
      <c r="B576" s="255" t="s">
        <v>57</v>
      </c>
      <c r="C576" s="524"/>
      <c r="D576" s="525"/>
      <c r="E576" t="s">
        <v>57</v>
      </c>
      <c r="F576" s="175">
        <f>INDEX('IRAQ TO ROTT'!$A$6:$J$23,MATCH(MAIN!E576,'IRAQ TO MED'!$A$6:$A$23,0),6)</f>
        <v>0</v>
      </c>
      <c r="G576" s="178">
        <f>INDEX('IRAQ TO ROTT'!$A$6:$J$23,MATCH(MAIN!E576,'IRAQ TO MED'!$A$6:$A$23,0),8)</f>
        <v>0</v>
      </c>
      <c r="H576" s="176">
        <f>INDEX('IRAQ TO ROTT'!$A$6:$J$23,MATCH(MAIN!E576,'IRAQ TO MED'!$A$6:$A$23,0),10)</f>
        <v>0</v>
      </c>
      <c r="I576" s="179" t="s">
        <v>57</v>
      </c>
    </row>
    <row r="577" spans="1:9" hidden="1" outlineLevel="1" x14ac:dyDescent="0.25">
      <c r="A577" s="155"/>
      <c r="B577" s="255" t="s">
        <v>58</v>
      </c>
      <c r="C577" s="524"/>
      <c r="D577" s="525"/>
      <c r="E577" t="s">
        <v>58</v>
      </c>
      <c r="F577" s="175">
        <f ca="1">INDEX('IRAQ TO ROTT'!$A$6:$J$23,MATCH(MAIN!E577,'IRAQ TO MED'!$A$6:$A$23,0),6)</f>
        <v>0.33226879076086951</v>
      </c>
      <c r="G577" s="178">
        <f ca="1">INDEX('IRAQ TO ROTT'!$A$6:$J$23,MATCH(MAIN!E577,'IRAQ TO MED'!$A$6:$A$23,0),8)</f>
        <v>0.32945629076086952</v>
      </c>
      <c r="H577" s="176">
        <f ca="1">INDEX('IRAQ TO ROTT'!$A$6:$J$23,MATCH(MAIN!E577,'IRAQ TO MED'!$A$6:$A$23,0),10)</f>
        <v>0.32945629076086952</v>
      </c>
      <c r="I577" s="179" t="s">
        <v>58</v>
      </c>
    </row>
    <row r="578" spans="1:9" hidden="1" outlineLevel="1" x14ac:dyDescent="0.25">
      <c r="A578" s="155"/>
      <c r="B578" s="255" t="s">
        <v>59</v>
      </c>
      <c r="C578" s="524"/>
      <c r="D578" s="525"/>
      <c r="E578" t="s">
        <v>59</v>
      </c>
      <c r="F578" s="175">
        <f ca="1">INDEX('IRAQ TO ROTT'!$A$6:$J$23,MATCH(MAIN!E578,'IRAQ TO MED'!$A$6:$A$23,0),6)</f>
        <v>1.1001374999999998</v>
      </c>
      <c r="G578" s="178">
        <f ca="1">INDEX('IRAQ TO ROTT'!$A$6:$J$23,MATCH(MAIN!E578,'IRAQ TO MED'!$A$6:$A$23,0),8)</f>
        <v>1.0820399999999997</v>
      </c>
      <c r="H578" s="176">
        <f ca="1">INDEX('IRAQ TO ROTT'!$A$6:$J$23,MATCH(MAIN!E578,'IRAQ TO MED'!$A$6:$A$23,0),10)</f>
        <v>1.0820399999999997</v>
      </c>
      <c r="I578" s="179" t="s">
        <v>59</v>
      </c>
    </row>
    <row r="579" spans="1:9" hidden="1" outlineLevel="1" x14ac:dyDescent="0.25">
      <c r="A579" s="155"/>
      <c r="B579" s="255" t="s">
        <v>60</v>
      </c>
      <c r="C579" s="524"/>
      <c r="D579" s="525"/>
      <c r="E579" t="s">
        <v>60</v>
      </c>
      <c r="F579" s="175">
        <f>INDEX('IRAQ TO ROTT'!$A$6:$J$23,MATCH(MAIN!E579,'IRAQ TO MED'!$A$6:$A$23,0),6)</f>
        <v>8.3333333333333329E-2</v>
      </c>
      <c r="G579" s="178">
        <f>INDEX('IRAQ TO ROTT'!$A$6:$J$23,MATCH(MAIN!E579,'IRAQ TO MED'!$A$6:$A$23,0),8)</f>
        <v>8.3333333333333329E-2</v>
      </c>
      <c r="H579" s="176">
        <f>INDEX('IRAQ TO ROTT'!$A$6:$J$23,MATCH(MAIN!E579,'IRAQ TO MED'!$A$6:$A$23,0),10)</f>
        <v>8.3333333333333329E-2</v>
      </c>
      <c r="I579" s="179" t="s">
        <v>60</v>
      </c>
    </row>
    <row r="580" spans="1:9" hidden="1" outlineLevel="1" x14ac:dyDescent="0.25">
      <c r="A580" s="155"/>
      <c r="B580" s="255" t="s">
        <v>61</v>
      </c>
      <c r="C580" s="524"/>
      <c r="D580" s="525"/>
      <c r="E580" t="s">
        <v>61</v>
      </c>
      <c r="F580" s="175">
        <f>INDEX('IRAQ TO ROTT'!$A$6:$J$23,MATCH(MAIN!E580,'IRAQ TO MED'!$A$6:$A$23,0),6)</f>
        <v>8.3333333333333332E-3</v>
      </c>
      <c r="G580" s="178">
        <f>INDEX('IRAQ TO ROTT'!$A$6:$J$23,MATCH(MAIN!E580,'IRAQ TO MED'!$A$6:$A$23,0),8)</f>
        <v>8.3333333333333332E-3</v>
      </c>
      <c r="H580" s="176">
        <f>INDEX('IRAQ TO ROTT'!$A$6:$J$23,MATCH(MAIN!E580,'IRAQ TO MED'!$A$6:$A$23,0),10)</f>
        <v>8.3333333333333332E-3</v>
      </c>
      <c r="I580" s="179" t="s">
        <v>61</v>
      </c>
    </row>
    <row r="581" spans="1:9" hidden="1" outlineLevel="1" x14ac:dyDescent="0.25">
      <c r="A581" s="155"/>
      <c r="B581" s="255" t="s">
        <v>62</v>
      </c>
      <c r="C581" s="524"/>
      <c r="D581" s="525"/>
      <c r="E581" t="s">
        <v>62</v>
      </c>
      <c r="F581" s="175">
        <f>INDEX('IRAQ TO ROTT'!$A$6:$J$23,MATCH(MAIN!E581,'IRAQ TO MED'!$A$6:$A$23,0),6)</f>
        <v>8.3333333333333332E-3</v>
      </c>
      <c r="G581" s="178">
        <f>INDEX('IRAQ TO ROTT'!$A$6:$J$23,MATCH(MAIN!E581,'IRAQ TO MED'!$A$6:$A$23,0),8)</f>
        <v>8.3333333333333332E-3</v>
      </c>
      <c r="H581" s="176">
        <f>INDEX('IRAQ TO ROTT'!$A$6:$J$23,MATCH(MAIN!E581,'IRAQ TO MED'!$A$6:$A$23,0),10)</f>
        <v>8.3333333333333332E-3</v>
      </c>
      <c r="I581" s="179" t="s">
        <v>62</v>
      </c>
    </row>
    <row r="582" spans="1:9" hidden="1" outlineLevel="1" x14ac:dyDescent="0.25">
      <c r="A582" s="155"/>
      <c r="B582" s="255" t="s">
        <v>63</v>
      </c>
      <c r="C582" s="524"/>
      <c r="D582" s="525"/>
      <c r="E582" t="s">
        <v>63</v>
      </c>
      <c r="F582" s="175">
        <f>INDEX('IRAQ TO ROTT'!$A$6:$J$23,MATCH(MAIN!E582,'IRAQ TO MED'!$A$6:$A$23,0),6)</f>
        <v>0.1</v>
      </c>
      <c r="G582" s="178">
        <f>INDEX('IRAQ TO ROTT'!$A$6:$J$23,MATCH(MAIN!E582,'IRAQ TO MED'!$A$6:$A$23,0),8)</f>
        <v>0.1</v>
      </c>
      <c r="H582" s="176">
        <f>INDEX('IRAQ TO ROTT'!$A$6:$J$23,MATCH(MAIN!E582,'IRAQ TO MED'!$A$6:$A$23,0),10)</f>
        <v>0.1</v>
      </c>
      <c r="I582" s="179" t="s">
        <v>63</v>
      </c>
    </row>
    <row r="583" spans="1:9" hidden="1" outlineLevel="1" x14ac:dyDescent="0.25">
      <c r="A583" s="155"/>
      <c r="B583" s="255" t="s">
        <v>64</v>
      </c>
      <c r="C583" s="524"/>
      <c r="D583" s="525"/>
      <c r="E583" t="s">
        <v>64</v>
      </c>
      <c r="F583" s="175">
        <f>INDEX('IRAQ TO ROTT'!$A$6:$J$23,MATCH(MAIN!E583,'IRAQ TO MED'!$A$6:$A$23,0),6)</f>
        <v>6.6666666666666666E-2</v>
      </c>
      <c r="G583" s="178">
        <f>INDEX('IRAQ TO ROTT'!$A$6:$J$23,MATCH(MAIN!E583,'IRAQ TO MED'!$A$6:$A$23,0),8)</f>
        <v>6.6666666666666666E-2</v>
      </c>
      <c r="H583" s="176">
        <f>INDEX('IRAQ TO ROTT'!$A$6:$J$23,MATCH(MAIN!E583,'IRAQ TO MED'!$A$6:$A$23,0),10)</f>
        <v>6.6666666666666666E-2</v>
      </c>
      <c r="I583" s="179" t="s">
        <v>64</v>
      </c>
    </row>
    <row r="584" spans="1:9" hidden="1" outlineLevel="1" x14ac:dyDescent="0.25">
      <c r="A584" s="155"/>
      <c r="B584" s="255" t="s">
        <v>100</v>
      </c>
      <c r="C584" s="524"/>
      <c r="D584" s="525"/>
      <c r="E584" t="s">
        <v>100</v>
      </c>
      <c r="F584" s="175">
        <f ca="1">INDEX('IRAQ TO ROTT'!$A$6:$J$23,MATCH(MAIN!E584,'IRAQ TO MED'!$A$6:$A$23,0),6)</f>
        <v>36.137838288974109</v>
      </c>
      <c r="G584" s="178">
        <f ca="1">INDEX('IRAQ TO ROTT'!$A$6:$J$23,MATCH(MAIN!E584,'IRAQ TO MED'!$A$6:$A$23,0),8)</f>
        <v>36.083024179385056</v>
      </c>
      <c r="H584" s="176">
        <f ca="1">INDEX('IRAQ TO ROTT'!$A$6:$J$23,MATCH(MAIN!E584,'IRAQ TO MED'!$A$6:$A$23,0),10)</f>
        <v>36.083024179385056</v>
      </c>
      <c r="I584" s="179" t="s">
        <v>100</v>
      </c>
    </row>
    <row r="585" spans="1:9" hidden="1" outlineLevel="1" x14ac:dyDescent="0.25">
      <c r="A585" s="155"/>
      <c r="B585" s="255" t="s">
        <v>101</v>
      </c>
      <c r="C585" s="524"/>
      <c r="D585" s="525"/>
      <c r="E585" t="s">
        <v>101</v>
      </c>
      <c r="F585" s="175">
        <f ca="1">INDEX('IRAQ TO ROTT'!$A$6:$J$23,MATCH(MAIN!E585,'IRAQ TO MED'!$A$6:$A$23,0),6)</f>
        <v>18.75366666666666</v>
      </c>
      <c r="G585" s="178">
        <f ca="1">INDEX('IRAQ TO ROTT'!$A$6:$J$23,MATCH(MAIN!E585,'IRAQ TO MED'!$A$6:$A$23,0),8)</f>
        <v>16.451203703703698</v>
      </c>
      <c r="H585" s="176">
        <f ca="1">INDEX('IRAQ TO ROTT'!$A$6:$J$23,MATCH(MAIN!E585,'IRAQ TO MED'!$A$6:$A$23,0),10)</f>
        <v>16.333611111111107</v>
      </c>
      <c r="I585" s="179" t="s">
        <v>101</v>
      </c>
    </row>
    <row r="586" spans="1:9" hidden="1" outlineLevel="1" x14ac:dyDescent="0.25">
      <c r="A586" s="155"/>
      <c r="B586" s="255" t="s">
        <v>113</v>
      </c>
      <c r="C586" s="524"/>
      <c r="D586" s="525"/>
      <c r="E586" t="s">
        <v>113</v>
      </c>
      <c r="F586" s="175">
        <f ca="1">INDEX('IRAQ TO ROTT'!$A$6:$J$23,MATCH(MAIN!E586,'IRAQ TO MED'!$A$6:$A$23,0),6)</f>
        <v>-17.384171622307449</v>
      </c>
      <c r="G586" s="178">
        <f ca="1">INDEX('IRAQ TO ROTT'!$A$6:$J$23,MATCH(MAIN!E586,'IRAQ TO MED'!$A$6:$A$23,0),8)</f>
        <v>-19.631820475681359</v>
      </c>
      <c r="H586" s="176">
        <f ca="1">INDEX('IRAQ TO ROTT'!$A$6:$J$23,MATCH(MAIN!E586,'IRAQ TO MED'!$A$6:$A$23,0),10)</f>
        <v>-19.749413068273949</v>
      </c>
      <c r="I586" s="179" t="s">
        <v>113</v>
      </c>
    </row>
    <row r="587" spans="1:9" ht="15.75" hidden="1" outlineLevel="1" thickBot="1" x14ac:dyDescent="0.3">
      <c r="A587" s="155"/>
      <c r="B587" s="255" t="s">
        <v>126</v>
      </c>
      <c r="C587" s="524"/>
      <c r="D587" s="525"/>
      <c r="E587" t="s">
        <v>126</v>
      </c>
      <c r="F587" s="217">
        <f ca="1">F565</f>
        <v>45918</v>
      </c>
      <c r="G587" s="217">
        <f ca="1">G565</f>
        <v>45932</v>
      </c>
      <c r="H587" s="217">
        <f ca="1">H565</f>
        <v>45946</v>
      </c>
      <c r="I587" s="220" t="str">
        <f>I561</f>
        <v>ROLL</v>
      </c>
    </row>
    <row r="588" spans="1:9" collapsed="1" x14ac:dyDescent="0.25"/>
    <row r="589" spans="1:9" ht="15.75" thickBot="1" x14ac:dyDescent="0.3"/>
    <row r="590" spans="1:9" ht="15.75" thickBot="1" x14ac:dyDescent="0.3">
      <c r="A590" s="554" t="s">
        <v>248</v>
      </c>
      <c r="B590" s="497"/>
      <c r="C590" s="555"/>
      <c r="D590" s="556"/>
      <c r="E590" s="497"/>
      <c r="F590" s="557" t="s">
        <v>129</v>
      </c>
      <c r="G590" s="558"/>
      <c r="H590" s="559"/>
      <c r="I590" s="497"/>
    </row>
    <row r="591" spans="1:9" ht="15.75" thickBot="1" x14ac:dyDescent="0.3">
      <c r="A591" s="554"/>
      <c r="B591" s="498" t="s">
        <v>184</v>
      </c>
      <c r="C591" s="499"/>
      <c r="D591" s="500"/>
      <c r="E591" s="497"/>
      <c r="F591" s="501" t="str">
        <f ca="1">IF(DAY(F592)&lt;15,"1H-"&amp;VLOOKUP(MONTH(F592),Mapping!$A$1:$B$12,2,0),"2H-"&amp;VLOOKUP(MONTH(F592),Mapping!$A$1:$B$12,2,0))</f>
        <v>2H-SEP</v>
      </c>
      <c r="G591" s="502" t="str">
        <f ca="1">IF(DAY(G592)&lt;15,"1H-"&amp;VLOOKUP(MONTH(G592),Mapping!$A$1:$B$12,2,0),"2H-"&amp;VLOOKUP(MONTH(G592),Mapping!$A$1:$B$12,2,0))</f>
        <v>1H-OCT</v>
      </c>
      <c r="H591" s="503" t="str">
        <f ca="1">IF(DAY(H592)&lt;15,"1H-"&amp;VLOOKUP(MONTH(H592),Mapping!$A$1:$B$12,2,0),"2H-"&amp;VLOOKUP(MONTH(H592),Mapping!$A$1:$B$12,2,0))</f>
        <v>2H-OCT</v>
      </c>
      <c r="I591" s="504" t="e">
        <f>IF(DAY(I592)&lt;15,"1H-"&amp;VLOOKUP(MONTH(I592),Mapping!$A$1:$B$12,2,0),"2H-"&amp;VLOOKUP(MONTH(I592),Mapping!$A$1:$B$12,2,0))</f>
        <v>#VALUE!</v>
      </c>
    </row>
    <row r="592" spans="1:9" x14ac:dyDescent="0.25">
      <c r="C592" s="522"/>
      <c r="D592" s="523"/>
      <c r="F592" s="158">
        <f ca="1">'Loading Arrival'!Q21</f>
        <v>45918</v>
      </c>
      <c r="G592" s="194">
        <f ca="1">'Loading Arrival'!R21</f>
        <v>45932</v>
      </c>
      <c r="H592" s="195">
        <f ca="1">'Loading Arrival'!S21</f>
        <v>45946</v>
      </c>
      <c r="I592" s="164" t="str">
        <f>I543</f>
        <v xml:space="preserve">Sale premium </v>
      </c>
    </row>
    <row r="593" spans="1:9" x14ac:dyDescent="0.25">
      <c r="A593" s="199" t="s">
        <v>276</v>
      </c>
      <c r="B593" s="168"/>
      <c r="C593" s="524"/>
      <c r="D593" s="525"/>
      <c r="F593" s="159">
        <f ca="1">F613+F594-F595</f>
        <v>-39.153809589041181</v>
      </c>
      <c r="G593" s="159">
        <f ca="1">G613+G594-G595</f>
        <v>-43.653900445205572</v>
      </c>
      <c r="H593" s="161">
        <f ca="1">H613+H594-H595</f>
        <v>-44.033775445205578</v>
      </c>
      <c r="I593" s="165"/>
    </row>
    <row r="594" spans="1:9" x14ac:dyDescent="0.25">
      <c r="A594" s="155"/>
      <c r="B594" s="169" t="s">
        <v>133</v>
      </c>
      <c r="C594" s="524"/>
      <c r="D594" s="525"/>
      <c r="E594" s="177" t="s">
        <v>128</v>
      </c>
      <c r="F594" s="175">
        <f ca="1">INDEX(Premium!$A$2:$D$18,MATCH(MAIN!$A235,Premium!$A$2:$A$18,0),MATCH(EOMONTH(F592,-1)+1,Premium!$A$2:$D$2,0))</f>
        <v>1.65</v>
      </c>
      <c r="G594" s="175">
        <f ca="1">INDEX(Premium!$A$2:$D$18,MATCH(MAIN!$A235,Premium!$A$2:$A$18,0),MATCH(EOMONTH(G592,-1)+1,Premium!$A$2:$D$2,0))</f>
        <v>0.95</v>
      </c>
      <c r="H594" s="175">
        <f ca="1">INDEX(Premium!$A$2:$D$18,MATCH(MAIN!$A235,Premium!$A$2:$A$18,0),MATCH(EOMONTH(H592,-1)+1,Premium!$A$2:$D$2,0))</f>
        <v>0.95</v>
      </c>
      <c r="I594" s="179" t="s">
        <v>128</v>
      </c>
    </row>
    <row r="595" spans="1:9" ht="15.75" thickBot="1" x14ac:dyDescent="0.3">
      <c r="A595" s="155"/>
      <c r="B595" s="170" t="s">
        <v>132</v>
      </c>
      <c r="C595" s="524"/>
      <c r="D595" s="525"/>
      <c r="E595" s="177" t="s">
        <v>273</v>
      </c>
      <c r="F595" s="180">
        <f ca="1">INDEX(Premium!$A$21:$D$37,MATCH(MAIN!$A593,Premium!$A$21:$A$37,0),MATCH(EOMONTH(MAIN!F614,-1)+1,Premium!$A$21:$D$21,0))</f>
        <v>2.5</v>
      </c>
      <c r="G595" s="180">
        <f ca="1">INDEX(Premium!$A$21:$D$37,MATCH(MAIN!$A593,Premium!$A$21:$A$37,0),MATCH(EOMONTH(MAIN!G614,-1)+1,Premium!$A$21:$D$21,0))</f>
        <v>2.5</v>
      </c>
      <c r="H595" s="180">
        <f ca="1">INDEX(Premium!$A$21:$D$37,MATCH(MAIN!$A593,Premium!$A$21:$A$37,0),MATCH(EOMONTH(MAIN!H614,-1)+1,Premium!$A$21:$D$21,0))</f>
        <v>2.5</v>
      </c>
      <c r="I595" s="179" t="s">
        <v>127</v>
      </c>
    </row>
    <row r="596" spans="1:9" hidden="1" outlineLevel="1" x14ac:dyDescent="0.25">
      <c r="A596" s="155"/>
      <c r="B596" s="254" t="s">
        <v>53</v>
      </c>
      <c r="C596" s="524"/>
      <c r="D596" s="525"/>
      <c r="E596" s="6" t="s">
        <v>53</v>
      </c>
      <c r="F596" s="234">
        <f>INDEX('IRAQ TO USGC'!$A$6:$J$23,MATCH(MAIN!E596,'IRAQ TO USGC'!$A$6:$A$23,0),5)</f>
        <v>26.666666666666668</v>
      </c>
      <c r="G596" s="241">
        <f>INDEX('IRAQ TO USGC'!$A$6:$J$23,MATCH(MAIN!E596,'IRAQ TO USGC'!$A$6:$A$23,0),7)</f>
        <v>26.666666666666668</v>
      </c>
      <c r="H596" s="242">
        <f>INDEX('IRAQ TO USGC'!$A$6:$J$23,MATCH(MAIN!E596,'IRAQ TO USGC'!$A$6:$A$23,0),9)</f>
        <v>26.666666666666668</v>
      </c>
      <c r="I596" s="250" t="s">
        <v>53</v>
      </c>
    </row>
    <row r="597" spans="1:9" hidden="1" outlineLevel="1" x14ac:dyDescent="0.25">
      <c r="A597" s="155"/>
      <c r="B597" s="255" t="s">
        <v>54</v>
      </c>
      <c r="C597" s="524"/>
      <c r="D597" s="525"/>
      <c r="E597" t="s">
        <v>54</v>
      </c>
      <c r="F597" s="175">
        <f>INDEX('IRAQ TO USGC'!$A$6:$J$23,MATCH(MAIN!E597,'IRAQ TO USGC'!$A$6:$A$23,0),5)</f>
        <v>0</v>
      </c>
      <c r="G597" s="178">
        <f>INDEX('IRAQ TO USGC'!$A$6:$J$23,MATCH(MAIN!E597,'IRAQ TO USGC'!$A$6:$A$23,0),7)</f>
        <v>0</v>
      </c>
      <c r="H597" s="176">
        <f>INDEX('IRAQ TO USGC'!$A$6:$J$23,MATCH(MAIN!E597,'IRAQ TO USGC'!$A$6:$A$23,0),9)</f>
        <v>0</v>
      </c>
      <c r="I597" s="179" t="s">
        <v>54</v>
      </c>
    </row>
    <row r="598" spans="1:9" hidden="1" outlineLevel="1" x14ac:dyDescent="0.25">
      <c r="A598" s="155"/>
      <c r="B598" s="255" t="s">
        <v>55</v>
      </c>
      <c r="C598" s="524"/>
      <c r="D598" s="525"/>
      <c r="E598" t="s">
        <v>55</v>
      </c>
      <c r="F598" s="175">
        <f>INDEX('IRAQ TO USGC'!$A$6:$J$23,MATCH(MAIN!E598,'IRAQ TO USGC'!$A$6:$A$23,0),5)</f>
        <v>3.3333333333333335</v>
      </c>
      <c r="G598" s="178">
        <f>INDEX('IRAQ TO USGC'!$A$6:$J$23,MATCH(MAIN!E598,'IRAQ TO USGC'!$A$6:$A$23,0),7)</f>
        <v>3.3333333333333335</v>
      </c>
      <c r="H598" s="176">
        <f>INDEX('IRAQ TO USGC'!$A$6:$J$23,MATCH(MAIN!E598,'IRAQ TO USGC'!$A$6:$A$23,0),9)</f>
        <v>3.3333333333333335</v>
      </c>
      <c r="I598" s="179" t="s">
        <v>55</v>
      </c>
    </row>
    <row r="599" spans="1:9" hidden="1" outlineLevel="1" x14ac:dyDescent="0.25">
      <c r="A599" s="155"/>
      <c r="B599" s="255" t="s">
        <v>56</v>
      </c>
      <c r="C599" s="524"/>
      <c r="D599" s="525"/>
      <c r="E599" t="s">
        <v>56</v>
      </c>
      <c r="F599" s="175">
        <f>INDEX('IRAQ TO USGC'!$A$6:$J$23,MATCH(MAIN!E599,'IRAQ TO USGC'!$A$6:$A$23,0),5)</f>
        <v>0.1</v>
      </c>
      <c r="G599" s="178">
        <f>INDEX('IRAQ TO USGC'!$A$6:$J$23,MATCH(MAIN!E599,'IRAQ TO USGC'!$A$6:$A$23,0),7)</f>
        <v>0.1</v>
      </c>
      <c r="H599" s="176">
        <f>INDEX('IRAQ TO USGC'!$A$6:$J$23,MATCH(MAIN!E599,'IRAQ TO USGC'!$A$6:$A$23,0),9)</f>
        <v>0.1</v>
      </c>
      <c r="I599" s="179" t="s">
        <v>56</v>
      </c>
    </row>
    <row r="600" spans="1:9" hidden="1" outlineLevel="1" x14ac:dyDescent="0.25">
      <c r="A600" s="155"/>
      <c r="B600" s="255" t="s">
        <v>124</v>
      </c>
      <c r="C600" s="524"/>
      <c r="D600" s="525"/>
      <c r="E600" t="s">
        <v>124</v>
      </c>
      <c r="F600" s="175">
        <f>INDEX('IRAQ TO USGC'!$A$6:$J$23,MATCH(MAIN!E600,'IRAQ TO USGC'!$A$6:$A$23,0),5)</f>
        <v>0.16666666666666666</v>
      </c>
      <c r="G600" s="178">
        <f>INDEX('IRAQ TO USGC'!$A$6:$J$23,MATCH(MAIN!E600,'IRAQ TO USGC'!$A$6:$A$23,0),7)</f>
        <v>0.16666666666666666</v>
      </c>
      <c r="H600" s="176">
        <f>INDEX('IRAQ TO USGC'!$A$6:$J$23,MATCH(MAIN!E600,'IRAQ TO USGC'!$A$6:$A$23,0),9)</f>
        <v>0.16666666666666666</v>
      </c>
      <c r="I600" s="179" t="s">
        <v>124</v>
      </c>
    </row>
    <row r="601" spans="1:9" hidden="1" outlineLevel="1" x14ac:dyDescent="0.25">
      <c r="A601" s="155"/>
      <c r="B601" s="255" t="s">
        <v>125</v>
      </c>
      <c r="C601" s="524"/>
      <c r="D601" s="525"/>
      <c r="E601" t="s">
        <v>125</v>
      </c>
      <c r="F601" s="175">
        <f>INDEX('IRAQ TO USGC'!$A$6:$J$23,MATCH(MAIN!E601,'IRAQ TO USGC'!$A$6:$A$23,0),5)</f>
        <v>0.16666666666666666</v>
      </c>
      <c r="G601" s="178">
        <f>INDEX('IRAQ TO USGC'!$A$6:$J$23,MATCH(MAIN!E601,'IRAQ TO USGC'!$A$6:$A$23,0),7)</f>
        <v>0.16666666666666666</v>
      </c>
      <c r="H601" s="176">
        <f>INDEX('IRAQ TO USGC'!$A$6:$J$23,MATCH(MAIN!E601,'IRAQ TO USGC'!$A$6:$A$23,0),9)</f>
        <v>0.16666666666666666</v>
      </c>
      <c r="I601" s="179" t="s">
        <v>125</v>
      </c>
    </row>
    <row r="602" spans="1:9" hidden="1" outlineLevel="1" x14ac:dyDescent="0.25">
      <c r="A602" s="155"/>
      <c r="B602" s="255" t="s">
        <v>81</v>
      </c>
      <c r="C602" s="524"/>
      <c r="D602" s="525"/>
      <c r="E602" t="s">
        <v>81</v>
      </c>
      <c r="F602" s="175">
        <f ca="1">INDEX('IRAQ TO USGC'!$A$6:$J$23,MATCH(MAIN!E602,'IRAQ TO USGC'!$A$6:$A$23,0),5)</f>
        <v>3.379109589041096</v>
      </c>
      <c r="G602" s="178">
        <f ca="1">INDEX('IRAQ TO USGC'!$A$6:$J$23,MATCH(MAIN!E602,'IRAQ TO USGC'!$A$6:$A$23,0),7)</f>
        <v>3.3655479452054795</v>
      </c>
      <c r="H602" s="176">
        <f ca="1">INDEX('IRAQ TO USGC'!$A$6:$J$23,MATCH(MAIN!E602,'IRAQ TO USGC'!$A$6:$A$23,0),9)</f>
        <v>3.3655479452054795</v>
      </c>
      <c r="I602" s="179" t="s">
        <v>81</v>
      </c>
    </row>
    <row r="603" spans="1:9" hidden="1" outlineLevel="1" x14ac:dyDescent="0.25">
      <c r="A603" s="155"/>
      <c r="B603" s="255" t="s">
        <v>57</v>
      </c>
      <c r="C603" s="524"/>
      <c r="D603" s="525"/>
      <c r="E603" t="s">
        <v>57</v>
      </c>
      <c r="F603" s="175">
        <f>INDEX('IRAQ TO USGC'!$A$6:$J$23,MATCH(MAIN!E603,'IRAQ TO USGC'!$A$6:$A$23,0),5)</f>
        <v>0</v>
      </c>
      <c r="G603" s="178">
        <f>INDEX('IRAQ TO USGC'!$A$6:$J$23,MATCH(MAIN!E603,'IRAQ TO USGC'!$A$6:$A$23,0),7)</f>
        <v>0</v>
      </c>
      <c r="H603" s="176">
        <f>INDEX('IRAQ TO USGC'!$A$6:$J$23,MATCH(MAIN!E603,'IRAQ TO USGC'!$A$6:$A$23,0),9)</f>
        <v>0</v>
      </c>
      <c r="I603" s="179" t="s">
        <v>57</v>
      </c>
    </row>
    <row r="604" spans="1:9" hidden="1" outlineLevel="1" x14ac:dyDescent="0.25">
      <c r="A604" s="155"/>
      <c r="B604" s="255" t="s">
        <v>58</v>
      </c>
      <c r="C604" s="524"/>
      <c r="D604" s="525"/>
      <c r="E604" t="s">
        <v>58</v>
      </c>
      <c r="F604" s="175">
        <f ca="1">INDEX('IRAQ TO USGC'!$A$6:$J$23,MATCH(MAIN!E604,'IRAQ TO USGC'!$A$6:$A$23,0),5)</f>
        <v>0.28031250000000002</v>
      </c>
      <c r="G604" s="178">
        <f ca="1">INDEX('IRAQ TO USGC'!$A$6:$J$23,MATCH(MAIN!E604,'IRAQ TO USGC'!$A$6:$A$23,0),7)</f>
        <v>0.27918750000000003</v>
      </c>
      <c r="H604" s="176">
        <f ca="1">INDEX('IRAQ TO USGC'!$A$6:$J$23,MATCH(MAIN!E604,'IRAQ TO USGC'!$A$6:$A$23,0),9)</f>
        <v>0.27918750000000003</v>
      </c>
      <c r="I604" s="179" t="s">
        <v>58</v>
      </c>
    </row>
    <row r="605" spans="1:9" hidden="1" outlineLevel="1" x14ac:dyDescent="0.25">
      <c r="A605" s="155"/>
      <c r="B605" s="255" t="s">
        <v>59</v>
      </c>
      <c r="C605" s="524"/>
      <c r="D605" s="525"/>
      <c r="E605" t="s">
        <v>59</v>
      </c>
      <c r="F605" s="175">
        <f ca="1">INDEX('IRAQ TO USGC'!$A$6:$J$23,MATCH(MAIN!E605,'IRAQ TO USGC'!$A$6:$A$23,0),5)</f>
        <v>1.1001374999999998</v>
      </c>
      <c r="G605" s="178">
        <f ca="1">INDEX('IRAQ TO USGC'!$A$6:$J$23,MATCH(MAIN!E605,'IRAQ TO USGC'!$A$6:$A$23,0),7)</f>
        <v>1.0820399999999997</v>
      </c>
      <c r="H605" s="176">
        <f ca="1">INDEX('IRAQ TO USGC'!$A$6:$J$23,MATCH(MAIN!E605,'IRAQ TO USGC'!$A$6:$A$23,0),9)</f>
        <v>1.0820399999999997</v>
      </c>
      <c r="I605" s="179" t="s">
        <v>59</v>
      </c>
    </row>
    <row r="606" spans="1:9" hidden="1" outlineLevel="1" x14ac:dyDescent="0.25">
      <c r="A606" s="155"/>
      <c r="B606" s="255" t="s">
        <v>60</v>
      </c>
      <c r="C606" s="524"/>
      <c r="D606" s="525"/>
      <c r="E606" t="s">
        <v>60</v>
      </c>
      <c r="F606" s="175">
        <f>INDEX('IRAQ TO USGC'!$A$6:$J$23,MATCH(MAIN!E606,'IRAQ TO USGC'!$A$6:$A$23,0),5)</f>
        <v>8.3333333333333329E-2</v>
      </c>
      <c r="G606" s="178">
        <f>INDEX('IRAQ TO USGC'!$A$6:$J$23,MATCH(MAIN!E606,'IRAQ TO USGC'!$A$6:$A$23,0),7)</f>
        <v>8.3333333333333329E-2</v>
      </c>
      <c r="H606" s="176">
        <f>INDEX('IRAQ TO USGC'!$A$6:$J$23,MATCH(MAIN!E606,'IRAQ TO USGC'!$A$6:$A$23,0),9)</f>
        <v>8.3333333333333329E-2</v>
      </c>
      <c r="I606" s="179" t="s">
        <v>60</v>
      </c>
    </row>
    <row r="607" spans="1:9" hidden="1" outlineLevel="1" x14ac:dyDescent="0.25">
      <c r="A607" s="155"/>
      <c r="B607" s="255" t="s">
        <v>61</v>
      </c>
      <c r="C607" s="524"/>
      <c r="D607" s="525"/>
      <c r="E607" t="s">
        <v>61</v>
      </c>
      <c r="F607" s="175">
        <f>INDEX('IRAQ TO USGC'!$A$6:$J$23,MATCH(MAIN!E607,'IRAQ TO USGC'!$A$6:$A$23,0),5)</f>
        <v>8.3333333333333332E-3</v>
      </c>
      <c r="G607" s="178">
        <f>INDEX('IRAQ TO USGC'!$A$6:$J$23,MATCH(MAIN!E607,'IRAQ TO USGC'!$A$6:$A$23,0),7)</f>
        <v>8.3333333333333332E-3</v>
      </c>
      <c r="H607" s="176">
        <f>INDEX('IRAQ TO USGC'!$A$6:$J$23,MATCH(MAIN!E607,'IRAQ TO USGC'!$A$6:$A$23,0),9)</f>
        <v>8.3333333333333332E-3</v>
      </c>
      <c r="I607" s="179" t="s">
        <v>61</v>
      </c>
    </row>
    <row r="608" spans="1:9" hidden="1" outlineLevel="1" x14ac:dyDescent="0.25">
      <c r="A608" s="155"/>
      <c r="B608" s="255" t="s">
        <v>62</v>
      </c>
      <c r="C608" s="524"/>
      <c r="D608" s="525"/>
      <c r="E608" t="s">
        <v>62</v>
      </c>
      <c r="F608" s="175">
        <f>INDEX('IRAQ TO USGC'!$A$6:$J$23,MATCH(MAIN!E608,'IRAQ TO USGC'!$A$6:$A$23,0),5)</f>
        <v>8.3333333333333332E-3</v>
      </c>
      <c r="G608" s="178">
        <f>INDEX('IRAQ TO USGC'!$A$6:$J$23,MATCH(MAIN!E608,'IRAQ TO USGC'!$A$6:$A$23,0),7)</f>
        <v>8.3333333333333332E-3</v>
      </c>
      <c r="H608" s="176">
        <f>INDEX('IRAQ TO USGC'!$A$6:$J$23,MATCH(MAIN!E608,'IRAQ TO USGC'!$A$6:$A$23,0),9)</f>
        <v>8.3333333333333332E-3</v>
      </c>
      <c r="I608" s="179" t="s">
        <v>62</v>
      </c>
    </row>
    <row r="609" spans="1:9" hidden="1" outlineLevel="1" x14ac:dyDescent="0.25">
      <c r="A609" s="155"/>
      <c r="B609" s="255" t="s">
        <v>63</v>
      </c>
      <c r="C609" s="524"/>
      <c r="D609" s="525"/>
      <c r="E609" t="s">
        <v>63</v>
      </c>
      <c r="F609" s="175">
        <f>INDEX('IRAQ TO USGC'!$A$6:$J$23,MATCH(MAIN!E609,'IRAQ TO USGC'!$A$6:$A$23,0),5)</f>
        <v>0.1</v>
      </c>
      <c r="G609" s="178">
        <f>INDEX('IRAQ TO USGC'!$A$6:$J$23,MATCH(MAIN!E609,'IRAQ TO USGC'!$A$6:$A$23,0),7)</f>
        <v>0.1</v>
      </c>
      <c r="H609" s="176">
        <f>INDEX('IRAQ TO USGC'!$A$6:$J$23,MATCH(MAIN!E609,'IRAQ TO USGC'!$A$6:$A$23,0),9)</f>
        <v>0.1</v>
      </c>
      <c r="I609" s="179" t="s">
        <v>63</v>
      </c>
    </row>
    <row r="610" spans="1:9" hidden="1" outlineLevel="1" x14ac:dyDescent="0.25">
      <c r="A610" s="155"/>
      <c r="B610" s="255" t="s">
        <v>64</v>
      </c>
      <c r="C610" s="524"/>
      <c r="D610" s="525"/>
      <c r="E610" t="s">
        <v>64</v>
      </c>
      <c r="F610" s="175">
        <f>INDEX('IRAQ TO USGC'!$A$6:$J$23,MATCH(MAIN!E610,'IRAQ TO USGC'!$A$6:$A$23,0),5)</f>
        <v>6.6666666666666666E-2</v>
      </c>
      <c r="G610" s="178">
        <f>INDEX('IRAQ TO USGC'!$A$6:$J$23,MATCH(MAIN!E610,'IRAQ TO USGC'!$A$6:$A$23,0),7)</f>
        <v>6.6666666666666666E-2</v>
      </c>
      <c r="H610" s="176">
        <f>INDEX('IRAQ TO USGC'!$A$6:$J$23,MATCH(MAIN!E610,'IRAQ TO USGC'!$A$6:$A$23,0),9)</f>
        <v>6.6666666666666666E-2</v>
      </c>
      <c r="I610" s="179" t="s">
        <v>64</v>
      </c>
    </row>
    <row r="611" spans="1:9" hidden="1" outlineLevel="1" x14ac:dyDescent="0.25">
      <c r="A611" s="155"/>
      <c r="B611" s="255" t="s">
        <v>100</v>
      </c>
      <c r="C611" s="524"/>
      <c r="D611" s="525"/>
      <c r="E611" t="s">
        <v>100</v>
      </c>
      <c r="F611" s="175">
        <f ca="1">INDEX('IRAQ TO USGC'!$A$6:$J$23,MATCH(MAIN!E611,'IRAQ TO USGC'!$A$6:$A$23,0),5)</f>
        <v>35.459559589041106</v>
      </c>
      <c r="G611" s="178">
        <f ca="1">INDEX('IRAQ TO USGC'!$A$6:$J$23,MATCH(MAIN!E611,'IRAQ TO USGC'!$A$6:$A$23,0),7)</f>
        <v>35.426775445205486</v>
      </c>
      <c r="H611" s="176">
        <f ca="1">INDEX('IRAQ TO USGC'!$A$6:$J$23,MATCH(MAIN!E611,'IRAQ TO USGC'!$A$6:$A$23,0),9)</f>
        <v>35.426775445205486</v>
      </c>
      <c r="I611" s="179" t="s">
        <v>100</v>
      </c>
    </row>
    <row r="612" spans="1:9" hidden="1" outlineLevel="1" x14ac:dyDescent="0.25">
      <c r="A612" s="155"/>
      <c r="B612" s="255" t="s">
        <v>101</v>
      </c>
      <c r="C612" s="524"/>
      <c r="D612" s="525"/>
      <c r="E612" t="s">
        <v>101</v>
      </c>
      <c r="F612" s="175">
        <f ca="1">INDEX('IRAQ TO USGC'!$A$6:$J$23,MATCH(MAIN!E612,'IRAQ TO USGC'!$A$6:$A$23,0),5)</f>
        <v>-2.8442500000000734</v>
      </c>
      <c r="G612" s="178">
        <f ca="1">INDEX('IRAQ TO USGC'!$A$6:$J$23,MATCH(MAIN!E612,'IRAQ TO USGC'!$A$6:$A$23,0),7)</f>
        <v>-6.6771250000000917</v>
      </c>
      <c r="H612" s="176">
        <f ca="1">INDEX('IRAQ TO USGC'!$A$6:$J$23,MATCH(MAIN!E612,'IRAQ TO USGC'!$A$6:$A$23,0),9)</f>
        <v>-7.0570000000000963</v>
      </c>
      <c r="I612" s="179" t="s">
        <v>101</v>
      </c>
    </row>
    <row r="613" spans="1:9" hidden="1" outlineLevel="1" x14ac:dyDescent="0.25">
      <c r="A613" s="155"/>
      <c r="B613" s="255" t="s">
        <v>113</v>
      </c>
      <c r="C613" s="524"/>
      <c r="D613" s="525"/>
      <c r="E613" t="s">
        <v>113</v>
      </c>
      <c r="F613" s="175">
        <f ca="1">INDEX('IRAQ TO USGC'!$A$6:$J$23,MATCH(MAIN!E613,'IRAQ TO USGC'!$A$6:$A$23,0),5)</f>
        <v>-38.30380958904118</v>
      </c>
      <c r="G613" s="178">
        <f ca="1">INDEX('IRAQ TO USGC'!$A$6:$J$23,MATCH(MAIN!E613,'IRAQ TO USGC'!$A$6:$A$23,0),7)</f>
        <v>-42.103900445205575</v>
      </c>
      <c r="H613" s="176">
        <f ca="1">INDEX('IRAQ TO USGC'!$A$6:$J$23,MATCH(MAIN!E613,'IRAQ TO USGC'!$A$6:$A$23,0),9)</f>
        <v>-42.48377544520558</v>
      </c>
      <c r="I613" s="179" t="s">
        <v>113</v>
      </c>
    </row>
    <row r="614" spans="1:9" ht="15.75" hidden="1" outlineLevel="1" thickBot="1" x14ac:dyDescent="0.3">
      <c r="A614" s="155"/>
      <c r="B614" s="255" t="s">
        <v>126</v>
      </c>
      <c r="C614" s="524"/>
      <c r="D614" s="525"/>
      <c r="E614" t="s">
        <v>126</v>
      </c>
      <c r="F614" s="217">
        <f ca="1">F592</f>
        <v>45918</v>
      </c>
      <c r="G614" s="217">
        <f ca="1">G592</f>
        <v>45932</v>
      </c>
      <c r="H614" s="217">
        <f ca="1">H592</f>
        <v>45946</v>
      </c>
      <c r="I614" s="220">
        <f>I588</f>
        <v>0</v>
      </c>
    </row>
    <row r="615" spans="1:9" ht="15.75" hidden="1" outlineLevel="1" thickBot="1" x14ac:dyDescent="0.3">
      <c r="A615" s="155"/>
      <c r="B615" s="155"/>
      <c r="C615" s="155"/>
      <c r="D615" s="155"/>
      <c r="E615" s="155"/>
      <c r="F615" s="155"/>
      <c r="G615" s="155"/>
      <c r="H615" s="155"/>
      <c r="I615" s="155"/>
    </row>
    <row r="616" spans="1:9" hidden="1" outlineLevel="1" x14ac:dyDescent="0.25">
      <c r="A616" s="155"/>
      <c r="B616" s="155"/>
      <c r="C616" s="522"/>
      <c r="D616" s="523"/>
      <c r="F616" s="158">
        <f ca="1">F592</f>
        <v>45918</v>
      </c>
      <c r="G616" s="158">
        <f t="shared" ref="G616:H616" ca="1" si="20">G592</f>
        <v>45932</v>
      </c>
      <c r="H616" s="158">
        <f t="shared" ca="1" si="20"/>
        <v>45946</v>
      </c>
      <c r="I616" s="164" t="str">
        <f>I567</f>
        <v xml:space="preserve">Sale premium </v>
      </c>
    </row>
    <row r="617" spans="1:9" collapsed="1" x14ac:dyDescent="0.25">
      <c r="A617" s="199" t="s">
        <v>277</v>
      </c>
      <c r="B617" s="168"/>
      <c r="C617" s="524"/>
      <c r="D617" s="525"/>
      <c r="F617" s="159">
        <f ca="1">F637+F618-F619</f>
        <v>-18.808538288974116</v>
      </c>
      <c r="G617" s="159">
        <f ca="1">G637+G618-G619</f>
        <v>-21.815899179385063</v>
      </c>
      <c r="H617" s="161">
        <f ca="1">H637+H618-H619</f>
        <v>-21.863524179385063</v>
      </c>
      <c r="I617" s="165"/>
    </row>
    <row r="618" spans="1:9" x14ac:dyDescent="0.25">
      <c r="A618" s="155"/>
      <c r="B618" s="169" t="s">
        <v>133</v>
      </c>
      <c r="C618" s="524"/>
      <c r="D618" s="525"/>
      <c r="E618" s="177" t="s">
        <v>128</v>
      </c>
      <c r="F618" s="175">
        <f ca="1">INDEX(Premium!$A$2:$D$18,MATCH(MAIN!$A259,Premium!$A$2:$A$18,0),MATCH(EOMONTH(F616,-1)+1,Premium!$A$2:$D$2,0))</f>
        <v>1.3</v>
      </c>
      <c r="G618" s="175">
        <f ca="1">INDEX(Premium!$A$2:$D$18,MATCH(MAIN!$A259,Premium!$A$2:$A$18,0),MATCH(EOMONTH(G616,-1)+1,Premium!$A$2:$D$2,0))</f>
        <v>0.4</v>
      </c>
      <c r="H618" s="175">
        <f ca="1">INDEX(Premium!$A$2:$D$18,MATCH(MAIN!$A259,Premium!$A$2:$A$18,0),MATCH(EOMONTH(H616,-1)+1,Premium!$A$2:$D$2,0))</f>
        <v>0.4</v>
      </c>
      <c r="I618" s="179" t="s">
        <v>128</v>
      </c>
    </row>
    <row r="619" spans="1:9" ht="15.75" thickBot="1" x14ac:dyDescent="0.3">
      <c r="A619" s="155"/>
      <c r="B619" s="170" t="s">
        <v>132</v>
      </c>
      <c r="C619" s="524"/>
      <c r="D619" s="525"/>
      <c r="E619" s="177" t="s">
        <v>273</v>
      </c>
      <c r="F619" s="180">
        <f ca="1">INDEX(Premium!$A$21:$D$37,MATCH(MAIN!$A617,Premium!$A$21:$A$37,0),MATCH(EOMONTH(MAIN!F638,-1)+1,Premium!$A$21:$D$21,0))</f>
        <v>2.5</v>
      </c>
      <c r="G619" s="180">
        <f ca="1">INDEX(Premium!$A$21:$D$37,MATCH(MAIN!$A617,Premium!$A$21:$A$37,0),MATCH(EOMONTH(MAIN!G638,-1)+1,Premium!$A$21:$D$21,0))</f>
        <v>2.5</v>
      </c>
      <c r="H619" s="180">
        <f ca="1">INDEX(Premium!$A$21:$D$37,MATCH(MAIN!$A617,Premium!$A$21:$A$37,0),MATCH(EOMONTH(MAIN!H638,-1)+1,Premium!$A$21:$D$21,0))</f>
        <v>2.5</v>
      </c>
      <c r="I619" s="179" t="s">
        <v>127</v>
      </c>
    </row>
    <row r="620" spans="1:9" hidden="1" outlineLevel="1" x14ac:dyDescent="0.25">
      <c r="A620" s="155"/>
      <c r="B620" s="254" t="s">
        <v>53</v>
      </c>
      <c r="C620" s="524"/>
      <c r="D620" s="525"/>
      <c r="E620" s="6" t="s">
        <v>53</v>
      </c>
      <c r="F620" s="234">
        <f>INDEX('IRAQ TO USGC'!$A$6:$J$23,MATCH(MAIN!E620,'IRAQ TO MED'!$A$6:$A$23,0),6)</f>
        <v>26.666666666666668</v>
      </c>
      <c r="G620" s="241">
        <f>INDEX('IRAQ TO USGC'!$A$6:$J$23,MATCH(MAIN!E620,'IRAQ TO MED'!$A$6:$A$23,0),8)</f>
        <v>26.666666666666668</v>
      </c>
      <c r="H620" s="242">
        <f>INDEX('IRAQ TO USGC'!$A$6:$J$23,MATCH(MAIN!E620,'IRAQ TO MED'!$A$6:$A$23,0),10)</f>
        <v>26.666666666666668</v>
      </c>
      <c r="I620" s="250" t="s">
        <v>53</v>
      </c>
    </row>
    <row r="621" spans="1:9" hidden="1" outlineLevel="1" x14ac:dyDescent="0.25">
      <c r="A621" s="155"/>
      <c r="B621" s="255" t="s">
        <v>54</v>
      </c>
      <c r="C621" s="524"/>
      <c r="D621" s="525"/>
      <c r="E621" t="s">
        <v>54</v>
      </c>
      <c r="F621" s="175">
        <f>INDEX('IRAQ TO USGC'!$A$6:$J$23,MATCH(MAIN!E621,'IRAQ TO MED'!$A$6:$A$23,0),6)</f>
        <v>0</v>
      </c>
      <c r="G621" s="178">
        <f>INDEX('IRAQ TO USGC'!$A$6:$J$23,MATCH(MAIN!E621,'IRAQ TO MED'!$A$6:$A$23,0),8)</f>
        <v>0</v>
      </c>
      <c r="H621" s="176">
        <f>INDEX('IRAQ TO USGC'!$A$6:$J$23,MATCH(MAIN!E621,'IRAQ TO MED'!$A$6:$A$23,0),10)</f>
        <v>0</v>
      </c>
      <c r="I621" s="179" t="s">
        <v>54</v>
      </c>
    </row>
    <row r="622" spans="1:9" hidden="1" outlineLevel="1" x14ac:dyDescent="0.25">
      <c r="A622" s="155"/>
      <c r="B622" s="255" t="s">
        <v>55</v>
      </c>
      <c r="C622" s="524"/>
      <c r="D622" s="525"/>
      <c r="E622" t="s">
        <v>55</v>
      </c>
      <c r="F622" s="175">
        <f>INDEX('IRAQ TO USGC'!$A$6:$J$23,MATCH(MAIN!E622,'IRAQ TO MED'!$A$6:$A$23,0),6)</f>
        <v>3.3333333333333335</v>
      </c>
      <c r="G622" s="178">
        <f>INDEX('IRAQ TO USGC'!$A$6:$J$23,MATCH(MAIN!E622,'IRAQ TO MED'!$A$6:$A$23,0),8)</f>
        <v>3.3333333333333335</v>
      </c>
      <c r="H622" s="176">
        <f>INDEX('IRAQ TO USGC'!$A$6:$J$23,MATCH(MAIN!E622,'IRAQ TO MED'!$A$6:$A$23,0),10)</f>
        <v>3.3333333333333335</v>
      </c>
      <c r="I622" s="179" t="s">
        <v>55</v>
      </c>
    </row>
    <row r="623" spans="1:9" hidden="1" outlineLevel="1" x14ac:dyDescent="0.25">
      <c r="A623" s="155"/>
      <c r="B623" s="255" t="s">
        <v>56</v>
      </c>
      <c r="C623" s="524"/>
      <c r="D623" s="525"/>
      <c r="E623" t="s">
        <v>56</v>
      </c>
      <c r="F623" s="175">
        <f>INDEX('IRAQ TO USGC'!$A$6:$J$23,MATCH(MAIN!E623,'IRAQ TO MED'!$A$6:$A$23,0),6)</f>
        <v>0.1</v>
      </c>
      <c r="G623" s="178">
        <f>INDEX('IRAQ TO USGC'!$A$6:$J$23,MATCH(MAIN!E623,'IRAQ TO MED'!$A$6:$A$23,0),8)</f>
        <v>0.1</v>
      </c>
      <c r="H623" s="176">
        <f>INDEX('IRAQ TO USGC'!$A$6:$J$23,MATCH(MAIN!E623,'IRAQ TO MED'!$A$6:$A$23,0),10)</f>
        <v>0.1</v>
      </c>
      <c r="I623" s="179" t="s">
        <v>56</v>
      </c>
    </row>
    <row r="624" spans="1:9" hidden="1" outlineLevel="1" x14ac:dyDescent="0.25">
      <c r="A624" s="155"/>
      <c r="B624" s="255" t="s">
        <v>124</v>
      </c>
      <c r="C624" s="524"/>
      <c r="D624" s="525"/>
      <c r="E624" t="s">
        <v>124</v>
      </c>
      <c r="F624" s="175">
        <f>INDEX('IRAQ TO USGC'!$A$6:$J$23,MATCH(MAIN!E624,'IRAQ TO MED'!$A$6:$A$23,0),6)</f>
        <v>0.16666666666666666</v>
      </c>
      <c r="G624" s="178">
        <f>INDEX('IRAQ TO USGC'!$A$6:$J$23,MATCH(MAIN!E624,'IRAQ TO MED'!$A$6:$A$23,0),8)</f>
        <v>0.16666666666666666</v>
      </c>
      <c r="H624" s="176">
        <f>INDEX('IRAQ TO USGC'!$A$6:$J$23,MATCH(MAIN!E624,'IRAQ TO MED'!$A$6:$A$23,0),10)</f>
        <v>0.16666666666666666</v>
      </c>
      <c r="I624" s="179" t="s">
        <v>124</v>
      </c>
    </row>
    <row r="625" spans="1:9" hidden="1" outlineLevel="1" x14ac:dyDescent="0.25">
      <c r="A625" s="155"/>
      <c r="B625" s="255" t="s">
        <v>125</v>
      </c>
      <c r="C625" s="524"/>
      <c r="D625" s="525"/>
      <c r="E625" t="s">
        <v>125</v>
      </c>
      <c r="F625" s="175">
        <f>INDEX('IRAQ TO USGC'!$A$6:$J$23,MATCH(MAIN!E625,'IRAQ TO MED'!$A$6:$A$23,0),6)</f>
        <v>0.16666666666666666</v>
      </c>
      <c r="G625" s="178">
        <f>INDEX('IRAQ TO USGC'!$A$6:$J$23,MATCH(MAIN!E625,'IRAQ TO MED'!$A$6:$A$23,0),8)</f>
        <v>0.16666666666666666</v>
      </c>
      <c r="H625" s="176">
        <f>INDEX('IRAQ TO USGC'!$A$6:$J$23,MATCH(MAIN!E625,'IRAQ TO MED'!$A$6:$A$23,0),10)</f>
        <v>0.16666666666666666</v>
      </c>
      <c r="I625" s="179" t="s">
        <v>125</v>
      </c>
    </row>
    <row r="626" spans="1:9" hidden="1" outlineLevel="1" x14ac:dyDescent="0.25">
      <c r="A626" s="155"/>
      <c r="B626" s="255" t="s">
        <v>81</v>
      </c>
      <c r="C626" s="524"/>
      <c r="D626" s="525"/>
      <c r="E626" t="s">
        <v>81</v>
      </c>
      <c r="F626" s="175">
        <f ca="1">INDEX('IRAQ TO USGC'!$A$6:$J$23,MATCH(MAIN!E626,'IRAQ TO MED'!$A$6:$A$23,0),6)</f>
        <v>4.005431998213222</v>
      </c>
      <c r="G626" s="178">
        <f ca="1">INDEX('IRAQ TO USGC'!$A$6:$J$23,MATCH(MAIN!E626,'IRAQ TO MED'!$A$6:$A$23,0),8)</f>
        <v>3.9715278886241805</v>
      </c>
      <c r="H626" s="176">
        <f ca="1">INDEX('IRAQ TO USGC'!$A$6:$J$23,MATCH(MAIN!E626,'IRAQ TO MED'!$A$6:$A$23,0),10)</f>
        <v>3.9715278886241805</v>
      </c>
      <c r="I626" s="179" t="s">
        <v>81</v>
      </c>
    </row>
    <row r="627" spans="1:9" hidden="1" outlineLevel="1" x14ac:dyDescent="0.25">
      <c r="A627" s="155"/>
      <c r="B627" s="255" t="s">
        <v>57</v>
      </c>
      <c r="C627" s="524"/>
      <c r="D627" s="525"/>
      <c r="E627" t="s">
        <v>57</v>
      </c>
      <c r="F627" s="175">
        <f>INDEX('IRAQ TO USGC'!$A$6:$J$23,MATCH(MAIN!E627,'IRAQ TO MED'!$A$6:$A$23,0),6)</f>
        <v>0</v>
      </c>
      <c r="G627" s="178">
        <f>INDEX('IRAQ TO USGC'!$A$6:$J$23,MATCH(MAIN!E627,'IRAQ TO MED'!$A$6:$A$23,0),8)</f>
        <v>0</v>
      </c>
      <c r="H627" s="176">
        <f>INDEX('IRAQ TO USGC'!$A$6:$J$23,MATCH(MAIN!E627,'IRAQ TO MED'!$A$6:$A$23,0),10)</f>
        <v>0</v>
      </c>
      <c r="I627" s="179" t="s">
        <v>57</v>
      </c>
    </row>
    <row r="628" spans="1:9" hidden="1" outlineLevel="1" x14ac:dyDescent="0.25">
      <c r="A628" s="155"/>
      <c r="B628" s="255" t="s">
        <v>58</v>
      </c>
      <c r="C628" s="524"/>
      <c r="D628" s="525"/>
      <c r="E628" t="s">
        <v>58</v>
      </c>
      <c r="F628" s="175">
        <f ca="1">INDEX('IRAQ TO USGC'!$A$6:$J$23,MATCH(MAIN!E628,'IRAQ TO MED'!$A$6:$A$23,0),6)</f>
        <v>0.33226879076086951</v>
      </c>
      <c r="G628" s="178">
        <f ca="1">INDEX('IRAQ TO USGC'!$A$6:$J$23,MATCH(MAIN!E628,'IRAQ TO MED'!$A$6:$A$23,0),8)</f>
        <v>0.32945629076086952</v>
      </c>
      <c r="H628" s="176">
        <f ca="1">INDEX('IRAQ TO USGC'!$A$6:$J$23,MATCH(MAIN!E628,'IRAQ TO MED'!$A$6:$A$23,0),10)</f>
        <v>0.32945629076086952</v>
      </c>
      <c r="I628" s="179" t="s">
        <v>58</v>
      </c>
    </row>
    <row r="629" spans="1:9" hidden="1" outlineLevel="1" x14ac:dyDescent="0.25">
      <c r="A629" s="155"/>
      <c r="B629" s="255" t="s">
        <v>59</v>
      </c>
      <c r="C629" s="524"/>
      <c r="D629" s="525"/>
      <c r="E629" t="s">
        <v>59</v>
      </c>
      <c r="F629" s="175">
        <f ca="1">INDEX('IRAQ TO USGC'!$A$6:$J$23,MATCH(MAIN!E629,'IRAQ TO MED'!$A$6:$A$23,0),6)</f>
        <v>1.1001374999999998</v>
      </c>
      <c r="G629" s="178">
        <f ca="1">INDEX('IRAQ TO USGC'!$A$6:$J$23,MATCH(MAIN!E629,'IRAQ TO MED'!$A$6:$A$23,0),8)</f>
        <v>1.0820399999999997</v>
      </c>
      <c r="H629" s="176">
        <f ca="1">INDEX('IRAQ TO USGC'!$A$6:$J$23,MATCH(MAIN!E629,'IRAQ TO MED'!$A$6:$A$23,0),10)</f>
        <v>1.0820399999999997</v>
      </c>
      <c r="I629" s="179" t="s">
        <v>59</v>
      </c>
    </row>
    <row r="630" spans="1:9" hidden="1" outlineLevel="1" x14ac:dyDescent="0.25">
      <c r="A630" s="155"/>
      <c r="B630" s="255" t="s">
        <v>60</v>
      </c>
      <c r="C630" s="524"/>
      <c r="D630" s="525"/>
      <c r="E630" t="s">
        <v>60</v>
      </c>
      <c r="F630" s="175">
        <f>INDEX('IRAQ TO USGC'!$A$6:$J$23,MATCH(MAIN!E630,'IRAQ TO MED'!$A$6:$A$23,0),6)</f>
        <v>8.3333333333333329E-2</v>
      </c>
      <c r="G630" s="178">
        <f>INDEX('IRAQ TO USGC'!$A$6:$J$23,MATCH(MAIN!E630,'IRAQ TO MED'!$A$6:$A$23,0),8)</f>
        <v>8.3333333333333329E-2</v>
      </c>
      <c r="H630" s="176">
        <f>INDEX('IRAQ TO USGC'!$A$6:$J$23,MATCH(MAIN!E630,'IRAQ TO MED'!$A$6:$A$23,0),10)</f>
        <v>8.3333333333333329E-2</v>
      </c>
      <c r="I630" s="179" t="s">
        <v>60</v>
      </c>
    </row>
    <row r="631" spans="1:9" hidden="1" outlineLevel="1" x14ac:dyDescent="0.25">
      <c r="A631" s="155"/>
      <c r="B631" s="255" t="s">
        <v>61</v>
      </c>
      <c r="C631" s="524"/>
      <c r="D631" s="525"/>
      <c r="E631" t="s">
        <v>61</v>
      </c>
      <c r="F631" s="175">
        <f>INDEX('IRAQ TO USGC'!$A$6:$J$23,MATCH(MAIN!E631,'IRAQ TO MED'!$A$6:$A$23,0),6)</f>
        <v>8.3333333333333332E-3</v>
      </c>
      <c r="G631" s="178">
        <f>INDEX('IRAQ TO USGC'!$A$6:$J$23,MATCH(MAIN!E631,'IRAQ TO MED'!$A$6:$A$23,0),8)</f>
        <v>8.3333333333333332E-3</v>
      </c>
      <c r="H631" s="176">
        <f>INDEX('IRAQ TO USGC'!$A$6:$J$23,MATCH(MAIN!E631,'IRAQ TO MED'!$A$6:$A$23,0),10)</f>
        <v>8.3333333333333332E-3</v>
      </c>
      <c r="I631" s="179" t="s">
        <v>61</v>
      </c>
    </row>
    <row r="632" spans="1:9" hidden="1" outlineLevel="1" x14ac:dyDescent="0.25">
      <c r="A632" s="155"/>
      <c r="B632" s="255" t="s">
        <v>62</v>
      </c>
      <c r="C632" s="524"/>
      <c r="D632" s="525"/>
      <c r="E632" t="s">
        <v>62</v>
      </c>
      <c r="F632" s="175">
        <f>INDEX('IRAQ TO USGC'!$A$6:$J$23,MATCH(MAIN!E632,'IRAQ TO MED'!$A$6:$A$23,0),6)</f>
        <v>8.3333333333333332E-3</v>
      </c>
      <c r="G632" s="178">
        <f>INDEX('IRAQ TO USGC'!$A$6:$J$23,MATCH(MAIN!E632,'IRAQ TO MED'!$A$6:$A$23,0),8)</f>
        <v>8.3333333333333332E-3</v>
      </c>
      <c r="H632" s="176">
        <f>INDEX('IRAQ TO USGC'!$A$6:$J$23,MATCH(MAIN!E632,'IRAQ TO MED'!$A$6:$A$23,0),10)</f>
        <v>8.3333333333333332E-3</v>
      </c>
      <c r="I632" s="179" t="s">
        <v>62</v>
      </c>
    </row>
    <row r="633" spans="1:9" hidden="1" outlineLevel="1" x14ac:dyDescent="0.25">
      <c r="A633" s="155"/>
      <c r="B633" s="255" t="s">
        <v>63</v>
      </c>
      <c r="C633" s="524"/>
      <c r="D633" s="525"/>
      <c r="E633" t="s">
        <v>63</v>
      </c>
      <c r="F633" s="175">
        <f>INDEX('IRAQ TO USGC'!$A$6:$J$23,MATCH(MAIN!E633,'IRAQ TO MED'!$A$6:$A$23,0),6)</f>
        <v>0.1</v>
      </c>
      <c r="G633" s="178">
        <f>INDEX('IRAQ TO USGC'!$A$6:$J$23,MATCH(MAIN!E633,'IRAQ TO MED'!$A$6:$A$23,0),8)</f>
        <v>0.1</v>
      </c>
      <c r="H633" s="176">
        <f>INDEX('IRAQ TO USGC'!$A$6:$J$23,MATCH(MAIN!E633,'IRAQ TO MED'!$A$6:$A$23,0),10)</f>
        <v>0.1</v>
      </c>
      <c r="I633" s="179" t="s">
        <v>63</v>
      </c>
    </row>
    <row r="634" spans="1:9" hidden="1" outlineLevel="1" x14ac:dyDescent="0.25">
      <c r="A634" s="155"/>
      <c r="B634" s="255" t="s">
        <v>64</v>
      </c>
      <c r="C634" s="524"/>
      <c r="D634" s="525"/>
      <c r="E634" t="s">
        <v>64</v>
      </c>
      <c r="F634" s="175">
        <f>INDEX('IRAQ TO USGC'!$A$6:$J$23,MATCH(MAIN!E634,'IRAQ TO MED'!$A$6:$A$23,0),6)</f>
        <v>6.6666666666666666E-2</v>
      </c>
      <c r="G634" s="178">
        <f>INDEX('IRAQ TO USGC'!$A$6:$J$23,MATCH(MAIN!E634,'IRAQ TO MED'!$A$6:$A$23,0),8)</f>
        <v>6.6666666666666666E-2</v>
      </c>
      <c r="H634" s="176">
        <f>INDEX('IRAQ TO USGC'!$A$6:$J$23,MATCH(MAIN!E634,'IRAQ TO MED'!$A$6:$A$23,0),10)</f>
        <v>6.6666666666666666E-2</v>
      </c>
      <c r="I634" s="179" t="s">
        <v>64</v>
      </c>
    </row>
    <row r="635" spans="1:9" hidden="1" outlineLevel="1" x14ac:dyDescent="0.25">
      <c r="A635" s="155"/>
      <c r="B635" s="255" t="s">
        <v>100</v>
      </c>
      <c r="C635" s="524"/>
      <c r="D635" s="525"/>
      <c r="E635" t="s">
        <v>100</v>
      </c>
      <c r="F635" s="175">
        <f ca="1">INDEX('IRAQ TO USGC'!$A$6:$J$23,MATCH(MAIN!E635,'IRAQ TO MED'!$A$6:$A$23,0),6)</f>
        <v>36.137838288974109</v>
      </c>
      <c r="G635" s="178">
        <f ca="1">INDEX('IRAQ TO USGC'!$A$6:$J$23,MATCH(MAIN!E635,'IRAQ TO MED'!$A$6:$A$23,0),8)</f>
        <v>36.083024179385056</v>
      </c>
      <c r="H635" s="176">
        <f ca="1">INDEX('IRAQ TO USGC'!$A$6:$J$23,MATCH(MAIN!E635,'IRAQ TO MED'!$A$6:$A$23,0),10)</f>
        <v>36.083024179385056</v>
      </c>
      <c r="I635" s="179" t="s">
        <v>100</v>
      </c>
    </row>
    <row r="636" spans="1:9" hidden="1" outlineLevel="1" x14ac:dyDescent="0.25">
      <c r="A636" s="155"/>
      <c r="B636" s="255" t="s">
        <v>101</v>
      </c>
      <c r="C636" s="524"/>
      <c r="D636" s="525"/>
      <c r="E636" t="s">
        <v>101</v>
      </c>
      <c r="F636" s="175">
        <f ca="1">INDEX('IRAQ TO USGC'!$A$6:$J$23,MATCH(MAIN!E636,'IRAQ TO MED'!$A$6:$A$23,0),6)</f>
        <v>18.529299999999992</v>
      </c>
      <c r="G636" s="178">
        <f ca="1">INDEX('IRAQ TO USGC'!$A$6:$J$23,MATCH(MAIN!E636,'IRAQ TO MED'!$A$6:$A$23,0),8)</f>
        <v>16.367124999999994</v>
      </c>
      <c r="H636" s="176">
        <f ca="1">INDEX('IRAQ TO USGC'!$A$6:$J$23,MATCH(MAIN!E636,'IRAQ TO MED'!$A$6:$A$23,0),10)</f>
        <v>16.319499999999994</v>
      </c>
      <c r="I636" s="179" t="s">
        <v>101</v>
      </c>
    </row>
    <row r="637" spans="1:9" hidden="1" outlineLevel="1" x14ac:dyDescent="0.25">
      <c r="A637" s="155"/>
      <c r="B637" s="255" t="s">
        <v>113</v>
      </c>
      <c r="C637" s="524"/>
      <c r="D637" s="525"/>
      <c r="E637" t="s">
        <v>113</v>
      </c>
      <c r="F637" s="175">
        <f ca="1">INDEX('IRAQ TO USGC'!$A$6:$J$23,MATCH(MAIN!E637,'IRAQ TO MED'!$A$6:$A$23,0),6)</f>
        <v>-17.608538288974117</v>
      </c>
      <c r="G637" s="178">
        <f ca="1">INDEX('IRAQ TO USGC'!$A$6:$J$23,MATCH(MAIN!E637,'IRAQ TO MED'!$A$6:$A$23,0),8)</f>
        <v>-19.715899179385062</v>
      </c>
      <c r="H637" s="176">
        <f ca="1">INDEX('IRAQ TO USGC'!$A$6:$J$23,MATCH(MAIN!E637,'IRAQ TO MED'!$A$6:$A$23,0),10)</f>
        <v>-19.763524179385062</v>
      </c>
      <c r="I637" s="179" t="s">
        <v>113</v>
      </c>
    </row>
    <row r="638" spans="1:9" ht="15.75" hidden="1" outlineLevel="1" thickBot="1" x14ac:dyDescent="0.3">
      <c r="A638" s="155"/>
      <c r="B638" s="255" t="s">
        <v>126</v>
      </c>
      <c r="C638" s="524"/>
      <c r="D638" s="525"/>
      <c r="E638" t="s">
        <v>126</v>
      </c>
      <c r="F638" s="217">
        <f ca="1">F616</f>
        <v>45918</v>
      </c>
      <c r="G638" s="217">
        <f ca="1">G616</f>
        <v>45932</v>
      </c>
      <c r="H638" s="217">
        <f ca="1">H616</f>
        <v>45946</v>
      </c>
      <c r="I638" s="220" t="str">
        <f>I612</f>
        <v>ROLL</v>
      </c>
    </row>
    <row r="639" spans="1:9" collapsed="1" x14ac:dyDescent="0.25"/>
  </sheetData>
  <dataConsolidate/>
  <mergeCells count="71">
    <mergeCell ref="C592:D614"/>
    <mergeCell ref="C616:D638"/>
    <mergeCell ref="C541:D563"/>
    <mergeCell ref="C565:D587"/>
    <mergeCell ref="A590:A591"/>
    <mergeCell ref="C590:D590"/>
    <mergeCell ref="F590:H590"/>
    <mergeCell ref="C490:D512"/>
    <mergeCell ref="C514:D536"/>
    <mergeCell ref="A539:A540"/>
    <mergeCell ref="C539:D539"/>
    <mergeCell ref="F539:H539"/>
    <mergeCell ref="C439:D461"/>
    <mergeCell ref="C463:D485"/>
    <mergeCell ref="A488:A489"/>
    <mergeCell ref="C488:D488"/>
    <mergeCell ref="F488:H488"/>
    <mergeCell ref="J386:L386"/>
    <mergeCell ref="C388:D410"/>
    <mergeCell ref="C412:D434"/>
    <mergeCell ref="A437:A438"/>
    <mergeCell ref="C437:D437"/>
    <mergeCell ref="F437:H437"/>
    <mergeCell ref="J437:L437"/>
    <mergeCell ref="C337:D359"/>
    <mergeCell ref="C361:D383"/>
    <mergeCell ref="A386:A387"/>
    <mergeCell ref="C386:D386"/>
    <mergeCell ref="F386:H386"/>
    <mergeCell ref="C310:D332"/>
    <mergeCell ref="A335:A336"/>
    <mergeCell ref="C335:D335"/>
    <mergeCell ref="F335:H335"/>
    <mergeCell ref="J335:L335"/>
    <mergeCell ref="A284:A285"/>
    <mergeCell ref="C284:D284"/>
    <mergeCell ref="F284:H284"/>
    <mergeCell ref="J284:L284"/>
    <mergeCell ref="C286:D308"/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  <mergeCell ref="A175:A176"/>
    <mergeCell ref="C175:D175"/>
    <mergeCell ref="F175:H175"/>
    <mergeCell ref="J175:L175"/>
    <mergeCell ref="C177:D199"/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</mergeCells>
  <conditionalFormatting sqref="C7:D7 F7:L7 C29:L29">
    <cfRule type="cellIs" dxfId="71" priority="78" operator="greaterThan">
      <formula>-0.01</formula>
    </cfRule>
    <cfRule type="cellIs" dxfId="70" priority="77" operator="lessThan">
      <formula>-2.5</formula>
    </cfRule>
    <cfRule type="cellIs" dxfId="69" priority="76" operator="between">
      <formula>-2.5</formula>
      <formula>0.01</formula>
    </cfRule>
  </conditionalFormatting>
  <conditionalFormatting sqref="C54:L54 C76:D76 F76:L76">
    <cfRule type="cellIs" dxfId="68" priority="74" operator="lessThan">
      <formula>-2.5</formula>
    </cfRule>
    <cfRule type="cellIs" dxfId="67" priority="73" operator="between">
      <formula>-2.5</formula>
      <formula>0.01</formula>
    </cfRule>
    <cfRule type="cellIs" dxfId="66" priority="75" operator="greaterThan">
      <formula>-0.01</formula>
    </cfRule>
  </conditionalFormatting>
  <conditionalFormatting sqref="E205 I205:I206">
    <cfRule type="cellIs" dxfId="65" priority="56" operator="lessThan">
      <formula>-2.5</formula>
    </cfRule>
    <cfRule type="cellIs" dxfId="64" priority="57" operator="greaterThan">
      <formula>-0.01</formula>
    </cfRule>
    <cfRule type="cellIs" dxfId="63" priority="55" operator="between">
      <formula>-2.5</formula>
      <formula>0.01</formula>
    </cfRule>
  </conditionalFormatting>
  <conditionalFormatting sqref="E103:L103 E125:L125">
    <cfRule type="cellIs" dxfId="62" priority="72" operator="greaterThan">
      <formula>-0.01</formula>
    </cfRule>
    <cfRule type="cellIs" dxfId="61" priority="71" operator="lessThan">
      <formula>-2.5</formula>
    </cfRule>
    <cfRule type="cellIs" dxfId="60" priority="70" operator="between">
      <formula>-2.5</formula>
      <formula>0.01</formula>
    </cfRule>
  </conditionalFormatting>
  <conditionalFormatting sqref="E178:L178">
    <cfRule type="cellIs" dxfId="59" priority="63" operator="greaterThan">
      <formula>-0.01</formula>
    </cfRule>
    <cfRule type="cellIs" dxfId="58" priority="62" operator="lessThan">
      <formula>-2.5</formula>
    </cfRule>
    <cfRule type="cellIs" dxfId="57" priority="61" operator="between">
      <formula>-2.5</formula>
      <formula>0.01</formula>
    </cfRule>
  </conditionalFormatting>
  <conditionalFormatting sqref="F491:I491">
    <cfRule type="cellIs" dxfId="56" priority="20" operator="lessThan">
      <formula>-2.5</formula>
    </cfRule>
    <cfRule type="cellIs" dxfId="55" priority="19" operator="between">
      <formula>-2.5</formula>
      <formula>0.01</formula>
    </cfRule>
    <cfRule type="cellIs" dxfId="54" priority="21" operator="greaterThan">
      <formula>-0.01</formula>
    </cfRule>
  </conditionalFormatting>
  <conditionalFormatting sqref="F515:I515">
    <cfRule type="cellIs" dxfId="53" priority="16" operator="between">
      <formula>-2.5</formula>
      <formula>0.01</formula>
    </cfRule>
    <cfRule type="cellIs" dxfId="52" priority="17" operator="lessThan">
      <formula>-2.5</formula>
    </cfRule>
    <cfRule type="cellIs" dxfId="51" priority="18" operator="greaterThan">
      <formula>-0.01</formula>
    </cfRule>
  </conditionalFormatting>
  <conditionalFormatting sqref="F542:I542">
    <cfRule type="cellIs" dxfId="50" priority="13" operator="between">
      <formula>-2.5</formula>
      <formula>0.01</formula>
    </cfRule>
    <cfRule type="cellIs" dxfId="49" priority="14" operator="lessThan">
      <formula>-2.5</formula>
    </cfRule>
    <cfRule type="cellIs" dxfId="48" priority="15" operator="greaterThan">
      <formula>-0.01</formula>
    </cfRule>
  </conditionalFormatting>
  <conditionalFormatting sqref="F566:I566">
    <cfRule type="cellIs" dxfId="47" priority="2" operator="lessThan">
      <formula>-2.5</formula>
    </cfRule>
    <cfRule type="cellIs" dxfId="46" priority="3" operator="greaterThan">
      <formula>-0.01</formula>
    </cfRule>
    <cfRule type="cellIs" dxfId="45" priority="1" operator="between">
      <formula>-2.5</formula>
      <formula>0.01</formula>
    </cfRule>
  </conditionalFormatting>
  <conditionalFormatting sqref="F593:I593">
    <cfRule type="cellIs" dxfId="44" priority="9" operator="greaterThan">
      <formula>-0.01</formula>
    </cfRule>
    <cfRule type="cellIs" dxfId="43" priority="7" operator="between">
      <formula>-2.5</formula>
      <formula>0.01</formula>
    </cfRule>
    <cfRule type="cellIs" dxfId="42" priority="8" operator="lessThan">
      <formula>-2.5</formula>
    </cfRule>
  </conditionalFormatting>
  <conditionalFormatting sqref="F617:I617">
    <cfRule type="cellIs" dxfId="41" priority="5" operator="lessThan">
      <formula>-2.5</formula>
    </cfRule>
    <cfRule type="cellIs" dxfId="40" priority="6" operator="greaterThan">
      <formula>-0.01</formula>
    </cfRule>
    <cfRule type="cellIs" dxfId="39" priority="4" operator="between">
      <formula>-2.5</formula>
      <formula>0.01</formula>
    </cfRule>
  </conditionalFormatting>
  <conditionalFormatting sqref="F152:L152">
    <cfRule type="cellIs" dxfId="38" priority="66" operator="greaterThan">
      <formula>-0.01</formula>
    </cfRule>
    <cfRule type="cellIs" dxfId="37" priority="65" operator="lessThan">
      <formula>-2.5</formula>
    </cfRule>
    <cfRule type="cellIs" dxfId="36" priority="64" operator="between">
      <formula>-2.5</formula>
      <formula>0.01</formula>
    </cfRule>
  </conditionalFormatting>
  <conditionalFormatting sqref="F207:L207">
    <cfRule type="cellIs" dxfId="35" priority="53" operator="lessThan">
      <formula>-2.5</formula>
    </cfRule>
    <cfRule type="cellIs" dxfId="34" priority="52" operator="between">
      <formula>-2.5</formula>
      <formula>0.01</formula>
    </cfRule>
    <cfRule type="cellIs" dxfId="33" priority="54" operator="greaterThan">
      <formula>-0.01</formula>
    </cfRule>
  </conditionalFormatting>
  <conditionalFormatting sqref="F235:L235">
    <cfRule type="cellIs" dxfId="32" priority="51" operator="greaterThan">
      <formula>-0.01</formula>
    </cfRule>
    <cfRule type="cellIs" dxfId="31" priority="49" operator="between">
      <formula>-2.5</formula>
      <formula>0.01</formula>
    </cfRule>
    <cfRule type="cellIs" dxfId="30" priority="50" operator="lessThan">
      <formula>-2.5</formula>
    </cfRule>
  </conditionalFormatting>
  <conditionalFormatting sqref="F259:L259">
    <cfRule type="cellIs" dxfId="29" priority="47" operator="lessThan">
      <formula>-2.5</formula>
    </cfRule>
    <cfRule type="cellIs" dxfId="28" priority="46" operator="between">
      <formula>-2.5</formula>
      <formula>0.01</formula>
    </cfRule>
    <cfRule type="cellIs" dxfId="27" priority="48" operator="greaterThan">
      <formula>-0.01</formula>
    </cfRule>
  </conditionalFormatting>
  <conditionalFormatting sqref="F287:L287">
    <cfRule type="cellIs" dxfId="26" priority="45" operator="greaterThan">
      <formula>-0.01</formula>
    </cfRule>
    <cfRule type="cellIs" dxfId="25" priority="44" operator="lessThan">
      <formula>-2.5</formula>
    </cfRule>
    <cfRule type="cellIs" dxfId="24" priority="43" operator="between">
      <formula>-2.5</formula>
      <formula>0.01</formula>
    </cfRule>
  </conditionalFormatting>
  <conditionalFormatting sqref="F311:L311">
    <cfRule type="cellIs" dxfId="23" priority="40" operator="between">
      <formula>-2.5</formula>
      <formula>0.01</formula>
    </cfRule>
    <cfRule type="cellIs" dxfId="22" priority="41" operator="lessThan">
      <formula>-2.5</formula>
    </cfRule>
    <cfRule type="cellIs" dxfId="21" priority="42" operator="greaterThan">
      <formula>-0.01</formula>
    </cfRule>
  </conditionalFormatting>
  <conditionalFormatting sqref="F338:L338">
    <cfRule type="cellIs" dxfId="20" priority="39" operator="greaterThan">
      <formula>-0.01</formula>
    </cfRule>
    <cfRule type="cellIs" dxfId="19" priority="37" operator="between">
      <formula>-2.5</formula>
      <formula>0.01</formula>
    </cfRule>
    <cfRule type="cellIs" dxfId="18" priority="38" operator="lessThan">
      <formula>-2.5</formula>
    </cfRule>
  </conditionalFormatting>
  <conditionalFormatting sqref="F362:L362">
    <cfRule type="cellIs" dxfId="17" priority="36" operator="greaterThan">
      <formula>-0.01</formula>
    </cfRule>
    <cfRule type="cellIs" dxfId="16" priority="35" operator="lessThan">
      <formula>-2.5</formula>
    </cfRule>
    <cfRule type="cellIs" dxfId="15" priority="34" operator="between">
      <formula>-2.5</formula>
      <formula>0.01</formula>
    </cfRule>
  </conditionalFormatting>
  <conditionalFormatting sqref="F389:L389">
    <cfRule type="cellIs" dxfId="14" priority="33" operator="greaterThan">
      <formula>-0.01</formula>
    </cfRule>
    <cfRule type="cellIs" dxfId="13" priority="32" operator="lessThan">
      <formula>-2.5</formula>
    </cfRule>
    <cfRule type="cellIs" dxfId="12" priority="31" operator="between">
      <formula>-2.5</formula>
      <formula>0.01</formula>
    </cfRule>
  </conditionalFormatting>
  <conditionalFormatting sqref="F413:L413">
    <cfRule type="cellIs" dxfId="11" priority="30" operator="greaterThan">
      <formula>-0.01</formula>
    </cfRule>
    <cfRule type="cellIs" dxfId="10" priority="29" operator="lessThan">
      <formula>-2.5</formula>
    </cfRule>
    <cfRule type="cellIs" dxfId="9" priority="28" operator="between">
      <formula>-2.5</formula>
      <formula>0.01</formula>
    </cfRule>
  </conditionalFormatting>
  <conditionalFormatting sqref="F440:L440">
    <cfRule type="cellIs" dxfId="8" priority="27" operator="greaterThan">
      <formula>-0.01</formula>
    </cfRule>
    <cfRule type="cellIs" dxfId="7" priority="26" operator="lessThan">
      <formula>-2.5</formula>
    </cfRule>
    <cfRule type="cellIs" dxfId="6" priority="25" operator="between">
      <formula>-2.5</formula>
      <formula>0.01</formula>
    </cfRule>
  </conditionalFormatting>
  <conditionalFormatting sqref="F464:L464">
    <cfRule type="cellIs" dxfId="5" priority="22" operator="between">
      <formula>-2.5</formula>
      <formula>0.01</formula>
    </cfRule>
    <cfRule type="cellIs" dxfId="4" priority="23" operator="lessThan">
      <formula>-2.5</formula>
    </cfRule>
    <cfRule type="cellIs" dxfId="3" priority="24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7"/>
  <sheetViews>
    <sheetView workbookViewId="0">
      <selection activeCell="M26" sqref="M26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560" t="s">
        <v>114</v>
      </c>
      <c r="B1" s="560"/>
      <c r="C1" s="560"/>
      <c r="J1" s="561" t="s">
        <v>121</v>
      </c>
      <c r="K1" s="561"/>
    </row>
    <row r="2" spans="1:22" x14ac:dyDescent="0.25">
      <c r="A2" s="136"/>
      <c r="B2" s="141">
        <v>45901</v>
      </c>
      <c r="C2" s="141">
        <v>45931</v>
      </c>
      <c r="D2" s="141">
        <v>45962</v>
      </c>
      <c r="J2" t="s">
        <v>117</v>
      </c>
      <c r="K2" t="s">
        <v>118</v>
      </c>
      <c r="O2" s="143" t="s">
        <v>119</v>
      </c>
    </row>
    <row r="3" spans="1:22" x14ac:dyDescent="0.25">
      <c r="A3" s="137" t="s">
        <v>281</v>
      </c>
      <c r="J3" s="2">
        <f ca="1">'Loading Arrival'!B3</f>
        <v>45925</v>
      </c>
      <c r="K3" s="2">
        <f ca="1">EOMONTH(J3,-1)+1</f>
        <v>45901</v>
      </c>
      <c r="O3" s="144" t="s">
        <v>154</v>
      </c>
    </row>
    <row r="4" spans="1:22" x14ac:dyDescent="0.25">
      <c r="A4" t="s">
        <v>280</v>
      </c>
      <c r="B4" s="142">
        <v>3</v>
      </c>
      <c r="C4" s="142">
        <v>3</v>
      </c>
      <c r="D4" s="142">
        <v>3</v>
      </c>
      <c r="J4" s="2">
        <f ca="1">'Loading Arrival'!C3</f>
        <v>45939</v>
      </c>
      <c r="K4" s="2">
        <f t="shared" ref="K4:K8" ca="1" si="0">EOMONTH(J4,-1)+1</f>
        <v>45931</v>
      </c>
      <c r="O4" s="144" t="s">
        <v>155</v>
      </c>
    </row>
    <row r="5" spans="1:22" x14ac:dyDescent="0.25">
      <c r="A5" t="s">
        <v>279</v>
      </c>
      <c r="B5" s="142">
        <v>0.77</v>
      </c>
      <c r="C5" s="142">
        <v>0.77</v>
      </c>
      <c r="D5" s="142">
        <v>0.77</v>
      </c>
      <c r="E5" s="142"/>
      <c r="J5" s="2">
        <f ca="1">'Loading Arrival'!D3</f>
        <v>45953</v>
      </c>
      <c r="K5" s="2">
        <f ca="1">EOMONTH(J5,-1)+1</f>
        <v>45931</v>
      </c>
      <c r="O5" s="144" t="s">
        <v>120</v>
      </c>
    </row>
    <row r="6" spans="1:22" x14ac:dyDescent="0.25">
      <c r="A6" t="s">
        <v>40</v>
      </c>
      <c r="B6" s="142">
        <v>-28</v>
      </c>
      <c r="C6" s="142">
        <v>-28</v>
      </c>
      <c r="D6" s="142">
        <v>-28</v>
      </c>
      <c r="J6" s="2">
        <f ca="1">'Loading Arrival'!B11</f>
        <v>45918</v>
      </c>
      <c r="K6" s="2">
        <f t="shared" ca="1" si="0"/>
        <v>45901</v>
      </c>
    </row>
    <row r="7" spans="1:22" x14ac:dyDescent="0.25">
      <c r="A7" s="138" t="s">
        <v>42</v>
      </c>
      <c r="B7" s="142"/>
      <c r="C7" s="142"/>
      <c r="D7" s="142"/>
      <c r="J7" s="2">
        <f ca="1">'Loading Arrival'!C11</f>
        <v>45932</v>
      </c>
      <c r="K7" s="2">
        <f t="shared" ca="1" si="0"/>
        <v>45931</v>
      </c>
    </row>
    <row r="8" spans="1:22" x14ac:dyDescent="0.25">
      <c r="A8" t="s">
        <v>282</v>
      </c>
      <c r="B8" s="142">
        <v>0.6</v>
      </c>
      <c r="C8" s="142">
        <v>0.6</v>
      </c>
      <c r="D8" s="142">
        <v>0.6</v>
      </c>
      <c r="J8" s="2">
        <f ca="1">'Loading Arrival'!D11</f>
        <v>45946</v>
      </c>
      <c r="K8" s="2">
        <f t="shared" ca="1" si="0"/>
        <v>45931</v>
      </c>
    </row>
    <row r="9" spans="1:22" x14ac:dyDescent="0.25">
      <c r="A9" s="1" t="s">
        <v>284</v>
      </c>
      <c r="B9" s="142">
        <v>-1.75</v>
      </c>
      <c r="C9" s="142">
        <v>-1.75</v>
      </c>
      <c r="D9" s="142">
        <v>-1.75</v>
      </c>
    </row>
    <row r="10" spans="1:22" x14ac:dyDescent="0.25">
      <c r="A10" s="139" t="s">
        <v>43</v>
      </c>
      <c r="B10" s="142"/>
      <c r="J10" s="561" t="s">
        <v>122</v>
      </c>
      <c r="K10" s="561"/>
    </row>
    <row r="11" spans="1:22" x14ac:dyDescent="0.25">
      <c r="A11" t="s">
        <v>136</v>
      </c>
      <c r="B11" s="142">
        <f>B4-27.67</f>
        <v>-24.67</v>
      </c>
      <c r="C11" s="142">
        <f t="shared" ref="C11:D11" si="1">C4-27.67</f>
        <v>-24.67</v>
      </c>
      <c r="D11" s="142">
        <f t="shared" si="1"/>
        <v>-24.67</v>
      </c>
      <c r="J11" t="s">
        <v>117</v>
      </c>
      <c r="K11" t="s">
        <v>118</v>
      </c>
      <c r="O11" s="143" t="s">
        <v>119</v>
      </c>
    </row>
    <row r="12" spans="1:22" x14ac:dyDescent="0.25">
      <c r="A12" s="1" t="s">
        <v>137</v>
      </c>
      <c r="B12" s="142">
        <f>B11-5</f>
        <v>-29.67</v>
      </c>
      <c r="C12" s="142">
        <f t="shared" ref="C12:D12" si="2">C11-5</f>
        <v>-29.67</v>
      </c>
      <c r="D12" s="142">
        <f t="shared" si="2"/>
        <v>-29.67</v>
      </c>
      <c r="J12" s="2">
        <f ca="1">'Loading Arrival'!B9</f>
        <v>45964</v>
      </c>
      <c r="K12" s="2">
        <f t="shared" ref="K12:K13" ca="1" si="3">EOMONTH(J12,-1)+1</f>
        <v>45962</v>
      </c>
      <c r="O12" s="144" t="s">
        <v>154</v>
      </c>
    </row>
    <row r="13" spans="1:22" x14ac:dyDescent="0.25">
      <c r="A13" s="434" t="s">
        <v>222</v>
      </c>
      <c r="J13" s="2">
        <f ca="1">'Loading Arrival'!C9</f>
        <v>45978</v>
      </c>
      <c r="K13" s="2">
        <f t="shared" ca="1" si="3"/>
        <v>45962</v>
      </c>
      <c r="O13" s="144" t="s">
        <v>155</v>
      </c>
      <c r="T13">
        <v>840</v>
      </c>
    </row>
    <row r="14" spans="1:22" x14ac:dyDescent="0.25">
      <c r="A14" t="s">
        <v>227</v>
      </c>
      <c r="B14">
        <v>1.65</v>
      </c>
      <c r="C14">
        <v>0.95</v>
      </c>
      <c r="D14">
        <v>0.6</v>
      </c>
      <c r="J14" s="2">
        <f ca="1">'Loading Arrival'!B17</f>
        <v>45956</v>
      </c>
      <c r="K14" s="2">
        <f t="shared" ref="K14:K25" ca="1" si="4">EOMONTH(J14,-1)+1</f>
        <v>45931</v>
      </c>
      <c r="O14" s="144" t="s">
        <v>156</v>
      </c>
      <c r="R14" t="s">
        <v>145</v>
      </c>
      <c r="S14" t="s">
        <v>146</v>
      </c>
      <c r="T14" t="s">
        <v>32</v>
      </c>
      <c r="U14" t="s">
        <v>147</v>
      </c>
      <c r="V14" t="s">
        <v>144</v>
      </c>
    </row>
    <row r="15" spans="1:22" x14ac:dyDescent="0.25">
      <c r="A15" t="s">
        <v>228</v>
      </c>
      <c r="B15">
        <v>1.3</v>
      </c>
      <c r="C15">
        <v>0.4</v>
      </c>
      <c r="D15">
        <v>0.3</v>
      </c>
      <c r="J15" s="2">
        <f ca="1">'Loading Arrival'!C17</f>
        <v>45970</v>
      </c>
      <c r="K15" s="2">
        <f t="shared" ca="1" si="4"/>
        <v>45962</v>
      </c>
      <c r="O15" s="144" t="s">
        <v>120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36" t="s">
        <v>230</v>
      </c>
      <c r="J16" s="2">
        <f ca="1">'Loading Arrival'!D17</f>
        <v>45984</v>
      </c>
      <c r="K16" s="2">
        <f t="shared" ca="1" si="4"/>
        <v>45962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231</v>
      </c>
      <c r="B17">
        <v>-7.25</v>
      </c>
      <c r="C17">
        <v>-7.25</v>
      </c>
      <c r="D17">
        <v>-8.5</v>
      </c>
      <c r="J17" s="2">
        <f ca="1">'Loading Arrival'!B26</f>
        <v>45937</v>
      </c>
      <c r="K17" s="2">
        <f t="shared" ca="1" si="4"/>
        <v>45931</v>
      </c>
    </row>
    <row r="18" spans="1:22" x14ac:dyDescent="0.25">
      <c r="A18" t="s">
        <v>232</v>
      </c>
      <c r="B18">
        <v>-2</v>
      </c>
      <c r="C18">
        <v>0</v>
      </c>
      <c r="D18">
        <v>0</v>
      </c>
      <c r="J18" s="2">
        <f ca="1">'Loading Arrival'!C26</f>
        <v>45951</v>
      </c>
      <c r="K18" s="2">
        <f t="shared" ca="1" si="4"/>
        <v>45931</v>
      </c>
      <c r="U18" t="s">
        <v>148</v>
      </c>
      <c r="V18" s="142">
        <f>(R15*V15+R16*V16)/SUM(R15:R16)</f>
        <v>-26.47582688689107</v>
      </c>
    </row>
    <row r="19" spans="1:22" x14ac:dyDescent="0.25">
      <c r="J19" s="2">
        <f ca="1">'Loading Arrival'!D26</f>
        <v>45965</v>
      </c>
      <c r="K19" s="2">
        <f t="shared" ca="1" si="4"/>
        <v>45962</v>
      </c>
    </row>
    <row r="20" spans="1:22" x14ac:dyDescent="0.25">
      <c r="A20" s="560" t="s">
        <v>115</v>
      </c>
      <c r="B20" s="560"/>
      <c r="C20" s="560"/>
      <c r="J20" s="2">
        <f ca="1">'Loading Arrival'!B35</f>
        <v>45953</v>
      </c>
      <c r="K20" s="2">
        <f t="shared" ca="1" si="4"/>
        <v>45931</v>
      </c>
    </row>
    <row r="21" spans="1:22" x14ac:dyDescent="0.25">
      <c r="B21" s="141">
        <v>45901</v>
      </c>
      <c r="C21" s="141">
        <v>45931</v>
      </c>
      <c r="D21" s="141">
        <v>45962</v>
      </c>
      <c r="J21" s="2">
        <f ca="1">'Loading Arrival'!C35</f>
        <v>45967</v>
      </c>
      <c r="K21" s="2">
        <f t="shared" ca="1" si="4"/>
        <v>45962</v>
      </c>
    </row>
    <row r="22" spans="1:22" x14ac:dyDescent="0.25">
      <c r="A22" s="137" t="s">
        <v>116</v>
      </c>
      <c r="J22" s="2">
        <f ca="1">'Loading Arrival'!D35</f>
        <v>45981</v>
      </c>
      <c r="K22" s="2">
        <f t="shared" ca="1" si="4"/>
        <v>45962</v>
      </c>
    </row>
    <row r="23" spans="1:22" x14ac:dyDescent="0.25">
      <c r="A23" t="s">
        <v>280</v>
      </c>
      <c r="B23" s="142">
        <v>3</v>
      </c>
      <c r="C23" s="142">
        <v>3</v>
      </c>
      <c r="D23" s="142">
        <v>3</v>
      </c>
      <c r="J23" s="2">
        <f ca="1">'Loading Arrival'!B44</f>
        <v>45930</v>
      </c>
      <c r="K23" s="2">
        <f t="shared" ca="1" si="4"/>
        <v>45901</v>
      </c>
    </row>
    <row r="24" spans="1:22" x14ac:dyDescent="0.25">
      <c r="A24" t="s">
        <v>279</v>
      </c>
      <c r="B24" s="142">
        <v>0.77</v>
      </c>
      <c r="C24" s="142">
        <v>0.77</v>
      </c>
      <c r="D24" s="142">
        <v>0.77</v>
      </c>
      <c r="J24" s="2">
        <f ca="1">'Loading Arrival'!C44</f>
        <v>45944</v>
      </c>
      <c r="K24" s="2">
        <f t="shared" ca="1" si="4"/>
        <v>45931</v>
      </c>
    </row>
    <row r="25" spans="1:22" x14ac:dyDescent="0.25">
      <c r="A25" t="s">
        <v>40</v>
      </c>
      <c r="B25" s="142">
        <v>-5</v>
      </c>
      <c r="C25" s="142">
        <v>-5</v>
      </c>
      <c r="D25" s="142">
        <v>-4</v>
      </c>
      <c r="J25" s="2">
        <f ca="1">'Loading Arrival'!D44</f>
        <v>45958</v>
      </c>
      <c r="K25" s="2">
        <f t="shared" ca="1" si="4"/>
        <v>45931</v>
      </c>
    </row>
    <row r="26" spans="1:22" x14ac:dyDescent="0.25">
      <c r="A26" s="137" t="s">
        <v>283</v>
      </c>
      <c r="B26" s="142"/>
      <c r="C26" s="142"/>
      <c r="S26" t="s">
        <v>223</v>
      </c>
    </row>
    <row r="27" spans="1:22" x14ac:dyDescent="0.25">
      <c r="A27" t="s">
        <v>282</v>
      </c>
      <c r="B27" s="142">
        <v>0.6</v>
      </c>
      <c r="C27" s="142">
        <v>0.6</v>
      </c>
      <c r="D27" s="142">
        <v>0.6</v>
      </c>
      <c r="S27" t="s">
        <v>229</v>
      </c>
    </row>
    <row r="28" spans="1:22" ht="14.25" customHeight="1" x14ac:dyDescent="0.25">
      <c r="A28" s="140" t="s">
        <v>284</v>
      </c>
      <c r="B28" s="142">
        <v>-1.75</v>
      </c>
      <c r="C28" s="142">
        <v>-1.75</v>
      </c>
      <c r="D28" s="142">
        <v>-1.75</v>
      </c>
      <c r="P28" t="s">
        <v>224</v>
      </c>
    </row>
    <row r="29" spans="1:22" x14ac:dyDescent="0.25">
      <c r="A29" s="434" t="s">
        <v>222</v>
      </c>
      <c r="B29" s="142"/>
      <c r="P29">
        <v>3</v>
      </c>
      <c r="Q29">
        <v>0.5</v>
      </c>
    </row>
    <row r="30" spans="1:22" x14ac:dyDescent="0.25">
      <c r="A30" t="s">
        <v>227</v>
      </c>
      <c r="B30">
        <v>1.65</v>
      </c>
      <c r="C30">
        <v>0.95</v>
      </c>
      <c r="D30">
        <v>0.6</v>
      </c>
    </row>
    <row r="31" spans="1:22" x14ac:dyDescent="0.25">
      <c r="A31" t="s">
        <v>228</v>
      </c>
      <c r="B31">
        <v>1.3</v>
      </c>
      <c r="C31">
        <v>0.4</v>
      </c>
      <c r="D31">
        <v>0.3</v>
      </c>
    </row>
    <row r="32" spans="1:22" x14ac:dyDescent="0.25">
      <c r="A32" s="436" t="s">
        <v>230</v>
      </c>
    </row>
    <row r="33" spans="1:9" x14ac:dyDescent="0.25">
      <c r="A33" t="s">
        <v>231</v>
      </c>
      <c r="B33">
        <v>-7.25</v>
      </c>
      <c r="C33">
        <v>-7.25</v>
      </c>
      <c r="D33">
        <v>-8.5</v>
      </c>
    </row>
    <row r="34" spans="1:9" x14ac:dyDescent="0.25">
      <c r="A34" t="s">
        <v>232</v>
      </c>
      <c r="B34">
        <v>-2</v>
      </c>
      <c r="C34">
        <v>0</v>
      </c>
      <c r="D34">
        <v>0</v>
      </c>
    </row>
    <row r="35" spans="1:9" x14ac:dyDescent="0.25">
      <c r="A35" s="520" t="s">
        <v>275</v>
      </c>
    </row>
    <row r="36" spans="1:9" x14ac:dyDescent="0.25">
      <c r="A36" t="s">
        <v>276</v>
      </c>
      <c r="B36">
        <v>2.5</v>
      </c>
      <c r="C36">
        <v>2.5</v>
      </c>
      <c r="D36">
        <v>2.5</v>
      </c>
    </row>
    <row r="37" spans="1:9" x14ac:dyDescent="0.25">
      <c r="A37" s="521" t="s">
        <v>277</v>
      </c>
      <c r="B37">
        <v>2.5</v>
      </c>
      <c r="C37">
        <v>2.5</v>
      </c>
      <c r="D37">
        <v>2.5</v>
      </c>
      <c r="I37" t="s">
        <v>278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G24"/>
  <sheetViews>
    <sheetView workbookViewId="0">
      <selection activeCell="B12" activeCellId="1" sqref="B14 B12"/>
    </sheetView>
  </sheetViews>
  <sheetFormatPr defaultRowHeight="15" x14ac:dyDescent="0.25"/>
  <cols>
    <col min="1" max="1" width="26.5703125" bestFit="1" customWidth="1"/>
    <col min="2" max="2" width="14.28515625" bestFit="1" customWidth="1"/>
    <col min="4" max="4" width="8.42578125" bestFit="1" customWidth="1"/>
    <col min="5" max="5" width="16" bestFit="1" customWidth="1"/>
    <col min="6" max="6" width="11.140625" customWidth="1"/>
    <col min="19" max="19" width="29.42578125" bestFit="1" customWidth="1"/>
    <col min="20" max="20" width="11.7109375" bestFit="1" customWidth="1"/>
  </cols>
  <sheetData>
    <row r="1" spans="1:7" ht="15.75" thickBot="1" x14ac:dyDescent="0.3">
      <c r="A1" s="87" t="s">
        <v>65</v>
      </c>
      <c r="B1" s="88" t="s">
        <v>66</v>
      </c>
      <c r="C1" s="89"/>
      <c r="D1" s="97" t="s">
        <v>67</v>
      </c>
      <c r="E1" s="90" t="s">
        <v>68</v>
      </c>
      <c r="F1" s="90" t="s">
        <v>249</v>
      </c>
      <c r="G1" s="90" t="s">
        <v>57</v>
      </c>
    </row>
    <row r="2" spans="1:7" x14ac:dyDescent="0.25">
      <c r="A2" s="101" t="s">
        <v>74</v>
      </c>
      <c r="B2" s="210">
        <v>4200000</v>
      </c>
      <c r="C2" s="223"/>
      <c r="D2" s="98">
        <f>B2/100000</f>
        <v>42</v>
      </c>
      <c r="E2" s="91">
        <v>42500</v>
      </c>
      <c r="F2" s="91"/>
      <c r="G2" s="92">
        <v>0</v>
      </c>
    </row>
    <row r="3" spans="1:7" x14ac:dyDescent="0.25">
      <c r="A3" s="101" t="s">
        <v>75</v>
      </c>
      <c r="B3" s="208">
        <v>4900000</v>
      </c>
      <c r="C3" s="224"/>
      <c r="D3" s="98">
        <f>B3/150000</f>
        <v>32.666666666666664</v>
      </c>
      <c r="E3" s="91">
        <v>57500</v>
      </c>
      <c r="F3" s="91"/>
      <c r="G3" s="92">
        <v>0</v>
      </c>
    </row>
    <row r="4" spans="1:7" x14ac:dyDescent="0.25">
      <c r="A4" s="101" t="s">
        <v>76</v>
      </c>
      <c r="B4" s="208">
        <v>4600000</v>
      </c>
      <c r="C4" s="224"/>
      <c r="D4" s="98">
        <f>B4/100000</f>
        <v>46</v>
      </c>
      <c r="E4" s="91">
        <v>42500</v>
      </c>
      <c r="F4" s="91"/>
      <c r="G4" s="92">
        <v>0</v>
      </c>
    </row>
    <row r="5" spans="1:7" x14ac:dyDescent="0.25">
      <c r="A5" s="101" t="s">
        <v>77</v>
      </c>
      <c r="B5" s="208">
        <v>5100000</v>
      </c>
      <c r="C5" s="224"/>
      <c r="D5" s="98">
        <f>B5/150000</f>
        <v>34</v>
      </c>
      <c r="E5" s="91">
        <v>57500</v>
      </c>
      <c r="F5" s="91"/>
      <c r="G5" s="92">
        <v>0</v>
      </c>
    </row>
    <row r="6" spans="1:7" x14ac:dyDescent="0.25">
      <c r="A6" s="101" t="s">
        <v>78</v>
      </c>
      <c r="B6" s="208">
        <v>5600000</v>
      </c>
      <c r="C6" s="224"/>
      <c r="D6" s="98">
        <f>B6/270000</f>
        <v>20.74074074074074</v>
      </c>
      <c r="E6" s="91">
        <v>55000</v>
      </c>
      <c r="F6" s="91"/>
      <c r="G6" s="92" t="s">
        <v>69</v>
      </c>
    </row>
    <row r="7" spans="1:7" x14ac:dyDescent="0.25">
      <c r="A7" s="208"/>
      <c r="B7" s="208"/>
      <c r="C7" s="224"/>
      <c r="D7" s="99"/>
      <c r="E7" s="91"/>
      <c r="F7" s="91"/>
      <c r="G7" s="93"/>
    </row>
    <row r="8" spans="1:7" x14ac:dyDescent="0.25">
      <c r="A8" s="101" t="s">
        <v>70</v>
      </c>
      <c r="B8" s="208">
        <v>3700000</v>
      </c>
      <c r="C8" s="224"/>
      <c r="D8" s="98">
        <f>B8/100000</f>
        <v>37</v>
      </c>
      <c r="E8" s="91">
        <v>42500</v>
      </c>
      <c r="F8" s="91"/>
      <c r="G8" s="94">
        <v>0</v>
      </c>
    </row>
    <row r="9" spans="1:7" x14ac:dyDescent="0.25">
      <c r="A9" s="101" t="s">
        <v>71</v>
      </c>
      <c r="B9" s="208">
        <v>4600000</v>
      </c>
      <c r="C9" s="224"/>
      <c r="D9" s="98">
        <f>B9/150000</f>
        <v>30.666666666666668</v>
      </c>
      <c r="E9" s="91">
        <v>57000</v>
      </c>
      <c r="F9" s="91"/>
      <c r="G9" s="94">
        <v>0</v>
      </c>
    </row>
    <row r="10" spans="1:7" x14ac:dyDescent="0.25">
      <c r="A10" s="101" t="s">
        <v>72</v>
      </c>
      <c r="B10" s="208">
        <v>4300000</v>
      </c>
      <c r="C10" s="224"/>
      <c r="D10" s="98">
        <f>B10/100000</f>
        <v>43</v>
      </c>
      <c r="E10" s="91">
        <v>42500</v>
      </c>
      <c r="F10" s="91"/>
      <c r="G10" s="94">
        <v>0</v>
      </c>
    </row>
    <row r="11" spans="1:7" x14ac:dyDescent="0.25">
      <c r="A11" s="101" t="s">
        <v>73</v>
      </c>
      <c r="B11" s="208">
        <v>4800000</v>
      </c>
      <c r="C11" s="224"/>
      <c r="D11" s="98">
        <f>B11/150000</f>
        <v>32</v>
      </c>
      <c r="E11" s="91">
        <v>57500</v>
      </c>
      <c r="F11" s="91"/>
      <c r="G11" s="94">
        <v>0</v>
      </c>
    </row>
    <row r="12" spans="1:7" x14ac:dyDescent="0.25">
      <c r="A12" s="101" t="s">
        <v>264</v>
      </c>
      <c r="B12" s="208">
        <v>1295840</v>
      </c>
      <c r="C12" s="224"/>
      <c r="D12" s="98">
        <f>B12/80000</f>
        <v>16.198</v>
      </c>
      <c r="E12" s="91">
        <v>32500</v>
      </c>
      <c r="F12" s="447">
        <v>70</v>
      </c>
      <c r="G12" s="447"/>
    </row>
    <row r="13" spans="1:7" x14ac:dyDescent="0.25">
      <c r="A13" s="101" t="s">
        <v>265</v>
      </c>
      <c r="B13" s="208">
        <v>1251540</v>
      </c>
      <c r="C13" s="224"/>
      <c r="D13" s="98">
        <f>B13/80000</f>
        <v>15.64425</v>
      </c>
      <c r="E13" s="91">
        <v>32500</v>
      </c>
      <c r="F13" s="447">
        <v>127.5</v>
      </c>
      <c r="G13" s="447"/>
    </row>
    <row r="14" spans="1:7" x14ac:dyDescent="0.25">
      <c r="A14" s="101" t="s">
        <v>258</v>
      </c>
      <c r="B14" s="208">
        <v>1912820</v>
      </c>
      <c r="C14" s="224"/>
      <c r="D14" s="98">
        <f>B14/80000</f>
        <v>23.910250000000001</v>
      </c>
      <c r="E14" s="91">
        <v>32500</v>
      </c>
      <c r="F14" s="447">
        <v>70</v>
      </c>
      <c r="G14" s="447"/>
    </row>
    <row r="15" spans="1:7" x14ac:dyDescent="0.25">
      <c r="A15" s="101" t="s">
        <v>257</v>
      </c>
      <c r="B15" s="208">
        <v>2459340</v>
      </c>
      <c r="C15" s="224"/>
      <c r="D15" s="98">
        <f>B15/130000</f>
        <v>18.917999999999999</v>
      </c>
      <c r="E15" s="91">
        <v>60000</v>
      </c>
      <c r="F15" s="447">
        <v>90</v>
      </c>
      <c r="G15" s="447"/>
    </row>
    <row r="16" spans="1:7" x14ac:dyDescent="0.25">
      <c r="A16" s="101" t="s">
        <v>260</v>
      </c>
      <c r="B16" s="208">
        <v>1028160</v>
      </c>
      <c r="C16" s="224"/>
      <c r="D16" s="98">
        <f>B16/80000</f>
        <v>12.852</v>
      </c>
      <c r="E16" s="91">
        <v>32500</v>
      </c>
      <c r="F16" s="447">
        <v>127.5</v>
      </c>
      <c r="G16" s="447"/>
    </row>
    <row r="17" spans="1:7" x14ac:dyDescent="0.25">
      <c r="A17" s="101" t="s">
        <v>259</v>
      </c>
      <c r="B17" s="208">
        <v>1179360</v>
      </c>
      <c r="C17" s="224"/>
      <c r="D17" s="98">
        <f>B17/130000</f>
        <v>9.0719999999999992</v>
      </c>
      <c r="E17" s="91">
        <v>60000</v>
      </c>
      <c r="F17" s="447">
        <v>90</v>
      </c>
      <c r="G17" s="447"/>
    </row>
    <row r="18" spans="1:7" x14ac:dyDescent="0.25">
      <c r="A18" s="101"/>
      <c r="B18" s="208"/>
      <c r="C18" s="224"/>
      <c r="D18" s="98"/>
      <c r="E18" s="91"/>
      <c r="F18" s="91"/>
      <c r="G18" s="94"/>
    </row>
    <row r="19" spans="1:7" x14ac:dyDescent="0.25">
      <c r="A19" s="101" t="s">
        <v>261</v>
      </c>
      <c r="B19" s="208">
        <v>3200000</v>
      </c>
      <c r="C19" s="224"/>
      <c r="D19" s="98">
        <f>B19/150000</f>
        <v>21.333333333333332</v>
      </c>
      <c r="E19" s="91">
        <v>50000</v>
      </c>
      <c r="F19" s="91"/>
      <c r="G19" s="94"/>
    </row>
    <row r="20" spans="1:7" x14ac:dyDescent="0.25">
      <c r="A20" s="101" t="s">
        <v>262</v>
      </c>
      <c r="B20" s="208">
        <v>4000000</v>
      </c>
      <c r="C20" s="224"/>
      <c r="D20" s="98">
        <f t="shared" ref="D20:D21" si="0">B20/150000</f>
        <v>26.666666666666668</v>
      </c>
      <c r="E20" s="91">
        <v>50000</v>
      </c>
      <c r="F20" s="91"/>
      <c r="G20" s="94"/>
    </row>
    <row r="21" spans="1:7" x14ac:dyDescent="0.25">
      <c r="A21" s="101" t="s">
        <v>263</v>
      </c>
      <c r="B21" s="208">
        <v>4000000</v>
      </c>
      <c r="C21" s="224"/>
      <c r="D21" s="98">
        <f t="shared" si="0"/>
        <v>26.666666666666668</v>
      </c>
      <c r="E21" s="91">
        <v>50000</v>
      </c>
      <c r="F21" s="91"/>
      <c r="G21" s="94"/>
    </row>
    <row r="22" spans="1:7" x14ac:dyDescent="0.25">
      <c r="A22" s="101"/>
      <c r="B22" s="208"/>
      <c r="C22" s="224"/>
      <c r="D22" s="98"/>
      <c r="E22" s="91"/>
      <c r="F22" s="91"/>
      <c r="G22" s="94"/>
    </row>
    <row r="23" spans="1:7" x14ac:dyDescent="0.25">
      <c r="A23" s="101" t="s">
        <v>212</v>
      </c>
      <c r="B23" s="208">
        <v>1747200</v>
      </c>
      <c r="C23" s="224"/>
      <c r="D23" s="98">
        <f>B23/100000</f>
        <v>17.472000000000001</v>
      </c>
      <c r="E23" s="91">
        <v>42500</v>
      </c>
      <c r="F23" s="91"/>
      <c r="G23" s="94"/>
    </row>
    <row r="24" spans="1:7" ht="15.75" thickBot="1" x14ac:dyDescent="0.3">
      <c r="A24" s="102" t="s">
        <v>213</v>
      </c>
      <c r="B24" s="209">
        <v>4258800</v>
      </c>
      <c r="C24" s="225"/>
      <c r="D24" s="100">
        <f>B24/150000</f>
        <v>28.391999999999999</v>
      </c>
      <c r="E24" s="95">
        <v>57500</v>
      </c>
      <c r="F24" s="95"/>
      <c r="G2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T44"/>
  <sheetViews>
    <sheetView workbookViewId="0">
      <selection activeCell="P12" sqref="P12:P18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  <col min="11" max="11" width="15.42578125" bestFit="1" customWidth="1"/>
    <col min="12" max="14" width="10.140625" bestFit="1" customWidth="1"/>
    <col min="16" max="16" width="15.42578125" bestFit="1" customWidth="1"/>
    <col min="17" max="19" width="10.140625" bestFit="1" customWidth="1"/>
  </cols>
  <sheetData>
    <row r="1" spans="1:20" ht="16.5" thickBot="1" x14ac:dyDescent="0.3">
      <c r="A1" s="577" t="s">
        <v>50</v>
      </c>
      <c r="B1" s="578"/>
      <c r="C1" s="578"/>
      <c r="D1" s="579"/>
      <c r="F1" s="562" t="s">
        <v>211</v>
      </c>
      <c r="G1" s="563"/>
      <c r="H1" s="563"/>
      <c r="I1" s="564"/>
      <c r="K1" s="597" t="s">
        <v>266</v>
      </c>
      <c r="L1" s="598"/>
      <c r="M1" s="598"/>
      <c r="N1" s="599"/>
      <c r="P1" s="600" t="s">
        <v>254</v>
      </c>
      <c r="Q1" s="601"/>
      <c r="R1" s="601"/>
      <c r="S1" s="602"/>
      <c r="T1" t="s">
        <v>250</v>
      </c>
    </row>
    <row r="2" spans="1:20" x14ac:dyDescent="0.25">
      <c r="A2" s="32"/>
      <c r="B2" s="33" t="s">
        <v>45</v>
      </c>
      <c r="C2" s="33" t="s">
        <v>46</v>
      </c>
      <c r="D2" s="34" t="s">
        <v>47</v>
      </c>
      <c r="F2" s="429"/>
      <c r="G2" s="430" t="s">
        <v>45</v>
      </c>
      <c r="H2" s="431" t="s">
        <v>46</v>
      </c>
      <c r="I2" s="432" t="s">
        <v>47</v>
      </c>
      <c r="K2" s="448"/>
      <c r="L2" s="449" t="s">
        <v>45</v>
      </c>
      <c r="M2" s="450" t="s">
        <v>46</v>
      </c>
      <c r="N2" s="451" t="s">
        <v>47</v>
      </c>
      <c r="P2" s="464"/>
      <c r="Q2" s="465" t="s">
        <v>45</v>
      </c>
      <c r="R2" s="466" t="s">
        <v>46</v>
      </c>
      <c r="S2" s="467" t="s">
        <v>47</v>
      </c>
      <c r="T2" t="s">
        <v>251</v>
      </c>
    </row>
    <row r="3" spans="1:20" x14ac:dyDescent="0.25">
      <c r="A3" s="589" t="s">
        <v>44</v>
      </c>
      <c r="B3" s="23">
        <f ca="1">TODAY()+14</f>
        <v>45925</v>
      </c>
      <c r="C3" s="24">
        <f ca="1">B3+14</f>
        <v>45939</v>
      </c>
      <c r="D3" s="25">
        <f ca="1">C3+14</f>
        <v>45953</v>
      </c>
      <c r="F3" s="565" t="s">
        <v>48</v>
      </c>
      <c r="G3" s="417">
        <f ca="1">TODAY()+7</f>
        <v>45918</v>
      </c>
      <c r="H3" s="418">
        <f ca="1">G3+14</f>
        <v>45932</v>
      </c>
      <c r="I3" s="419">
        <f ca="1">H3+14</f>
        <v>45946</v>
      </c>
      <c r="K3" s="594" t="s">
        <v>253</v>
      </c>
      <c r="L3" s="452">
        <f ca="1">TODAY()+7</f>
        <v>45918</v>
      </c>
      <c r="M3" s="453">
        <f ca="1">L3+14</f>
        <v>45932</v>
      </c>
      <c r="N3" s="454">
        <f ca="1">M3+14</f>
        <v>45946</v>
      </c>
      <c r="P3" s="603" t="s">
        <v>129</v>
      </c>
      <c r="Q3" s="468">
        <f ca="1">TODAY()+7</f>
        <v>45918</v>
      </c>
      <c r="R3" s="469">
        <f ca="1">Q3+14</f>
        <v>45932</v>
      </c>
      <c r="S3" s="470">
        <f ca="1">R3+14</f>
        <v>45946</v>
      </c>
      <c r="T3" t="s">
        <v>252</v>
      </c>
    </row>
    <row r="4" spans="1:20" x14ac:dyDescent="0.25">
      <c r="A4" s="589"/>
      <c r="B4" s="26">
        <f ca="1">B5-B3</f>
        <v>6</v>
      </c>
      <c r="C4" s="27">
        <f ca="1">C5-C3</f>
        <v>23</v>
      </c>
      <c r="D4" s="28">
        <f ca="1">D5-D3</f>
        <v>9</v>
      </c>
      <c r="F4" s="566"/>
      <c r="G4" s="420">
        <f ca="1">G5-G3</f>
        <v>13</v>
      </c>
      <c r="H4" s="421">
        <f ca="1">H5-H3</f>
        <v>30</v>
      </c>
      <c r="I4" s="422">
        <f ca="1">I5-I3</f>
        <v>16</v>
      </c>
      <c r="K4" s="595"/>
      <c r="L4" s="455">
        <f ca="1">L5-L3</f>
        <v>13</v>
      </c>
      <c r="M4" s="456">
        <f ca="1">M5-M3</f>
        <v>30</v>
      </c>
      <c r="N4" s="457">
        <f ca="1">N5-N3</f>
        <v>16</v>
      </c>
      <c r="P4" s="604"/>
      <c r="Q4" s="471">
        <f ca="1">Q5-Q3</f>
        <v>13</v>
      </c>
      <c r="R4" s="472">
        <f ca="1">R5-R3</f>
        <v>30</v>
      </c>
      <c r="S4" s="473">
        <f ca="1">S5-S3</f>
        <v>16</v>
      </c>
    </row>
    <row r="5" spans="1:20" x14ac:dyDescent="0.25">
      <c r="A5" s="589"/>
      <c r="B5" s="29">
        <f ca="1">EOMONTH(B3,0)+1</f>
        <v>45931</v>
      </c>
      <c r="C5" s="30">
        <f ca="1">EOMONTH(C3,0)+1</f>
        <v>45962</v>
      </c>
      <c r="D5" s="31">
        <f ca="1">EOMONTH(D3,0)+1</f>
        <v>45962</v>
      </c>
      <c r="F5" s="566"/>
      <c r="G5" s="423">
        <f ca="1">EOMONTH(G3,0)+1</f>
        <v>45931</v>
      </c>
      <c r="H5" s="424">
        <f ca="1">EOMONTH(H3,0)+1</f>
        <v>45962</v>
      </c>
      <c r="I5" s="425">
        <f ca="1">EOMONTH(I3,0)+1</f>
        <v>45962</v>
      </c>
      <c r="K5" s="595"/>
      <c r="L5" s="458">
        <f ca="1">EOMONTH(L3,0)+1</f>
        <v>45931</v>
      </c>
      <c r="M5" s="459">
        <f ca="1">EOMONTH(M3,0)+1</f>
        <v>45962</v>
      </c>
      <c r="N5" s="460">
        <f ca="1">EOMONTH(N3,0)+1</f>
        <v>45962</v>
      </c>
      <c r="P5" s="604"/>
      <c r="Q5" s="474">
        <f ca="1">EOMONTH(Q3,0)+1</f>
        <v>45931</v>
      </c>
      <c r="R5" s="475">
        <f ca="1">EOMONTH(R3,0)+1</f>
        <v>45962</v>
      </c>
      <c r="S5" s="476">
        <f ca="1">EOMONTH(S3,0)+1</f>
        <v>45962</v>
      </c>
    </row>
    <row r="6" spans="1:20" x14ac:dyDescent="0.25">
      <c r="A6" s="589"/>
      <c r="B6" s="26">
        <f ca="1">IF(39-B4&gt;_xlfn.NUMBERVALUE(DAY(EOMONTH(B5,0))),_xlfn.NUMBERVALUE(DAY(EOMONTH(B5,0))),39-B4)</f>
        <v>31</v>
      </c>
      <c r="C6" s="27">
        <f ca="1">IF(39-C4&gt;_xlfn.NUMBERVALUE(DAY(EOMONTH(C5,0))),_xlfn.NUMBERVALUE(DAY(EOMONTH(C5,0))),39-C4)</f>
        <v>16</v>
      </c>
      <c r="D6" s="28">
        <f ca="1">IF(39-D4&gt;_xlfn.NUMBERVALUE(DAY(EOMONTH(D5,0))),_xlfn.NUMBERVALUE(DAY(EOMONTH(D5,0))),39-D4)</f>
        <v>30</v>
      </c>
      <c r="F6" s="566"/>
      <c r="G6" s="420">
        <f ca="1">IF(16-G4&gt;_xlfn.NUMBERVALUE(DAY(EOMONTH(G5,0))),_xlfn.NUMBERVALUE(DAY(EOMONTH(G5,0))),16-G4)</f>
        <v>3</v>
      </c>
      <c r="H6" s="420">
        <f ca="1">IF(16-H4&gt;_xlfn.NUMBERVALUE(DAY(EOMONTH(H5,0))),_xlfn.NUMBERVALUE(DAY(EOMONTH(H5,0))),16-H4)</f>
        <v>-14</v>
      </c>
      <c r="I6" s="420">
        <f ca="1">IF(16-I4&gt;_xlfn.NUMBERVALUE(DAY(EOMONTH(I5,0))),_xlfn.NUMBERVALUE(DAY(EOMONTH(I5,0))),16-I4)</f>
        <v>0</v>
      </c>
      <c r="K6" s="595"/>
      <c r="L6" s="455">
        <f ca="1">IF(17-L4&gt;_xlfn.NUMBERVALUE(DAY(EOMONTH(L5,0))),_xlfn.NUMBERVALUE(DAY(EOMONTH(L5,0))),17-L4)</f>
        <v>4</v>
      </c>
      <c r="M6" s="455">
        <f ca="1">IF(17-M4&gt;_xlfn.NUMBERVALUE(DAY(EOMONTH(M5,0))),_xlfn.NUMBERVALUE(DAY(EOMONTH(M5,0))),17-M4)</f>
        <v>-13</v>
      </c>
      <c r="N6" s="455">
        <f ca="1">IF(17-N4&gt;_xlfn.NUMBERVALUE(DAY(EOMONTH(N5,0))),_xlfn.NUMBERVALUE(DAY(EOMONTH(N5,0))),17-N4)</f>
        <v>1</v>
      </c>
      <c r="P6" s="604"/>
      <c r="Q6" s="471">
        <f ca="1">IF(14-Q4&gt;_xlfn.NUMBERVALUE(DAY(EOMONTH(Q5,0))),_xlfn.NUMBERVALUE(DAY(EOMONTH(Q5,0))),14-Q4)</f>
        <v>1</v>
      </c>
      <c r="R6" s="471">
        <f ca="1">IF(14-R4&gt;_xlfn.NUMBERVALUE(DAY(EOMONTH(R5,0))),_xlfn.NUMBERVALUE(DAY(EOMONTH(R5,0))),14-R4)</f>
        <v>-16</v>
      </c>
      <c r="S6" s="471">
        <f ca="1">IF(14-S4&gt;_xlfn.NUMBERVALUE(DAY(EOMONTH(S5,0))),_xlfn.NUMBERVALUE(DAY(EOMONTH(S5,0))),14-S4)</f>
        <v>-2</v>
      </c>
    </row>
    <row r="7" spans="1:20" x14ac:dyDescent="0.25">
      <c r="A7" s="589"/>
      <c r="B7" s="29">
        <f ca="1">B5+B6</f>
        <v>45962</v>
      </c>
      <c r="C7" s="30">
        <f ca="1">C5+C6</f>
        <v>45978</v>
      </c>
      <c r="D7" s="31">
        <f ca="1">D5+D6</f>
        <v>45992</v>
      </c>
      <c r="F7" s="566"/>
      <c r="G7" s="423">
        <f ca="1">G5+G6</f>
        <v>45934</v>
      </c>
      <c r="H7" s="424">
        <f ca="1">H5+H6</f>
        <v>45948</v>
      </c>
      <c r="I7" s="425">
        <f ca="1">I5+I6</f>
        <v>45962</v>
      </c>
      <c r="K7" s="595"/>
      <c r="L7" s="458">
        <f ca="1">L5+L6</f>
        <v>45935</v>
      </c>
      <c r="M7" s="459">
        <f ca="1">M5+M6</f>
        <v>45949</v>
      </c>
      <c r="N7" s="460">
        <f ca="1">N5+N6</f>
        <v>45963</v>
      </c>
      <c r="P7" s="604"/>
      <c r="Q7" s="474">
        <f ca="1">Q5+Q6</f>
        <v>45932</v>
      </c>
      <c r="R7" s="475">
        <f ca="1">R5+R6</f>
        <v>45946</v>
      </c>
      <c r="S7" s="476">
        <f ca="1">S5+S6</f>
        <v>45960</v>
      </c>
    </row>
    <row r="8" spans="1:20" x14ac:dyDescent="0.25">
      <c r="A8" s="589"/>
      <c r="B8" s="26">
        <f ca="1">IF(39-B4&gt;_xlfn.NUMBERVALUE(DAY(EOMONTH(B5,0))),39-B4-B6,0)</f>
        <v>2</v>
      </c>
      <c r="C8" s="27">
        <f ca="1">IF(39-C4&gt;_xlfn.NUMBERVALUE(DAY(EOMONTH(C5,0))),39-C4-C6,0)</f>
        <v>0</v>
      </c>
      <c r="D8" s="28">
        <f ca="1">IF(39-D4&gt;_xlfn.NUMBERVALUE(DAY(EOMONTH(D5,0))),39-D4-D6,0)</f>
        <v>0</v>
      </c>
      <c r="F8" s="566"/>
      <c r="G8" s="420">
        <f ca="1">IF(16-G4&gt;_xlfn.NUMBERVALUE(DAY(EOMONTH(G5,0))),16-G4-G6,0)</f>
        <v>0</v>
      </c>
      <c r="H8" s="420">
        <f ca="1">IF(16-H4&gt;_xlfn.NUMBERVALUE(DAY(EOMONTH(H5,0))),16-H4-H6,0)</f>
        <v>0</v>
      </c>
      <c r="I8" s="420">
        <f ca="1">IF(16-I4&gt;_xlfn.NUMBERVALUE(DAY(EOMONTH(I5,0))),16-I4-I6,0)</f>
        <v>0</v>
      </c>
      <c r="K8" s="595"/>
      <c r="L8" s="455">
        <f ca="1">IF(17-L4&gt;_xlfn.NUMBERVALUE(DAY(EOMONTH(L5,0))),17-L4-L6,0)</f>
        <v>0</v>
      </c>
      <c r="M8" s="455">
        <f ca="1">IF(17-M4&gt;_xlfn.NUMBERVALUE(DAY(EOMONTH(M5,0))),17-M4-M6,0)</f>
        <v>0</v>
      </c>
      <c r="N8" s="455">
        <f ca="1">IF(17-N4&gt;_xlfn.NUMBERVALUE(DAY(EOMONTH(N5,0))),17-N4-N6,0)</f>
        <v>0</v>
      </c>
      <c r="P8" s="604"/>
      <c r="Q8" s="471">
        <f ca="1">IF(14-Q4&gt;_xlfn.NUMBERVALUE(DAY(EOMONTH(Q5,0))),14-Q4-Q6,0)</f>
        <v>0</v>
      </c>
      <c r="R8" s="471">
        <f ca="1">IF(14-R4&gt;_xlfn.NUMBERVALUE(DAY(EOMONTH(R5,0))),14-R4-R6,0)</f>
        <v>0</v>
      </c>
      <c r="S8" s="471">
        <f ca="1">IF(14-S4&gt;_xlfn.NUMBERVALUE(DAY(EOMONTH(S5,0))),14-S4-S6,0)</f>
        <v>0</v>
      </c>
    </row>
    <row r="9" spans="1:20" ht="15.75" thickBot="1" x14ac:dyDescent="0.3">
      <c r="A9" s="590"/>
      <c r="B9" s="29">
        <f ca="1">B7+B8</f>
        <v>45964</v>
      </c>
      <c r="C9" s="30">
        <f ca="1">C7+C8</f>
        <v>45978</v>
      </c>
      <c r="D9" s="31">
        <f ca="1">D7+D8</f>
        <v>45992</v>
      </c>
      <c r="F9" s="567"/>
      <c r="G9" s="426">
        <f ca="1">G7+G8</f>
        <v>45934</v>
      </c>
      <c r="H9" s="427">
        <f ca="1">H7+H8</f>
        <v>45948</v>
      </c>
      <c r="I9" s="428">
        <f ca="1">I7+I8</f>
        <v>45962</v>
      </c>
      <c r="K9" s="596"/>
      <c r="L9" s="461">
        <f ca="1">L7+L8</f>
        <v>45935</v>
      </c>
      <c r="M9" s="462">
        <f ca="1">M7+M8</f>
        <v>45949</v>
      </c>
      <c r="N9" s="463">
        <f ca="1">N7+N8</f>
        <v>45963</v>
      </c>
      <c r="P9" s="605"/>
      <c r="Q9" s="477">
        <f ca="1">Q7+Q8</f>
        <v>45932</v>
      </c>
      <c r="R9" s="478">
        <f ca="1">R7+R8</f>
        <v>45946</v>
      </c>
      <c r="S9" s="479">
        <f ca="1">S7+S8</f>
        <v>45960</v>
      </c>
    </row>
    <row r="10" spans="1:20" ht="16.5" thickBot="1" x14ac:dyDescent="0.3">
      <c r="A10" s="35"/>
      <c r="B10" s="36" t="s">
        <v>45</v>
      </c>
      <c r="C10" s="37" t="s">
        <v>46</v>
      </c>
      <c r="D10" s="38" t="s">
        <v>47</v>
      </c>
      <c r="K10" s="597" t="s">
        <v>267</v>
      </c>
      <c r="L10" s="598"/>
      <c r="M10" s="598"/>
      <c r="N10" s="599"/>
      <c r="P10" s="600" t="s">
        <v>255</v>
      </c>
      <c r="Q10" s="601"/>
      <c r="R10" s="601"/>
      <c r="S10" s="602"/>
    </row>
    <row r="11" spans="1:20" x14ac:dyDescent="0.25">
      <c r="A11" s="591" t="s">
        <v>48</v>
      </c>
      <c r="B11" s="51">
        <f ca="1">TODAY()+7</f>
        <v>45918</v>
      </c>
      <c r="C11" s="52">
        <f ca="1">B11+14</f>
        <v>45932</v>
      </c>
      <c r="D11" s="53">
        <f ca="1">C11+14</f>
        <v>45946</v>
      </c>
      <c r="K11" s="448"/>
      <c r="L11" s="449" t="s">
        <v>45</v>
      </c>
      <c r="M11" s="450" t="s">
        <v>46</v>
      </c>
      <c r="N11" s="451" t="s">
        <v>47</v>
      </c>
      <c r="P11" s="464"/>
      <c r="Q11" s="465" t="s">
        <v>45</v>
      </c>
      <c r="R11" s="466" t="s">
        <v>46</v>
      </c>
      <c r="S11" s="467" t="s">
        <v>47</v>
      </c>
    </row>
    <row r="12" spans="1:20" x14ac:dyDescent="0.25">
      <c r="A12" s="592"/>
      <c r="B12" s="54">
        <f ca="1">B13-B11</f>
        <v>13</v>
      </c>
      <c r="C12" s="55">
        <f ca="1">C13-C11</f>
        <v>30</v>
      </c>
      <c r="D12" s="56">
        <f ca="1">D13-D11</f>
        <v>16</v>
      </c>
      <c r="K12" s="594" t="s">
        <v>253</v>
      </c>
      <c r="L12" s="452">
        <f ca="1">TODAY()+7</f>
        <v>45918</v>
      </c>
      <c r="M12" s="453">
        <f ca="1">L12+14</f>
        <v>45932</v>
      </c>
      <c r="N12" s="454">
        <f ca="1">M12+14</f>
        <v>45946</v>
      </c>
      <c r="P12" s="603" t="s">
        <v>129</v>
      </c>
      <c r="Q12" s="468">
        <f ca="1">TODAY()+7</f>
        <v>45918</v>
      </c>
      <c r="R12" s="469">
        <f ca="1">Q12+14</f>
        <v>45932</v>
      </c>
      <c r="S12" s="470">
        <f ca="1">R12+14</f>
        <v>45946</v>
      </c>
    </row>
    <row r="13" spans="1:20" x14ac:dyDescent="0.25">
      <c r="A13" s="592"/>
      <c r="B13" s="57">
        <f ca="1">EOMONTH(B11,0)+1</f>
        <v>45931</v>
      </c>
      <c r="C13" s="58">
        <f ca="1">EOMONTH(C11,0)+1</f>
        <v>45962</v>
      </c>
      <c r="D13" s="59">
        <f ca="1">EOMONTH(D11,0)+1</f>
        <v>45962</v>
      </c>
      <c r="K13" s="595"/>
      <c r="L13" s="455">
        <f ca="1">L14-L12</f>
        <v>13</v>
      </c>
      <c r="M13" s="456">
        <f ca="1">M14-M12</f>
        <v>30</v>
      </c>
      <c r="N13" s="457">
        <f ca="1">N14-N12</f>
        <v>16</v>
      </c>
      <c r="P13" s="604"/>
      <c r="Q13" s="471">
        <f ca="1">Q14-Q12</f>
        <v>13</v>
      </c>
      <c r="R13" s="472">
        <f ca="1">R14-R12</f>
        <v>30</v>
      </c>
      <c r="S13" s="473">
        <f ca="1">S14-S12</f>
        <v>16</v>
      </c>
    </row>
    <row r="14" spans="1:20" x14ac:dyDescent="0.25">
      <c r="A14" s="592"/>
      <c r="B14" s="54">
        <f ca="1">IF(38-B12&gt;_xlfn.NUMBERVALUE(DAY(EOMONTH(B13,0))),_xlfn.NUMBERVALUE(DAY(EOMONTH(B13,0))),38-B12)</f>
        <v>25</v>
      </c>
      <c r="C14" s="55">
        <f ca="1">IF(38-C12&gt;_xlfn.NUMBERVALUE(DAY(EOMONTH(C13,0))),_xlfn.NUMBERVALUE(DAY(EOMONTH(C13,0))),38-C12)</f>
        <v>8</v>
      </c>
      <c r="D14" s="56">
        <f ca="1">IF(38-D12&gt;_xlfn.NUMBERVALUE(DAY(EOMONTH(D13,0))),_xlfn.NUMBERVALUE(DAY(EOMONTH(D13,0))),38-D12)</f>
        <v>22</v>
      </c>
      <c r="K14" s="595"/>
      <c r="L14" s="458">
        <f ca="1">EOMONTH(L12,0)+1</f>
        <v>45931</v>
      </c>
      <c r="M14" s="459">
        <f ca="1">EOMONTH(M12,0)+1</f>
        <v>45962</v>
      </c>
      <c r="N14" s="460">
        <f ca="1">EOMONTH(N12,0)+1</f>
        <v>45962</v>
      </c>
      <c r="P14" s="604"/>
      <c r="Q14" s="474">
        <f ca="1">EOMONTH(Q12,0)+1</f>
        <v>45931</v>
      </c>
      <c r="R14" s="475">
        <f ca="1">EOMONTH(R12,0)+1</f>
        <v>45962</v>
      </c>
      <c r="S14" s="476">
        <f ca="1">EOMONTH(S12,0)+1</f>
        <v>45962</v>
      </c>
    </row>
    <row r="15" spans="1:20" x14ac:dyDescent="0.25">
      <c r="A15" s="592"/>
      <c r="B15" s="57">
        <f ca="1">B13+B14</f>
        <v>45956</v>
      </c>
      <c r="C15" s="58">
        <f ca="1">C13+C14</f>
        <v>45970</v>
      </c>
      <c r="D15" s="59">
        <f ca="1">D13+D14</f>
        <v>45984</v>
      </c>
      <c r="K15" s="595"/>
      <c r="L15" s="455">
        <f ca="1">IF(7-L13&gt;_xlfn.NUMBERVALUE(DAY(EOMONTH(L14,0))),_xlfn.NUMBERVALUE(DAY(EOMONTH(L14,0))),7-L13)</f>
        <v>-6</v>
      </c>
      <c r="M15" s="455">
        <f ca="1">IF(7-M13&gt;_xlfn.NUMBERVALUE(DAY(EOMONTH(M14,0))),_xlfn.NUMBERVALUE(DAY(EOMONTH(M14,0))),7-M13)</f>
        <v>-23</v>
      </c>
      <c r="N15" s="455">
        <f ca="1">IF(7-N13&gt;_xlfn.NUMBERVALUE(DAY(EOMONTH(N14,0))),_xlfn.NUMBERVALUE(DAY(EOMONTH(N14,0))),7-N13)</f>
        <v>-9</v>
      </c>
      <c r="P15" s="604"/>
      <c r="Q15" s="471">
        <f ca="1">IF(37-Q13&gt;_xlfn.NUMBERVALUE(DAY(EOMONTH(Q14,0))),_xlfn.NUMBERVALUE(DAY(EOMONTH(Q14,0))),37-Q13)</f>
        <v>24</v>
      </c>
      <c r="R15" s="471">
        <f ca="1">IF(37-R13&gt;_xlfn.NUMBERVALUE(DAY(EOMONTH(R14,0))),_xlfn.NUMBERVALUE(DAY(EOMONTH(R14,0))),37-R13)</f>
        <v>7</v>
      </c>
      <c r="S15" s="471">
        <f ca="1">IF(37-S13&gt;_xlfn.NUMBERVALUE(DAY(EOMONTH(S14,0))),_xlfn.NUMBERVALUE(DAY(EOMONTH(S14,0))),37-S13)</f>
        <v>21</v>
      </c>
    </row>
    <row r="16" spans="1:20" x14ac:dyDescent="0.25">
      <c r="A16" s="592"/>
      <c r="B16" s="54">
        <f ca="1">IF(38-B12&gt;_xlfn.NUMBERVALUE(DAY(EOMONTH(B13,0))),38-B12-B14,0)</f>
        <v>0</v>
      </c>
      <c r="C16" s="55">
        <f ca="1">IF(38-C12&gt;_xlfn.NUMBERVALUE(DAY(EOMONTH(C13,0))),38-C12-C14,0)</f>
        <v>0</v>
      </c>
      <c r="D16" s="56">
        <f ca="1">IF(38-D12&gt;_xlfn.NUMBERVALUE(DAY(EOMONTH(D13,0))),38-D12-D14,0)</f>
        <v>0</v>
      </c>
      <c r="K16" s="595"/>
      <c r="L16" s="458">
        <f ca="1">L14+L15</f>
        <v>45925</v>
      </c>
      <c r="M16" s="459">
        <f ca="1">M14+M15</f>
        <v>45939</v>
      </c>
      <c r="N16" s="460">
        <f ca="1">N14+N15</f>
        <v>45953</v>
      </c>
      <c r="P16" s="604"/>
      <c r="Q16" s="474">
        <f ca="1">Q14+Q15</f>
        <v>45955</v>
      </c>
      <c r="R16" s="475">
        <f ca="1">R14+R15</f>
        <v>45969</v>
      </c>
      <c r="S16" s="476">
        <f ca="1">S14+S15</f>
        <v>45983</v>
      </c>
    </row>
    <row r="17" spans="1:19" ht="15.75" thickBot="1" x14ac:dyDescent="0.3">
      <c r="A17" s="593"/>
      <c r="B17" s="60">
        <f ca="1">B15+B16</f>
        <v>45956</v>
      </c>
      <c r="C17" s="61">
        <f ca="1">C15+C16</f>
        <v>45970</v>
      </c>
      <c r="D17" s="62">
        <f ca="1">D15+D16</f>
        <v>45984</v>
      </c>
      <c r="K17" s="595"/>
      <c r="L17" s="455">
        <f ca="1">IF(7-L13&gt;_xlfn.NUMBERVALUE(DAY(EOMONTH(L14,0))),7-L13-L15,0)</f>
        <v>0</v>
      </c>
      <c r="M17" s="455">
        <f ca="1">IF(7-M13&gt;_xlfn.NUMBERVALUE(DAY(EOMONTH(M14,0))),7-M13-M15,0)</f>
        <v>0</v>
      </c>
      <c r="N17" s="455">
        <f ca="1">IF(7-N13&gt;_xlfn.NUMBERVALUE(DAY(EOMONTH(N14,0))),7-N13-N15,0)</f>
        <v>0</v>
      </c>
      <c r="P17" s="604"/>
      <c r="Q17" s="471">
        <f ca="1">IF(37-Q13&gt;_xlfn.NUMBERVALUE(DAY(EOMONTH(Q14,0))),15-Q13-Q15,0)</f>
        <v>0</v>
      </c>
      <c r="R17" s="471">
        <f ca="1">IF(37-R13&gt;_xlfn.NUMBERVALUE(DAY(EOMONTH(R14,0))),15-R13-R15,0)</f>
        <v>0</v>
      </c>
      <c r="S17" s="471">
        <f ca="1">IF(37-S13&gt;_xlfn.NUMBERVALUE(DAY(EOMONTH(S14,0))),15-S13-S15,0)</f>
        <v>0</v>
      </c>
    </row>
    <row r="18" spans="1:19" ht="16.5" thickBot="1" x14ac:dyDescent="0.3">
      <c r="A18" s="580" t="s">
        <v>49</v>
      </c>
      <c r="B18" s="581"/>
      <c r="C18" s="581"/>
      <c r="D18" s="582"/>
      <c r="K18" s="596"/>
      <c r="L18" s="461">
        <f ca="1">L16+L17</f>
        <v>45925</v>
      </c>
      <c r="M18" s="462">
        <f ca="1">M16+M17</f>
        <v>45939</v>
      </c>
      <c r="N18" s="463">
        <f ca="1">N16+N17</f>
        <v>45953</v>
      </c>
      <c r="P18" s="605"/>
      <c r="Q18" s="477">
        <f ca="1">Q16+Q17</f>
        <v>45955</v>
      </c>
      <c r="R18" s="478">
        <f ca="1">R16+R17</f>
        <v>45969</v>
      </c>
      <c r="S18" s="479">
        <f ca="1">S16+S17</f>
        <v>45983</v>
      </c>
    </row>
    <row r="19" spans="1:19" ht="16.5" thickBot="1" x14ac:dyDescent="0.3">
      <c r="A19" s="63"/>
      <c r="B19" s="64" t="s">
        <v>45</v>
      </c>
      <c r="C19" s="65" t="s">
        <v>46</v>
      </c>
      <c r="D19" s="66" t="s">
        <v>47</v>
      </c>
      <c r="K19" s="597" t="s">
        <v>269</v>
      </c>
      <c r="L19" s="598"/>
      <c r="M19" s="598"/>
      <c r="N19" s="599"/>
      <c r="P19" s="600" t="s">
        <v>256</v>
      </c>
      <c r="Q19" s="601"/>
      <c r="R19" s="601"/>
      <c r="S19" s="602"/>
    </row>
    <row r="20" spans="1:19" x14ac:dyDescent="0.25">
      <c r="A20" s="568" t="s">
        <v>48</v>
      </c>
      <c r="B20" s="67">
        <f ca="1">TODAY()+7</f>
        <v>45918</v>
      </c>
      <c r="C20" s="68">
        <f ca="1">B20+14</f>
        <v>45932</v>
      </c>
      <c r="D20" s="69">
        <f ca="1">C20+14</f>
        <v>45946</v>
      </c>
      <c r="K20" s="448"/>
      <c r="L20" s="449" t="s">
        <v>45</v>
      </c>
      <c r="M20" s="450" t="s">
        <v>46</v>
      </c>
      <c r="N20" s="451" t="s">
        <v>47</v>
      </c>
      <c r="P20" s="464"/>
      <c r="Q20" s="465" t="s">
        <v>45</v>
      </c>
      <c r="R20" s="466" t="s">
        <v>46</v>
      </c>
      <c r="S20" s="467" t="s">
        <v>47</v>
      </c>
    </row>
    <row r="21" spans="1:19" x14ac:dyDescent="0.25">
      <c r="A21" s="569"/>
      <c r="B21" s="70">
        <f ca="1">B22-B20</f>
        <v>13</v>
      </c>
      <c r="C21" s="39">
        <f ca="1">C22-C20</f>
        <v>30</v>
      </c>
      <c r="D21" s="40">
        <f ca="1">D22-D20</f>
        <v>16</v>
      </c>
      <c r="K21" s="594" t="s">
        <v>48</v>
      </c>
      <c r="L21" s="452">
        <f ca="1">TODAY()+7</f>
        <v>45918</v>
      </c>
      <c r="M21" s="453">
        <f ca="1">L21+14</f>
        <v>45932</v>
      </c>
      <c r="N21" s="454">
        <f ca="1">M21+14</f>
        <v>45946</v>
      </c>
      <c r="P21" s="603" t="s">
        <v>129</v>
      </c>
      <c r="Q21" s="468">
        <f ca="1">TODAY()+7</f>
        <v>45918</v>
      </c>
      <c r="R21" s="469">
        <f ca="1">Q21+14</f>
        <v>45932</v>
      </c>
      <c r="S21" s="470">
        <f ca="1">R21+14</f>
        <v>45946</v>
      </c>
    </row>
    <row r="22" spans="1:19" x14ac:dyDescent="0.25">
      <c r="A22" s="569"/>
      <c r="B22" s="71">
        <f ca="1">EOMONTH(B20,0)+1</f>
        <v>45931</v>
      </c>
      <c r="C22" s="41">
        <f ca="1">EOMONTH(C20,0)+1</f>
        <v>45962</v>
      </c>
      <c r="D22" s="42">
        <f ca="1">EOMONTH(D20,0)+1</f>
        <v>45962</v>
      </c>
      <c r="K22" s="595"/>
      <c r="L22" s="455">
        <f ca="1">L23-L21</f>
        <v>13</v>
      </c>
      <c r="M22" s="456">
        <f ca="1">M23-M21</f>
        <v>30</v>
      </c>
      <c r="N22" s="457">
        <f ca="1">N23-N21</f>
        <v>16</v>
      </c>
      <c r="P22" s="604"/>
      <c r="Q22" s="471">
        <f ca="1">Q23-Q21</f>
        <v>13</v>
      </c>
      <c r="R22" s="472">
        <f ca="1">R23-R21</f>
        <v>30</v>
      </c>
      <c r="S22" s="473">
        <f ca="1">S23-S21</f>
        <v>16</v>
      </c>
    </row>
    <row r="23" spans="1:19" x14ac:dyDescent="0.25">
      <c r="A23" s="569"/>
      <c r="B23" s="70">
        <f ca="1">IF(19-B21&gt;_xlfn.NUMBERVALUE(DAY(EOMONTH(B22,0))),_xlfn.NUMBERVALUE(DAY(EOMONTH(B22,0))),19-B21)</f>
        <v>6</v>
      </c>
      <c r="C23" s="39">
        <f ca="1">IF(19-C21&gt;_xlfn.NUMBERVALUE(DAY(EOMONTH(C22,0))),_xlfn.NUMBERVALUE(DAY(EOMONTH(C22,0))),19-C21)</f>
        <v>-11</v>
      </c>
      <c r="D23" s="40">
        <f ca="1">IF(19-D21&gt;_xlfn.NUMBERVALUE(DAY(EOMONTH(D22,0))),_xlfn.NUMBERVALUE(DAY(EOMONTH(D22,0))),19-D21)</f>
        <v>3</v>
      </c>
      <c r="K23" s="595"/>
      <c r="L23" s="458">
        <f ca="1">EOMONTH(L21,0)+1</f>
        <v>45931</v>
      </c>
      <c r="M23" s="459">
        <f ca="1">EOMONTH(M21,0)+1</f>
        <v>45962</v>
      </c>
      <c r="N23" s="460">
        <f ca="1">EOMONTH(N21,0)+1</f>
        <v>45962</v>
      </c>
      <c r="P23" s="604"/>
      <c r="Q23" s="474">
        <f ca="1">EOMONTH(Q21,0)+1</f>
        <v>45931</v>
      </c>
      <c r="R23" s="475">
        <f ca="1">EOMONTH(R21,0)+1</f>
        <v>45962</v>
      </c>
      <c r="S23" s="476">
        <f ca="1">EOMONTH(S21,0)+1</f>
        <v>45962</v>
      </c>
    </row>
    <row r="24" spans="1:19" x14ac:dyDescent="0.25">
      <c r="A24" s="569"/>
      <c r="B24" s="71">
        <f ca="1">B22+B23</f>
        <v>45937</v>
      </c>
      <c r="C24" s="41">
        <f ca="1">C22+C23</f>
        <v>45951</v>
      </c>
      <c r="D24" s="42">
        <f ca="1">D22+D23</f>
        <v>45965</v>
      </c>
      <c r="K24" s="595"/>
      <c r="L24" s="455">
        <f ca="1">IF(16-L22&gt;_xlfn.NUMBERVALUE(DAY(EOMONTH(L23,0))),_xlfn.NUMBERVALUE(DAY(EOMONTH(L23,0))),16-L22)</f>
        <v>3</v>
      </c>
      <c r="M24" s="455">
        <f ca="1">IF(16-M22&gt;_xlfn.NUMBERVALUE(DAY(EOMONTH(M23,0))),_xlfn.NUMBERVALUE(DAY(EOMONTH(M23,0))),16-M22)</f>
        <v>-14</v>
      </c>
      <c r="N24" s="455">
        <f ca="1">IF(16-N22&gt;_xlfn.NUMBERVALUE(DAY(EOMONTH(N23,0))),_xlfn.NUMBERVALUE(DAY(EOMONTH(N23,0))),16-N22)</f>
        <v>0</v>
      </c>
      <c r="P24" s="604"/>
      <c r="Q24" s="471">
        <f ca="1">IF(41-Q22&gt;_xlfn.NUMBERVALUE(DAY(EOMONTH(Q23,0))),_xlfn.NUMBERVALUE(DAY(EOMONTH(Q23,0))),41-Q22)</f>
        <v>28</v>
      </c>
      <c r="R24" s="471">
        <f ca="1">IF(41-R22&gt;_xlfn.NUMBERVALUE(DAY(EOMONTH(R23,0))),_xlfn.NUMBERVALUE(DAY(EOMONTH(R23,0))),41-R22)</f>
        <v>11</v>
      </c>
      <c r="S24" s="471">
        <f ca="1">IF(41-S22&gt;_xlfn.NUMBERVALUE(DAY(EOMONTH(S23,0))),_xlfn.NUMBERVALUE(DAY(EOMONTH(S23,0))),41-S22)</f>
        <v>25</v>
      </c>
    </row>
    <row r="25" spans="1:19" x14ac:dyDescent="0.25">
      <c r="A25" s="569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  <c r="K25" s="595"/>
      <c r="L25" s="458">
        <f ca="1">L23+L24</f>
        <v>45934</v>
      </c>
      <c r="M25" s="459">
        <f ca="1">M23+M24</f>
        <v>45948</v>
      </c>
      <c r="N25" s="460">
        <f ca="1">N23+N24</f>
        <v>45962</v>
      </c>
      <c r="P25" s="604"/>
      <c r="Q25" s="474">
        <f ca="1">Q23+Q24</f>
        <v>45959</v>
      </c>
      <c r="R25" s="475">
        <f ca="1">R23+R24</f>
        <v>45973</v>
      </c>
      <c r="S25" s="476">
        <f ca="1">S23+S24</f>
        <v>45987</v>
      </c>
    </row>
    <row r="26" spans="1:19" ht="15.75" thickBot="1" x14ac:dyDescent="0.3">
      <c r="A26" s="570"/>
      <c r="B26" s="72">
        <f ca="1">B24+B25</f>
        <v>45937</v>
      </c>
      <c r="C26" s="43">
        <f ca="1">C24+C25</f>
        <v>45951</v>
      </c>
      <c r="D26" s="44">
        <f ca="1">D24+D25</f>
        <v>45965</v>
      </c>
      <c r="K26" s="595"/>
      <c r="L26" s="455">
        <f ca="1">IF(16-L22&gt;_xlfn.NUMBERVALUE(DAY(EOMONTH(L23,0))),16-L22-L24,0)</f>
        <v>0</v>
      </c>
      <c r="M26" s="455">
        <f ca="1">IF(16-M22&gt;_xlfn.NUMBERVALUE(DAY(EOMONTH(M23,0))),16-M22-M24,0)</f>
        <v>0</v>
      </c>
      <c r="N26" s="455">
        <f ca="1">IF(16-N22&gt;_xlfn.NUMBERVALUE(DAY(EOMONTH(N23,0))),16-N22-N24,0)</f>
        <v>0</v>
      </c>
      <c r="P26" s="604"/>
      <c r="Q26" s="471">
        <f ca="1">IF(41-Q22&gt;_xlfn.NUMBERVALUE(DAY(EOMONTH(Q23,0))),15-Q22-Q24,0)</f>
        <v>0</v>
      </c>
      <c r="R26" s="471">
        <f ca="1">IF(41-R22&gt;_xlfn.NUMBERVALUE(DAY(EOMONTH(R23,0))),15-R22-R24,0)</f>
        <v>0</v>
      </c>
      <c r="S26" s="471">
        <f ca="1">IF(41-S22&gt;_xlfn.NUMBERVALUE(DAY(EOMONTH(S23,0))),15-S22-S24,0)</f>
        <v>0</v>
      </c>
    </row>
    <row r="27" spans="1:19" ht="16.5" thickBot="1" x14ac:dyDescent="0.3">
      <c r="A27" s="583" t="s">
        <v>52</v>
      </c>
      <c r="B27" s="584"/>
      <c r="C27" s="584"/>
      <c r="D27" s="585"/>
      <c r="K27" s="596"/>
      <c r="L27" s="461">
        <f ca="1">L25+L26</f>
        <v>45934</v>
      </c>
      <c r="M27" s="462">
        <f ca="1">M25+M26</f>
        <v>45948</v>
      </c>
      <c r="N27" s="463">
        <f ca="1">N25+N26</f>
        <v>45962</v>
      </c>
      <c r="P27" s="605"/>
      <c r="Q27" s="477">
        <f ca="1">Q25+Q26</f>
        <v>45959</v>
      </c>
      <c r="R27" s="478">
        <f ca="1">R25+R26</f>
        <v>45973</v>
      </c>
      <c r="S27" s="479">
        <f ca="1">S25+S26</f>
        <v>45987</v>
      </c>
    </row>
    <row r="28" spans="1:19" ht="16.5" thickBot="1" x14ac:dyDescent="0.3">
      <c r="A28" s="73"/>
      <c r="B28" s="74" t="s">
        <v>45</v>
      </c>
      <c r="C28" s="75" t="s">
        <v>46</v>
      </c>
      <c r="D28" s="76" t="s">
        <v>47</v>
      </c>
      <c r="K28" s="597" t="s">
        <v>268</v>
      </c>
      <c r="L28" s="598"/>
      <c r="M28" s="598"/>
      <c r="N28" s="599"/>
    </row>
    <row r="29" spans="1:19" x14ac:dyDescent="0.25">
      <c r="A29" s="571" t="s">
        <v>48</v>
      </c>
      <c r="B29" s="17">
        <f ca="1">TODAY()+7</f>
        <v>45918</v>
      </c>
      <c r="C29" s="18">
        <f ca="1">B29+14</f>
        <v>45932</v>
      </c>
      <c r="D29" s="19">
        <f ca="1">C29+14</f>
        <v>45946</v>
      </c>
      <c r="K29" s="448"/>
      <c r="L29" s="449" t="s">
        <v>45</v>
      </c>
      <c r="M29" s="450" t="s">
        <v>46</v>
      </c>
      <c r="N29" s="451" t="s">
        <v>47</v>
      </c>
    </row>
    <row r="30" spans="1:19" x14ac:dyDescent="0.25">
      <c r="A30" s="572"/>
      <c r="B30" s="11">
        <f ca="1">B31-B29</f>
        <v>13</v>
      </c>
      <c r="C30" s="12">
        <f ca="1">C31-C29</f>
        <v>30</v>
      </c>
      <c r="D30" s="13">
        <f ca="1">D31-D29</f>
        <v>16</v>
      </c>
      <c r="K30" s="594" t="s">
        <v>48</v>
      </c>
      <c r="L30" s="452">
        <f ca="1">TODAY()+6</f>
        <v>45917</v>
      </c>
      <c r="M30" s="453">
        <f ca="1">L30+14</f>
        <v>45931</v>
      </c>
      <c r="N30" s="454">
        <f ca="1">M30+14</f>
        <v>45945</v>
      </c>
    </row>
    <row r="31" spans="1:19" x14ac:dyDescent="0.25">
      <c r="A31" s="572"/>
      <c r="B31" s="14">
        <f ca="1">EOMONTH(B29,0)+1</f>
        <v>45931</v>
      </c>
      <c r="C31" s="15">
        <f ca="1">EOMONTH(C29,0)+1</f>
        <v>45962</v>
      </c>
      <c r="D31" s="16">
        <f ca="1">EOMONTH(D29,0)+1</f>
        <v>45962</v>
      </c>
      <c r="K31" s="595"/>
      <c r="L31" s="455">
        <f ca="1">L32-L30</f>
        <v>14</v>
      </c>
      <c r="M31" s="456">
        <f ca="1">M32-M30</f>
        <v>31</v>
      </c>
      <c r="N31" s="457">
        <f ca="1">N32-N30</f>
        <v>17</v>
      </c>
    </row>
    <row r="32" spans="1:19" x14ac:dyDescent="0.25">
      <c r="A32" s="572"/>
      <c r="B32" s="11">
        <f ca="1">IF(35-B30&gt;_xlfn.NUMBERVALUE(DAY(EOMONTH(B31,0))),_xlfn.NUMBERVALUE(DAY(EOMONTH(B31,0))),35-B30)</f>
        <v>22</v>
      </c>
      <c r="C32" s="12">
        <f ca="1">IF(35-C30&gt;_xlfn.NUMBERVALUE(DAY(EOMONTH(C31,0))),_xlfn.NUMBERVALUE(DAY(EOMONTH(C31,0))),35-C30)</f>
        <v>5</v>
      </c>
      <c r="D32" s="13">
        <f ca="1">IF(35-D30&gt;_xlfn.NUMBERVALUE(DAY(EOMONTH(D31,0))),_xlfn.NUMBERVALUE(DAY(EOMONTH(D31,0))),35-D30)</f>
        <v>19</v>
      </c>
      <c r="K32" s="595"/>
      <c r="L32" s="458">
        <f ca="1">EOMONTH(L30,0)+1</f>
        <v>45931</v>
      </c>
      <c r="M32" s="459">
        <f ca="1">EOMONTH(M30,0)+1</f>
        <v>45962</v>
      </c>
      <c r="N32" s="460">
        <f ca="1">EOMONTH(N30,0)+1</f>
        <v>45962</v>
      </c>
    </row>
    <row r="33" spans="1:14" x14ac:dyDescent="0.25">
      <c r="A33" s="572"/>
      <c r="B33" s="14">
        <f ca="1">B31+B32</f>
        <v>45953</v>
      </c>
      <c r="C33" s="15">
        <f ca="1">C31+C32</f>
        <v>45967</v>
      </c>
      <c r="D33" s="16">
        <f ca="1">D31+D32</f>
        <v>45981</v>
      </c>
      <c r="K33" s="595"/>
      <c r="L33" s="455">
        <f ca="1">IF(6-L31&gt;_xlfn.NUMBERVALUE(DAY(EOMONTH(L32,0))),_xlfn.NUMBERVALUE(DAY(EOMONTH(L32,0))),6-L31)</f>
        <v>-8</v>
      </c>
      <c r="M33" s="455">
        <f ca="1">IF(6-M31&gt;_xlfn.NUMBERVALUE(DAY(EOMONTH(M32,0))),_xlfn.NUMBERVALUE(DAY(EOMONTH(M32,0))),6-M31)</f>
        <v>-25</v>
      </c>
      <c r="N33" s="455">
        <f ca="1">IF(6-N31&gt;_xlfn.NUMBERVALUE(DAY(EOMONTH(N32,0))),_xlfn.NUMBERVALUE(DAY(EOMONTH(N32,0))),6-N31)</f>
        <v>-11</v>
      </c>
    </row>
    <row r="34" spans="1:14" x14ac:dyDescent="0.25">
      <c r="A34" s="572"/>
      <c r="B34" s="11">
        <f ca="1">IF(35-B30&gt;_xlfn.NUMBERVALUE(DAY(EOMONTH(B31,0))),35-B30-B32,0)</f>
        <v>0</v>
      </c>
      <c r="C34" s="12">
        <f ca="1">IF(35-C30&gt;_xlfn.NUMBERVALUE(DAY(EOMONTH(C31,0))),35-C30-C32,0)</f>
        <v>0</v>
      </c>
      <c r="D34" s="13">
        <f ca="1">IF(35-D30&gt;_xlfn.NUMBERVALUE(DAY(EOMONTH(D31,0))),35-D30-D32,0)</f>
        <v>0</v>
      </c>
      <c r="K34" s="595"/>
      <c r="L34" s="458">
        <f ca="1">L32+L33</f>
        <v>45923</v>
      </c>
      <c r="M34" s="459">
        <f ca="1">M32+M33</f>
        <v>45937</v>
      </c>
      <c r="N34" s="460">
        <f ca="1">N32+N33</f>
        <v>45951</v>
      </c>
    </row>
    <row r="35" spans="1:14" ht="15.75" thickBot="1" x14ac:dyDescent="0.3">
      <c r="A35" s="573"/>
      <c r="B35" s="20">
        <f ca="1">B33+B34</f>
        <v>45953</v>
      </c>
      <c r="C35" s="21">
        <f ca="1">C33+C34</f>
        <v>45967</v>
      </c>
      <c r="D35" s="22">
        <f ca="1">D33+D34</f>
        <v>45981</v>
      </c>
      <c r="K35" s="595"/>
      <c r="L35" s="455">
        <f ca="1">IF(6-L31&gt;_xlfn.NUMBERVALUE(DAY(EOMONTH(L32,0))),6-L31-L33,0)</f>
        <v>0</v>
      </c>
      <c r="M35" s="455">
        <f ca="1">IF(6-M31&gt;_xlfn.NUMBERVALUE(DAY(EOMONTH(M32,0))),6-M31-M33,0)</f>
        <v>0</v>
      </c>
      <c r="N35" s="455">
        <f ca="1">IF(6-N31&gt;_xlfn.NUMBERVALUE(DAY(EOMONTH(N32,0))),6-N31-N33,0)</f>
        <v>0</v>
      </c>
    </row>
    <row r="36" spans="1:14" ht="16.5" thickBot="1" x14ac:dyDescent="0.3">
      <c r="A36" s="586" t="s">
        <v>51</v>
      </c>
      <c r="B36" s="587"/>
      <c r="C36" s="587"/>
      <c r="D36" s="588"/>
      <c r="K36" s="596"/>
      <c r="L36" s="461">
        <f ca="1">L34+L35</f>
        <v>45923</v>
      </c>
      <c r="M36" s="462">
        <f ca="1">M34+M35</f>
        <v>45937</v>
      </c>
      <c r="N36" s="463">
        <f ca="1">N34+N35</f>
        <v>45951</v>
      </c>
    </row>
    <row r="37" spans="1:14" x14ac:dyDescent="0.25">
      <c r="A37" s="83"/>
      <c r="B37" s="84" t="s">
        <v>45</v>
      </c>
      <c r="C37" s="85" t="s">
        <v>46</v>
      </c>
      <c r="D37" s="86" t="s">
        <v>47</v>
      </c>
    </row>
    <row r="38" spans="1:14" x14ac:dyDescent="0.25">
      <c r="A38" s="574" t="s">
        <v>48</v>
      </c>
      <c r="B38" s="77">
        <f ca="1">TODAY()+7</f>
        <v>45918</v>
      </c>
      <c r="C38" s="78">
        <f ca="1">B38+14</f>
        <v>45932</v>
      </c>
      <c r="D38" s="79">
        <f ca="1">C38+14</f>
        <v>45946</v>
      </c>
    </row>
    <row r="39" spans="1:14" x14ac:dyDescent="0.25">
      <c r="A39" s="575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14" x14ac:dyDescent="0.25">
      <c r="A40" s="575"/>
      <c r="B40" s="81">
        <f ca="1">IF(EOMONTH(B38,0)+1-B38&gt;12,B38+12,EOMONTH(B38,0)+1)</f>
        <v>45930</v>
      </c>
      <c r="C40" s="81">
        <f ca="1">IF(EOMONTH(C38,0)+1-C38&gt;12,C38+12,EOMONTH(C38,0)+1)</f>
        <v>45944</v>
      </c>
      <c r="D40" s="48">
        <f ca="1">IF(EOMONTH(D38,0)+1-D38&gt;12,D38+12,EOMONTH(D38,0)+1)</f>
        <v>45958</v>
      </c>
    </row>
    <row r="41" spans="1:14" x14ac:dyDescent="0.25">
      <c r="A41" s="575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14" x14ac:dyDescent="0.25">
      <c r="A42" s="575"/>
      <c r="B42" s="81">
        <f ca="1">B40+B41</f>
        <v>45930</v>
      </c>
      <c r="C42" s="47">
        <f ca="1">C40+C41</f>
        <v>45944</v>
      </c>
      <c r="D42" s="48">
        <f ca="1">D40+D41</f>
        <v>45958</v>
      </c>
    </row>
    <row r="43" spans="1:14" x14ac:dyDescent="0.25">
      <c r="A43" s="575"/>
      <c r="B43" s="80">
        <f ca="1">IF(12-B39&gt;_xlfn.NUMBERVALUE(DAY(EOMONTH(B40,0))),12-B39-B41,0)</f>
        <v>0</v>
      </c>
      <c r="C43" s="45">
        <f ca="1">IF(12-C39&gt;_xlfn.NUMBERVALUE(DAY(EOMONTH(C40,0))),12-C39-C41,0)</f>
        <v>0</v>
      </c>
      <c r="D43" s="46">
        <f ca="1">IF(12-D39&gt;_xlfn.NUMBERVALUE(DAY(EOMONTH(D40,0))),12-D39-D41,0)</f>
        <v>0</v>
      </c>
    </row>
    <row r="44" spans="1:14" ht="15.75" thickBot="1" x14ac:dyDescent="0.3">
      <c r="A44" s="576"/>
      <c r="B44" s="82">
        <f ca="1">B42+B43</f>
        <v>45930</v>
      </c>
      <c r="C44" s="49">
        <f ca="1">C42+C43</f>
        <v>45944</v>
      </c>
      <c r="D44" s="50">
        <f ca="1">D42+D43</f>
        <v>45958</v>
      </c>
    </row>
  </sheetData>
  <mergeCells count="25">
    <mergeCell ref="K21:K27"/>
    <mergeCell ref="K28:N28"/>
    <mergeCell ref="K30:K36"/>
    <mergeCell ref="P1:S1"/>
    <mergeCell ref="P3:P9"/>
    <mergeCell ref="P10:S10"/>
    <mergeCell ref="P12:P18"/>
    <mergeCell ref="P19:S19"/>
    <mergeCell ref="P21:P27"/>
    <mergeCell ref="K1:N1"/>
    <mergeCell ref="K3:K9"/>
    <mergeCell ref="K10:N10"/>
    <mergeCell ref="K12:K18"/>
    <mergeCell ref="K19:N19"/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EBA06-5EBC-44D2-8042-D2F92CA77E76}">
  <sheetPr>
    <tabColor theme="9" tint="0.39997558519241921"/>
  </sheetPr>
  <dimension ref="A3:J25"/>
  <sheetViews>
    <sheetView workbookViewId="0">
      <selection activeCell="F31" sqref="F31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" bestFit="1" customWidth="1"/>
    <col min="7" max="7" width="8.28515625" customWidth="1"/>
    <col min="8" max="8" width="7" bestFit="1" customWidth="1"/>
    <col min="9" max="10" width="7.140625" bestFit="1" customWidth="1"/>
  </cols>
  <sheetData>
    <row r="3" spans="1:10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</row>
    <row r="4" spans="1:10" x14ac:dyDescent="0.25">
      <c r="A4" s="606" t="s">
        <v>264</v>
      </c>
      <c r="B4" s="607"/>
      <c r="C4" s="607"/>
      <c r="D4" s="607"/>
      <c r="E4" s="608">
        <f ca="1">'Loading Arrival'!L3</f>
        <v>45918</v>
      </c>
      <c r="F4" s="609"/>
      <c r="G4" s="608">
        <f ca="1">'Loading Arrival'!M3</f>
        <v>45932</v>
      </c>
      <c r="H4" s="609"/>
      <c r="I4" s="608">
        <f ca="1">'Loading Arrival'!N3</f>
        <v>45946</v>
      </c>
      <c r="J4" s="609"/>
    </row>
    <row r="5" spans="1:10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</row>
    <row r="6" spans="1:10" ht="15.75" thickBot="1" x14ac:dyDescent="0.3">
      <c r="A6" s="5" t="s">
        <v>53</v>
      </c>
      <c r="B6" s="106">
        <f>VLOOKUP(A4,Freight!$A$2:$G$24,2,0)</f>
        <v>1295840</v>
      </c>
      <c r="C6" s="6"/>
      <c r="D6" s="6"/>
      <c r="E6" s="120">
        <f>B6/B$7</f>
        <v>13.222857142857142</v>
      </c>
      <c r="F6" s="121">
        <f>B6/B$7</f>
        <v>13.222857142857142</v>
      </c>
      <c r="G6" s="120">
        <f>B6/B$7</f>
        <v>13.222857142857142</v>
      </c>
      <c r="H6" s="121">
        <f>B6/B$7</f>
        <v>13.222857142857142</v>
      </c>
      <c r="I6" s="120">
        <f>B6/B$7</f>
        <v>13.222857142857142</v>
      </c>
      <c r="J6" s="121">
        <f>B6/B$7</f>
        <v>13.222857142857142</v>
      </c>
    </row>
    <row r="7" spans="1:10" x14ac:dyDescent="0.25">
      <c r="A7" s="5" t="s">
        <v>54</v>
      </c>
      <c r="B7" s="106">
        <v>98000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</row>
    <row r="8" spans="1:10" ht="15.75" thickBot="1" x14ac:dyDescent="0.3">
      <c r="A8" s="5" t="s">
        <v>55</v>
      </c>
      <c r="B8" s="106">
        <f>C8*D8</f>
        <v>227500</v>
      </c>
      <c r="C8" s="7">
        <f>VLOOKUP(A$4,Freight!$A$2:$G$24,5,0)</f>
        <v>32500</v>
      </c>
      <c r="D8" s="105">
        <v>7</v>
      </c>
      <c r="E8" s="120">
        <f>B$8/B$7</f>
        <v>2.3214285714285716</v>
      </c>
      <c r="F8" s="121">
        <f>B$8/B$7</f>
        <v>2.3214285714285716</v>
      </c>
      <c r="G8" s="120">
        <f>B8/B$7</f>
        <v>2.3214285714285716</v>
      </c>
      <c r="H8" s="121">
        <f>B8/B$7</f>
        <v>2.3214285714285716</v>
      </c>
      <c r="I8" s="120">
        <f>B8/B$7</f>
        <v>2.3214285714285716</v>
      </c>
      <c r="J8" s="121">
        <f>B8/B$7</f>
        <v>2.3214285714285716</v>
      </c>
    </row>
    <row r="9" spans="1:10" x14ac:dyDescent="0.25">
      <c r="A9" s="5" t="s">
        <v>56</v>
      </c>
      <c r="B9" s="106">
        <v>15000</v>
      </c>
      <c r="C9" s="6"/>
      <c r="D9" s="6"/>
      <c r="E9" s="120">
        <f>B9/B$7</f>
        <v>0.15306122448979592</v>
      </c>
      <c r="F9" s="121">
        <f>B9/B$7</f>
        <v>0.15306122448979592</v>
      </c>
      <c r="G9" s="120">
        <f>B9/B$7</f>
        <v>0.15306122448979592</v>
      </c>
      <c r="H9" s="121">
        <f>B9/B$7</f>
        <v>0.15306122448979592</v>
      </c>
      <c r="I9" s="120">
        <f>B9/B$7</f>
        <v>0.15306122448979592</v>
      </c>
      <c r="J9" s="121">
        <f>B9/B$7</f>
        <v>0.15306122448979592</v>
      </c>
    </row>
    <row r="10" spans="1:10" ht="15.75" thickBot="1" x14ac:dyDescent="0.3">
      <c r="A10" s="5" t="s">
        <v>124</v>
      </c>
      <c r="B10" s="106">
        <v>25000</v>
      </c>
      <c r="C10" s="6"/>
      <c r="D10" s="6"/>
      <c r="E10" s="120">
        <f>B10/B$7</f>
        <v>0.25510204081632654</v>
      </c>
      <c r="F10" s="121">
        <f>B10/B$7</f>
        <v>0.25510204081632654</v>
      </c>
      <c r="G10" s="120">
        <f>B10/B$7</f>
        <v>0.25510204081632654</v>
      </c>
      <c r="H10" s="121">
        <f>B10/B$7</f>
        <v>0.25510204081632654</v>
      </c>
      <c r="I10" s="120">
        <f>B10/B$7</f>
        <v>0.25510204081632654</v>
      </c>
      <c r="J10" s="121">
        <f>B10/B$7</f>
        <v>0.25510204081632654</v>
      </c>
    </row>
    <row r="11" spans="1:10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0.25510204081632654</v>
      </c>
      <c r="F11" s="121">
        <f>B11/B$7</f>
        <v>0.25510204081632654</v>
      </c>
      <c r="G11" s="120">
        <f>B11/B$7</f>
        <v>0.25510204081632654</v>
      </c>
      <c r="H11" s="121">
        <f>B11/B$7</f>
        <v>0.25510204081632654</v>
      </c>
      <c r="I11" s="120">
        <f>B11/B$7</f>
        <v>0.25510204081632654</v>
      </c>
      <c r="J11" s="121">
        <f>B11/B$7</f>
        <v>0.25510204081632654</v>
      </c>
    </row>
    <row r="12" spans="1:10" ht="15.75" thickBot="1" x14ac:dyDescent="0.3">
      <c r="A12" s="5" t="s">
        <v>81</v>
      </c>
      <c r="B12" s="109">
        <f ca="1">(D12*((C12)/365)*VLOOKUP(EOMONTH(E4,-1)+1,Tullet!$A$4:$S$25,2,0))*B7</f>
        <v>331152.73972602742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</row>
    <row r="13" spans="1:10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</row>
    <row r="14" spans="1:10" x14ac:dyDescent="0.25">
      <c r="A14" s="5" t="s">
        <v>58</v>
      </c>
      <c r="B14" s="106">
        <f ca="1">B7*VLOOKUP(EOMONTH(E4,-1)+1,Tullet!$A$4:$S$25,2,0)*0.1%</f>
        <v>36627.5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</row>
    <row r="15" spans="1:10" ht="15.75" thickBot="1" x14ac:dyDescent="0.3">
      <c r="A15" s="5" t="s">
        <v>59</v>
      </c>
      <c r="B15" s="106">
        <f ca="1">C15*$B$7*VLOOKUP(EOMONTH(E24,-1)+1,'Tullet US'!$A$24:$C$32,3,0)*6.35</f>
        <v>107813.47499999998</v>
      </c>
      <c r="C15" s="104">
        <v>3.0000000000000001E-3</v>
      </c>
      <c r="D15" s="105" t="s">
        <v>184</v>
      </c>
      <c r="E15" s="120">
        <f ca="1">$N$15*VLOOKUP(EOMONTH(E24,-1)+1,'Tullet US'!$A$24:$C$32,3,0)*6.35</f>
        <v>0</v>
      </c>
      <c r="F15" s="120">
        <f ca="1">$N$15*VLOOKUP(EOMONTH(F24,-1)+1,'Tullet US'!$A$24:$C$32,3,0)*6.35</f>
        <v>0</v>
      </c>
      <c r="G15" s="120">
        <f ca="1">$N$15*VLOOKUP(EOMONTH(G24,-1)+1,'Tullet US'!$A$24:$C$32,3,0)*6.35</f>
        <v>0</v>
      </c>
      <c r="H15" s="120">
        <f ca="1">$N$15*VLOOKUP(EOMONTH(H24,-1)+1,'Tullet US'!$A$24:$C$32,3,0)*6.35</f>
        <v>0</v>
      </c>
      <c r="I15" s="120">
        <f ca="1">$N$15*VLOOKUP(EOMONTH(I24,-1)+1,'Tullet US'!$A$24:$C$32,3,0)*6.35</f>
        <v>0</v>
      </c>
      <c r="J15" s="120">
        <f ca="1">$N$15*VLOOKUP(EOMONTH(J24,-1)+1,'Tullet US'!$A$24:$C$32,3,0)*6.35</f>
        <v>0</v>
      </c>
    </row>
    <row r="16" spans="1:10" x14ac:dyDescent="0.25">
      <c r="A16" s="5" t="s">
        <v>60</v>
      </c>
      <c r="B16" s="106">
        <v>12500</v>
      </c>
      <c r="C16" s="6"/>
      <c r="D16" s="6"/>
      <c r="E16" s="120">
        <f>B16/B$7</f>
        <v>0.12755102040816327</v>
      </c>
      <c r="F16" s="121">
        <f>B16/B$7</f>
        <v>0.12755102040816327</v>
      </c>
      <c r="G16" s="120">
        <f>B16/B$7</f>
        <v>0.12755102040816327</v>
      </c>
      <c r="H16" s="121">
        <f>B16/B$7</f>
        <v>0.12755102040816327</v>
      </c>
      <c r="I16" s="120">
        <f>B16/B$7</f>
        <v>0.12755102040816327</v>
      </c>
      <c r="J16" s="121">
        <f>B16/B$7</f>
        <v>0.12755102040816327</v>
      </c>
    </row>
    <row r="17" spans="1:10" x14ac:dyDescent="0.25">
      <c r="A17" s="5" t="s">
        <v>61</v>
      </c>
      <c r="B17" s="106">
        <v>1250</v>
      </c>
      <c r="C17" s="6"/>
      <c r="D17" s="6"/>
      <c r="E17" s="120">
        <f>B17/B$7</f>
        <v>1.2755102040816327E-2</v>
      </c>
      <c r="F17" s="121">
        <f>B17/B$7</f>
        <v>1.2755102040816327E-2</v>
      </c>
      <c r="G17" s="120">
        <f>B17/B$7</f>
        <v>1.2755102040816327E-2</v>
      </c>
      <c r="H17" s="121">
        <f>B17/B$7</f>
        <v>1.2755102040816327E-2</v>
      </c>
      <c r="I17" s="120">
        <f>B17/B$7</f>
        <v>1.2755102040816327E-2</v>
      </c>
      <c r="J17" s="121">
        <f>B17/B$7</f>
        <v>1.2755102040816327E-2</v>
      </c>
    </row>
    <row r="18" spans="1:10" x14ac:dyDescent="0.25">
      <c r="A18" s="5" t="s">
        <v>62</v>
      </c>
      <c r="B18" s="106">
        <v>1250</v>
      </c>
      <c r="C18" s="6"/>
      <c r="D18" s="6"/>
      <c r="E18" s="120">
        <f>B18/B$7</f>
        <v>1.2755102040816327E-2</v>
      </c>
      <c r="F18" s="121">
        <f>B18/B$7</f>
        <v>1.2755102040816327E-2</v>
      </c>
      <c r="G18" s="120">
        <f>B18/B$7</f>
        <v>1.2755102040816327E-2</v>
      </c>
      <c r="H18" s="121">
        <f>B18/B$7</f>
        <v>1.2755102040816327E-2</v>
      </c>
      <c r="I18" s="120">
        <f>B18/B$7</f>
        <v>1.2755102040816327E-2</v>
      </c>
      <c r="J18" s="121">
        <f>B18/B$7</f>
        <v>1.2755102040816327E-2</v>
      </c>
    </row>
    <row r="19" spans="1:10" x14ac:dyDescent="0.25">
      <c r="A19" s="5" t="s">
        <v>63</v>
      </c>
      <c r="B19" s="106">
        <v>15000</v>
      </c>
      <c r="C19" s="6"/>
      <c r="D19" s="6"/>
      <c r="E19" s="120">
        <f>B19/B$7</f>
        <v>0.15306122448979592</v>
      </c>
      <c r="F19" s="121">
        <f>B19/B$7</f>
        <v>0.15306122448979592</v>
      </c>
      <c r="G19" s="120">
        <f>B19/B$7</f>
        <v>0.15306122448979592</v>
      </c>
      <c r="H19" s="121">
        <f>B19/B$7</f>
        <v>0.15306122448979592</v>
      </c>
      <c r="I19" s="120">
        <f>B19/B$7</f>
        <v>0.15306122448979592</v>
      </c>
      <c r="J19" s="121">
        <f>B19/B$7</f>
        <v>0.15306122448979592</v>
      </c>
    </row>
    <row r="20" spans="1:10" ht="15.75" thickBot="1" x14ac:dyDescent="0.3">
      <c r="A20" s="5" t="s">
        <v>64</v>
      </c>
      <c r="B20" s="106">
        <v>10000</v>
      </c>
      <c r="C20" s="6"/>
      <c r="D20" s="6"/>
      <c r="E20" s="120">
        <f>B20/B$7</f>
        <v>0.10204081632653061</v>
      </c>
      <c r="F20" s="121">
        <f>B20/B$7</f>
        <v>0.10204081632653061</v>
      </c>
      <c r="G20" s="120">
        <f>B20/B$7</f>
        <v>0.10204081632653061</v>
      </c>
      <c r="H20" s="121">
        <f>B20/B$7</f>
        <v>0.10204081632653061</v>
      </c>
      <c r="I20" s="120">
        <f>B20/B$7</f>
        <v>0.10204081632653061</v>
      </c>
      <c r="J20" s="121">
        <f>B20/B$7</f>
        <v>0.10204081632653061</v>
      </c>
    </row>
    <row r="21" spans="1:10" ht="15.75" thickBot="1" x14ac:dyDescent="0.3">
      <c r="A21" s="8" t="s">
        <v>100</v>
      </c>
      <c r="B21" s="134">
        <f ca="1">SUM(B6:B20)</f>
        <v>2201933.7147260276</v>
      </c>
      <c r="C21" s="9"/>
      <c r="D21" s="9"/>
      <c r="E21" s="126">
        <f t="shared" ref="E21:J21" ca="1" si="0">SUM(E6:E20)</f>
        <v>20.275136374755387</v>
      </c>
      <c r="F21" s="127">
        <f t="shared" ca="1" si="0"/>
        <v>20.953415074688383</v>
      </c>
      <c r="G21" s="126">
        <f t="shared" ca="1" si="0"/>
        <v>20.26044973091977</v>
      </c>
      <c r="H21" s="127">
        <f t="shared" ca="1" si="0"/>
        <v>20.916698465099341</v>
      </c>
      <c r="I21" s="126">
        <f t="shared" ca="1" si="0"/>
        <v>20.26044973091977</v>
      </c>
      <c r="J21" s="127">
        <f t="shared" ca="1" si="0"/>
        <v>20.916698465099341</v>
      </c>
    </row>
    <row r="22" spans="1:10" ht="15.75" thickBot="1" x14ac:dyDescent="0.3">
      <c r="A22" s="5" t="s">
        <v>101</v>
      </c>
      <c r="B22" s="106"/>
      <c r="C22" s="6"/>
      <c r="D22" s="6"/>
      <c r="E22" s="125">
        <f ca="1">'ROLLS HS'!L114</f>
        <v>1.1956249999999358</v>
      </c>
      <c r="F22" s="124">
        <f ca="1">'ROLLS LS'!K114</f>
        <v>21.558249999999997</v>
      </c>
      <c r="G22" s="125">
        <f ca="1">'ROLLS HS'!L117</f>
        <v>-5.5375000000000796</v>
      </c>
      <c r="H22" s="124">
        <f ca="1">'ROLLS LS'!K117</f>
        <v>16.509999999999994</v>
      </c>
      <c r="I22" s="125">
        <f ca="1">'ROLLS HS'!L120</f>
        <v>-5.5375000000000796</v>
      </c>
      <c r="J22" s="124">
        <f ca="1">'ROLLS LS'!K120</f>
        <v>16.509999999999994</v>
      </c>
    </row>
    <row r="23" spans="1:10" ht="15.75" thickBot="1" x14ac:dyDescent="0.3">
      <c r="A23" s="8" t="s">
        <v>113</v>
      </c>
      <c r="B23" s="110"/>
      <c r="C23" s="9"/>
      <c r="D23" s="9"/>
      <c r="E23" s="126">
        <f t="shared" ref="E23:J23" ca="1" si="1">E22-E21</f>
        <v>-19.079511374755452</v>
      </c>
      <c r="F23" s="127">
        <f t="shared" ca="1" si="1"/>
        <v>0.60483492531161431</v>
      </c>
      <c r="G23" s="126">
        <f t="shared" ca="1" si="1"/>
        <v>-25.79794973091985</v>
      </c>
      <c r="H23" s="127">
        <f t="shared" ca="1" si="1"/>
        <v>-4.4066984650993462</v>
      </c>
      <c r="I23" s="126">
        <f t="shared" ca="1" si="1"/>
        <v>-25.79794973091985</v>
      </c>
      <c r="J23" s="127">
        <f t="shared" ca="1" si="1"/>
        <v>-4.4066984650993462</v>
      </c>
    </row>
    <row r="24" spans="1:10" x14ac:dyDescent="0.25">
      <c r="A24" s="5" t="s">
        <v>84</v>
      </c>
      <c r="B24" s="107"/>
      <c r="C24" s="6"/>
      <c r="D24" s="6"/>
      <c r="E24" s="128">
        <f ca="1">'Loading Arrival'!L9</f>
        <v>45935</v>
      </c>
      <c r="F24" s="128">
        <f ca="1">'Loading Arrival'!L9</f>
        <v>45935</v>
      </c>
      <c r="G24" s="128">
        <f ca="1">'Loading Arrival'!M9</f>
        <v>45949</v>
      </c>
      <c r="H24" s="128">
        <f ca="1">'Loading Arrival'!M9</f>
        <v>45949</v>
      </c>
      <c r="I24" s="128">
        <f ca="1">'Loading Arrival'!N9</f>
        <v>45963</v>
      </c>
      <c r="J24" s="128">
        <f ca="1">'Loading Arrival'!N9</f>
        <v>45963</v>
      </c>
    </row>
    <row r="25" spans="1:10" ht="15.75" thickBot="1" x14ac:dyDescent="0.3">
      <c r="A25" s="7" t="s">
        <v>99</v>
      </c>
      <c r="B25" s="108"/>
      <c r="C25" s="105"/>
      <c r="D25" s="105"/>
      <c r="E25" s="610">
        <f ca="1">'Loading Arrival'!L9</f>
        <v>45935</v>
      </c>
      <c r="F25" s="611"/>
      <c r="G25" s="612">
        <v>45948</v>
      </c>
      <c r="H25" s="613"/>
      <c r="I25" s="614">
        <f ca="1">'Loading Arrival'!N9</f>
        <v>45963</v>
      </c>
      <c r="J25" s="611"/>
    </row>
  </sheetData>
  <mergeCells count="10">
    <mergeCell ref="E3:F3"/>
    <mergeCell ref="G3:H3"/>
    <mergeCell ref="I3:J3"/>
    <mergeCell ref="A4:D4"/>
    <mergeCell ref="E4:F4"/>
    <mergeCell ref="G4:H4"/>
    <mergeCell ref="I4:J4"/>
    <mergeCell ref="E25:F25"/>
    <mergeCell ref="G25:H25"/>
    <mergeCell ref="I25:J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CC927-C507-4D0F-824B-959FF0CDA430}">
  <sheetPr>
    <tabColor theme="9" tint="0.39997558519241921"/>
  </sheetPr>
  <dimension ref="A3:J25"/>
  <sheetViews>
    <sheetView workbookViewId="0">
      <selection activeCell="O28" sqref="O28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" bestFit="1" customWidth="1"/>
    <col min="7" max="7" width="8.28515625" customWidth="1"/>
    <col min="8" max="8" width="7" bestFit="1" customWidth="1"/>
    <col min="9" max="9" width="8" bestFit="1" customWidth="1"/>
    <col min="10" max="10" width="7" bestFit="1" customWidth="1"/>
  </cols>
  <sheetData>
    <row r="3" spans="1:10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</row>
    <row r="4" spans="1:10" x14ac:dyDescent="0.25">
      <c r="A4" s="606" t="s">
        <v>265</v>
      </c>
      <c r="B4" s="607"/>
      <c r="C4" s="607"/>
      <c r="D4" s="607"/>
      <c r="E4" s="608">
        <f ca="1">'Loading Arrival'!L12</f>
        <v>45918</v>
      </c>
      <c r="F4" s="609"/>
      <c r="G4" s="608">
        <f ca="1">'Loading Arrival'!M12</f>
        <v>45932</v>
      </c>
      <c r="H4" s="609"/>
      <c r="I4" s="608">
        <f ca="1">'Loading Arrival'!N12</f>
        <v>45946</v>
      </c>
      <c r="J4" s="609"/>
    </row>
    <row r="5" spans="1:10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</row>
    <row r="6" spans="1:10" ht="15.75" thickBot="1" x14ac:dyDescent="0.3">
      <c r="A6" s="5" t="s">
        <v>53</v>
      </c>
      <c r="B6" s="106">
        <f>VLOOKUP(A4,Freight!$A$2:$G$24,2,0)</f>
        <v>1251540</v>
      </c>
      <c r="C6" s="6"/>
      <c r="D6" s="6"/>
      <c r="E6" s="120">
        <f>B6/B$7</f>
        <v>12.770816326530612</v>
      </c>
      <c r="F6" s="121">
        <f>B6/B$7</f>
        <v>12.770816326530612</v>
      </c>
      <c r="G6" s="120">
        <f>B6/B$7</f>
        <v>12.770816326530612</v>
      </c>
      <c r="H6" s="121">
        <f>B6/B$7</f>
        <v>12.770816326530612</v>
      </c>
      <c r="I6" s="120">
        <f>B6/B$7</f>
        <v>12.770816326530612</v>
      </c>
      <c r="J6" s="121">
        <f>B6/B$7</f>
        <v>12.770816326530612</v>
      </c>
    </row>
    <row r="7" spans="1:10" x14ac:dyDescent="0.25">
      <c r="A7" s="5" t="s">
        <v>54</v>
      </c>
      <c r="B7" s="106">
        <v>98000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</row>
    <row r="8" spans="1:10" ht="15.75" thickBot="1" x14ac:dyDescent="0.3">
      <c r="A8" s="5" t="s">
        <v>55</v>
      </c>
      <c r="B8" s="106">
        <f>C8*D8</f>
        <v>227500</v>
      </c>
      <c r="C8" s="7">
        <f>VLOOKUP(A$4,Freight!$A$2:$G$24,5,0)</f>
        <v>32500</v>
      </c>
      <c r="D8" s="105">
        <v>7</v>
      </c>
      <c r="E8" s="120">
        <f>B$8/B$7</f>
        <v>2.3214285714285716</v>
      </c>
      <c r="F8" s="121">
        <f>B$8/B$7</f>
        <v>2.3214285714285716</v>
      </c>
      <c r="G8" s="120">
        <f>B8/B$7</f>
        <v>2.3214285714285716</v>
      </c>
      <c r="H8" s="121">
        <f>B8/B$7</f>
        <v>2.3214285714285716</v>
      </c>
      <c r="I8" s="120">
        <f>B8/B$7</f>
        <v>2.3214285714285716</v>
      </c>
      <c r="J8" s="121">
        <f>B8/B$7</f>
        <v>2.3214285714285716</v>
      </c>
    </row>
    <row r="9" spans="1:10" x14ac:dyDescent="0.25">
      <c r="A9" s="5" t="s">
        <v>56</v>
      </c>
      <c r="B9" s="106">
        <v>15000</v>
      </c>
      <c r="C9" s="6"/>
      <c r="D9" s="6"/>
      <c r="E9" s="120">
        <f>B9/B$7</f>
        <v>0.15306122448979592</v>
      </c>
      <c r="F9" s="121">
        <f>B9/B$7</f>
        <v>0.15306122448979592</v>
      </c>
      <c r="G9" s="120">
        <f>B9/B$7</f>
        <v>0.15306122448979592</v>
      </c>
      <c r="H9" s="121">
        <f>B9/B$7</f>
        <v>0.15306122448979592</v>
      </c>
      <c r="I9" s="120">
        <f>B9/B$7</f>
        <v>0.15306122448979592</v>
      </c>
      <c r="J9" s="121">
        <f>B9/B$7</f>
        <v>0.15306122448979592</v>
      </c>
    </row>
    <row r="10" spans="1:10" ht="15.75" thickBot="1" x14ac:dyDescent="0.3">
      <c r="A10" s="5" t="s">
        <v>124</v>
      </c>
      <c r="B10" s="106">
        <v>25000</v>
      </c>
      <c r="C10" s="6"/>
      <c r="D10" s="6"/>
      <c r="E10" s="120">
        <f>B10/B$7</f>
        <v>0.25510204081632654</v>
      </c>
      <c r="F10" s="121">
        <f>B10/B$7</f>
        <v>0.25510204081632654</v>
      </c>
      <c r="G10" s="120">
        <f>B10/B$7</f>
        <v>0.25510204081632654</v>
      </c>
      <c r="H10" s="121">
        <f>B10/B$7</f>
        <v>0.25510204081632654</v>
      </c>
      <c r="I10" s="120">
        <f>B10/B$7</f>
        <v>0.25510204081632654</v>
      </c>
      <c r="J10" s="121">
        <f>B10/B$7</f>
        <v>0.25510204081632654</v>
      </c>
    </row>
    <row r="11" spans="1:10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0.25510204081632654</v>
      </c>
      <c r="F11" s="121">
        <f>B11/B$7</f>
        <v>0.25510204081632654</v>
      </c>
      <c r="G11" s="120">
        <f>B11/B$7</f>
        <v>0.25510204081632654</v>
      </c>
      <c r="H11" s="121">
        <f>B11/B$7</f>
        <v>0.25510204081632654</v>
      </c>
      <c r="I11" s="120">
        <f>B11/B$7</f>
        <v>0.25510204081632654</v>
      </c>
      <c r="J11" s="121">
        <f>B11/B$7</f>
        <v>0.25510204081632654</v>
      </c>
    </row>
    <row r="12" spans="1:10" ht="15.75" thickBot="1" x14ac:dyDescent="0.3">
      <c r="A12" s="5" t="s">
        <v>81</v>
      </c>
      <c r="B12" s="109">
        <f ca="1">(D12*((C12)/365)*VLOOKUP(EOMONTH(E4,-1)+1,Tullet!$A$4:$S$25,2,0))*B7</f>
        <v>331152.73972602742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</row>
    <row r="13" spans="1:10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</row>
    <row r="14" spans="1:10" x14ac:dyDescent="0.25">
      <c r="A14" s="5" t="s">
        <v>58</v>
      </c>
      <c r="B14" s="106">
        <f ca="1">B7*VLOOKUP(EOMONTH(E4,-1)+1,Tullet!$A$4:$S$25,2,0)*0.1%</f>
        <v>36627.5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</row>
    <row r="15" spans="1:10" ht="15.75" thickBot="1" x14ac:dyDescent="0.3">
      <c r="A15" s="5" t="s">
        <v>59</v>
      </c>
      <c r="B15" s="106">
        <f ca="1">C15*$B$7*VLOOKUP(EOMONTH(E24,-1)+1,'Tullet US'!$A$24:$C$32,3,0)*6.35</f>
        <v>110893.85999999999</v>
      </c>
      <c r="C15" s="104">
        <v>3.0000000000000001E-3</v>
      </c>
      <c r="D15" s="105" t="s">
        <v>184</v>
      </c>
      <c r="E15" s="120">
        <f ca="1">$N$15*VLOOKUP(EOMONTH(E24,-1)+1,'Tullet US'!$A$24:$C$32,3,0)*6.35</f>
        <v>0</v>
      </c>
      <c r="F15" s="120">
        <f ca="1">$N$15*VLOOKUP(EOMONTH(F24,-1)+1,'Tullet US'!$A$24:$C$32,3,0)*6.35</f>
        <v>0</v>
      </c>
      <c r="G15" s="120">
        <f ca="1">$N$15*VLOOKUP(EOMONTH(G24,-1)+1,'Tullet US'!$A$24:$C$32,3,0)*6.35</f>
        <v>0</v>
      </c>
      <c r="H15" s="120">
        <f ca="1">$N$15*VLOOKUP(EOMONTH(H24,-1)+1,'Tullet US'!$A$24:$C$32,3,0)*6.35</f>
        <v>0</v>
      </c>
      <c r="I15" s="120">
        <f ca="1">$N$15*VLOOKUP(EOMONTH(I24,-1)+1,'Tullet US'!$A$24:$C$32,3,0)*6.35</f>
        <v>0</v>
      </c>
      <c r="J15" s="120">
        <f ca="1">$N$15*VLOOKUP(EOMONTH(J24,-1)+1,'Tullet US'!$A$24:$C$32,3,0)*6.35</f>
        <v>0</v>
      </c>
    </row>
    <row r="16" spans="1:10" x14ac:dyDescent="0.25">
      <c r="A16" s="5" t="s">
        <v>60</v>
      </c>
      <c r="B16" s="106">
        <v>12500</v>
      </c>
      <c r="C16" s="6"/>
      <c r="D16" s="6"/>
      <c r="E16" s="120">
        <f>B16/B$7</f>
        <v>0.12755102040816327</v>
      </c>
      <c r="F16" s="121">
        <f>B16/B$7</f>
        <v>0.12755102040816327</v>
      </c>
      <c r="G16" s="120">
        <f>B16/B$7</f>
        <v>0.12755102040816327</v>
      </c>
      <c r="H16" s="121">
        <f>B16/B$7</f>
        <v>0.12755102040816327</v>
      </c>
      <c r="I16" s="120">
        <f>B16/B$7</f>
        <v>0.12755102040816327</v>
      </c>
      <c r="J16" s="121">
        <f>B16/B$7</f>
        <v>0.12755102040816327</v>
      </c>
    </row>
    <row r="17" spans="1:10" x14ac:dyDescent="0.25">
      <c r="A17" s="5" t="s">
        <v>61</v>
      </c>
      <c r="B17" s="106">
        <v>1250</v>
      </c>
      <c r="C17" s="6"/>
      <c r="D17" s="6"/>
      <c r="E17" s="120">
        <f>B17/B$7</f>
        <v>1.2755102040816327E-2</v>
      </c>
      <c r="F17" s="121">
        <f>B17/B$7</f>
        <v>1.2755102040816327E-2</v>
      </c>
      <c r="G17" s="120">
        <f>B17/B$7</f>
        <v>1.2755102040816327E-2</v>
      </c>
      <c r="H17" s="121">
        <f>B17/B$7</f>
        <v>1.2755102040816327E-2</v>
      </c>
      <c r="I17" s="120">
        <f>B17/B$7</f>
        <v>1.2755102040816327E-2</v>
      </c>
      <c r="J17" s="121">
        <f>B17/B$7</f>
        <v>1.2755102040816327E-2</v>
      </c>
    </row>
    <row r="18" spans="1:10" x14ac:dyDescent="0.25">
      <c r="A18" s="5" t="s">
        <v>62</v>
      </c>
      <c r="B18" s="106">
        <v>1250</v>
      </c>
      <c r="C18" s="6"/>
      <c r="D18" s="6"/>
      <c r="E18" s="120">
        <f>B18/B$7</f>
        <v>1.2755102040816327E-2</v>
      </c>
      <c r="F18" s="121">
        <f>B18/B$7</f>
        <v>1.2755102040816327E-2</v>
      </c>
      <c r="G18" s="120">
        <f>B18/B$7</f>
        <v>1.2755102040816327E-2</v>
      </c>
      <c r="H18" s="121">
        <f>B18/B$7</f>
        <v>1.2755102040816327E-2</v>
      </c>
      <c r="I18" s="120">
        <f>B18/B$7</f>
        <v>1.2755102040816327E-2</v>
      </c>
      <c r="J18" s="121">
        <f>B18/B$7</f>
        <v>1.2755102040816327E-2</v>
      </c>
    </row>
    <row r="19" spans="1:10" x14ac:dyDescent="0.25">
      <c r="A19" s="5" t="s">
        <v>63</v>
      </c>
      <c r="B19" s="106">
        <v>15000</v>
      </c>
      <c r="C19" s="6"/>
      <c r="D19" s="6"/>
      <c r="E19" s="120">
        <f>B19/B$7</f>
        <v>0.15306122448979592</v>
      </c>
      <c r="F19" s="121">
        <f>B19/B$7</f>
        <v>0.15306122448979592</v>
      </c>
      <c r="G19" s="120">
        <f>B19/B$7</f>
        <v>0.15306122448979592</v>
      </c>
      <c r="H19" s="121">
        <f>B19/B$7</f>
        <v>0.15306122448979592</v>
      </c>
      <c r="I19" s="120">
        <f>B19/B$7</f>
        <v>0.15306122448979592</v>
      </c>
      <c r="J19" s="121">
        <f>B19/B$7</f>
        <v>0.15306122448979592</v>
      </c>
    </row>
    <row r="20" spans="1:10" ht="15.75" thickBot="1" x14ac:dyDescent="0.3">
      <c r="A20" s="5" t="s">
        <v>64</v>
      </c>
      <c r="B20" s="106">
        <v>10000</v>
      </c>
      <c r="C20" s="6"/>
      <c r="D20" s="6"/>
      <c r="E20" s="120">
        <f>B20/B$7</f>
        <v>0.10204081632653061</v>
      </c>
      <c r="F20" s="121">
        <f>B20/B$7</f>
        <v>0.10204081632653061</v>
      </c>
      <c r="G20" s="120">
        <f>B20/B$7</f>
        <v>0.10204081632653061</v>
      </c>
      <c r="H20" s="121">
        <f>B20/B$7</f>
        <v>0.10204081632653061</v>
      </c>
      <c r="I20" s="120">
        <f>B20/B$7</f>
        <v>0.10204081632653061</v>
      </c>
      <c r="J20" s="121">
        <f>B20/B$7</f>
        <v>0.10204081632653061</v>
      </c>
    </row>
    <row r="21" spans="1:10" ht="15.75" thickBot="1" x14ac:dyDescent="0.3">
      <c r="A21" s="8" t="s">
        <v>100</v>
      </c>
      <c r="B21" s="134">
        <f ca="1">SUM(B6:B20)</f>
        <v>2160714.0997260273</v>
      </c>
      <c r="C21" s="9"/>
      <c r="D21" s="9"/>
      <c r="E21" s="126">
        <f t="shared" ref="E21:J21" ca="1" si="0">SUM(E6:E20)</f>
        <v>19.823095558428857</v>
      </c>
      <c r="F21" s="127">
        <f t="shared" ca="1" si="0"/>
        <v>20.501374258361853</v>
      </c>
      <c r="G21" s="126">
        <f t="shared" ca="1" si="0"/>
        <v>19.80840891459324</v>
      </c>
      <c r="H21" s="127">
        <f t="shared" ca="1" si="0"/>
        <v>20.46465764877281</v>
      </c>
      <c r="I21" s="126">
        <f t="shared" ca="1" si="0"/>
        <v>19.80840891459324</v>
      </c>
      <c r="J21" s="127">
        <f t="shared" ca="1" si="0"/>
        <v>20.46465764877281</v>
      </c>
    </row>
    <row r="22" spans="1:10" ht="15.75" thickBot="1" x14ac:dyDescent="0.3">
      <c r="A22" s="5" t="s">
        <v>101</v>
      </c>
      <c r="B22" s="106"/>
      <c r="C22" s="6"/>
      <c r="D22" s="6"/>
      <c r="E22" s="125">
        <f ca="1">'ROLLS HS'!L124</f>
        <v>3.4399999999999409</v>
      </c>
      <c r="F22" s="124">
        <f ca="1">'ROLLS LS'!K124</f>
        <v>23.241</v>
      </c>
      <c r="G22" s="125">
        <f ca="1">'ROLLS HS'!L127</f>
        <v>-5.5375000000000796</v>
      </c>
      <c r="H22" s="124">
        <f ca="1">'ROLLS LS'!K127</f>
        <v>16.509999999999994</v>
      </c>
      <c r="I22" s="125">
        <f ca="1">'ROLLS HS'!L130</f>
        <v>-5.5375000000000796</v>
      </c>
      <c r="J22" s="124">
        <f ca="1">'ROLLS LS'!K130</f>
        <v>16.509999999999994</v>
      </c>
    </row>
    <row r="23" spans="1:10" ht="15.75" thickBot="1" x14ac:dyDescent="0.3">
      <c r="A23" s="8" t="s">
        <v>113</v>
      </c>
      <c r="B23" s="110"/>
      <c r="C23" s="9"/>
      <c r="D23" s="9"/>
      <c r="E23" s="126">
        <f t="shared" ref="E23:J23" ca="1" si="1">E22-E21</f>
        <v>-16.383095558428916</v>
      </c>
      <c r="F23" s="127">
        <f t="shared" ca="1" si="1"/>
        <v>2.7396257416381466</v>
      </c>
      <c r="G23" s="126">
        <f t="shared" ca="1" si="1"/>
        <v>-25.34590891459332</v>
      </c>
      <c r="H23" s="127">
        <f t="shared" ca="1" si="1"/>
        <v>-3.954657648772816</v>
      </c>
      <c r="I23" s="126">
        <f t="shared" ca="1" si="1"/>
        <v>-25.34590891459332</v>
      </c>
      <c r="J23" s="127">
        <f t="shared" ca="1" si="1"/>
        <v>-3.954657648772816</v>
      </c>
    </row>
    <row r="24" spans="1:10" x14ac:dyDescent="0.25">
      <c r="A24" s="5" t="s">
        <v>84</v>
      </c>
      <c r="B24" s="107"/>
      <c r="C24" s="6"/>
      <c r="D24" s="6"/>
      <c r="E24" s="128">
        <f ca="1">'Loading Arrival'!L18</f>
        <v>45925</v>
      </c>
      <c r="F24" s="128">
        <f ca="1">'Loading Arrival'!L18</f>
        <v>45925</v>
      </c>
      <c r="G24" s="128">
        <f ca="1">'Loading Arrival'!M18</f>
        <v>45939</v>
      </c>
      <c r="H24" s="128">
        <f ca="1">'Loading Arrival'!M18</f>
        <v>45939</v>
      </c>
      <c r="I24" s="128">
        <f ca="1">'Loading Arrival'!N18</f>
        <v>45953</v>
      </c>
      <c r="J24" s="128">
        <f ca="1">'Loading Arrival'!N18</f>
        <v>45953</v>
      </c>
    </row>
    <row r="25" spans="1:10" ht="15.75" thickBot="1" x14ac:dyDescent="0.3">
      <c r="A25" s="7" t="s">
        <v>99</v>
      </c>
      <c r="B25" s="108"/>
      <c r="C25" s="105"/>
      <c r="D25" s="105"/>
      <c r="E25" s="610">
        <f ca="1">'Loading Arrival'!L18</f>
        <v>45925</v>
      </c>
      <c r="F25" s="611"/>
      <c r="G25" s="612">
        <f ca="1">'Loading Arrival'!M18</f>
        <v>45939</v>
      </c>
      <c r="H25" s="613"/>
      <c r="I25" s="614">
        <f ca="1">'Loading Arrival'!N18</f>
        <v>45953</v>
      </c>
      <c r="J25" s="611"/>
    </row>
  </sheetData>
  <mergeCells count="10">
    <mergeCell ref="E3:F3"/>
    <mergeCell ref="G3:H3"/>
    <mergeCell ref="I3:J3"/>
    <mergeCell ref="A4:D4"/>
    <mergeCell ref="E4:F4"/>
    <mergeCell ref="G4:H4"/>
    <mergeCell ref="I4:J4"/>
    <mergeCell ref="E25:F25"/>
    <mergeCell ref="G25:H25"/>
    <mergeCell ref="I25:J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3DDA5-22DB-429F-8851-460E388965D5}">
  <sheetPr>
    <tabColor theme="0" tint="-0.34998626667073579"/>
  </sheetPr>
  <dimension ref="A3:U25"/>
  <sheetViews>
    <sheetView workbookViewId="0">
      <selection activeCell="H31" sqref="H31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257</v>
      </c>
      <c r="B4" s="607"/>
      <c r="C4" s="607"/>
      <c r="D4" s="607"/>
      <c r="E4" s="608">
        <f ca="1">'Loading Arrival'!L21</f>
        <v>45918</v>
      </c>
      <c r="F4" s="609"/>
      <c r="G4" s="617">
        <f ca="1">'Loading Arrival'!M21</f>
        <v>45932</v>
      </c>
      <c r="H4" s="609"/>
      <c r="I4" s="617">
        <f ca="1">'Loading Arrival'!N21</f>
        <v>45946</v>
      </c>
      <c r="J4" s="609"/>
      <c r="L4" s="606" t="s">
        <v>258</v>
      </c>
      <c r="M4" s="607"/>
      <c r="N4" s="607"/>
      <c r="O4" s="607"/>
      <c r="P4" s="608">
        <f ca="1">E4</f>
        <v>45918</v>
      </c>
      <c r="Q4" s="609"/>
      <c r="R4" s="617">
        <f ca="1">G4</f>
        <v>45932</v>
      </c>
      <c r="S4" s="609"/>
      <c r="T4" s="617">
        <f ca="1">I4</f>
        <v>45946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VLOOKUP(A4,Freight!$A$2:$G$24,2,0)</f>
        <v>2459340</v>
      </c>
      <c r="C6" s="6"/>
      <c r="D6" s="6"/>
      <c r="E6" s="120">
        <f>B6/B$7</f>
        <v>16.395600000000002</v>
      </c>
      <c r="F6" s="121">
        <f>B6/B$7</f>
        <v>16.395600000000002</v>
      </c>
      <c r="G6" s="120">
        <f>B6/B$7</f>
        <v>16.395600000000002</v>
      </c>
      <c r="H6" s="121">
        <f>B6/B$7</f>
        <v>16.395600000000002</v>
      </c>
      <c r="I6" s="120">
        <f>B6/B$7</f>
        <v>16.395600000000002</v>
      </c>
      <c r="J6" s="121">
        <f>B6/B$7</f>
        <v>16.395600000000002</v>
      </c>
      <c r="L6" s="5" t="s">
        <v>53</v>
      </c>
      <c r="M6" s="106">
        <f>VLOOKUP(L4,Freight!$A$2:$G$24,2,0)</f>
        <v>1912820</v>
      </c>
      <c r="N6" s="6"/>
      <c r="O6" s="6"/>
      <c r="P6" s="120">
        <f>M6/M$7</f>
        <v>19.518571428571427</v>
      </c>
      <c r="Q6" s="121">
        <f>M6/M$7</f>
        <v>19.518571428571427</v>
      </c>
      <c r="R6" s="120">
        <f>M6/M$7</f>
        <v>19.518571428571427</v>
      </c>
      <c r="S6" s="121">
        <f>M6/M$7</f>
        <v>19.518571428571427</v>
      </c>
      <c r="T6" s="120">
        <f>M6/M$7</f>
        <v>19.518571428571427</v>
      </c>
      <c r="U6" s="121">
        <f>M6/M$7</f>
        <v>19.518571428571427</v>
      </c>
    </row>
    <row r="7" spans="1:21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98000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600000</v>
      </c>
      <c r="C8" s="7">
        <f>VLOOKUP(A$4,Freight!$A$2:$G$24,5,0)</f>
        <v>60000</v>
      </c>
      <c r="D8" s="105">
        <v>10</v>
      </c>
      <c r="E8" s="120">
        <f>B$8/B$7</f>
        <v>4</v>
      </c>
      <c r="F8" s="121">
        <f>B$8/B$7</f>
        <v>4</v>
      </c>
      <c r="G8" s="120">
        <f>B8/B$7</f>
        <v>4</v>
      </c>
      <c r="H8" s="121">
        <f>B8/B$7</f>
        <v>4</v>
      </c>
      <c r="I8" s="120">
        <f>B8/B$7</f>
        <v>4</v>
      </c>
      <c r="J8" s="121">
        <f>B8/B$7</f>
        <v>4</v>
      </c>
      <c r="L8" s="5" t="s">
        <v>55</v>
      </c>
      <c r="M8" s="106">
        <f>N8*O8</f>
        <v>227500</v>
      </c>
      <c r="N8" s="7">
        <f>VLOOKUP(L$4,Freight!$A$2:$G$24,5,0)</f>
        <v>32500</v>
      </c>
      <c r="O8" s="105">
        <v>7</v>
      </c>
      <c r="P8" s="120">
        <f>M$8/M$7</f>
        <v>2.3214285714285716</v>
      </c>
      <c r="Q8" s="121">
        <f>M$8/M$7</f>
        <v>2.3214285714285716</v>
      </c>
      <c r="R8" s="120">
        <f>M8/M$7</f>
        <v>2.3214285714285716</v>
      </c>
      <c r="S8" s="121">
        <f>M8/M$7</f>
        <v>2.3214285714285716</v>
      </c>
      <c r="T8" s="120">
        <f>M8/M$7</f>
        <v>2.3214285714285716</v>
      </c>
      <c r="U8" s="121">
        <f>M8/M$7</f>
        <v>2.3214285714285716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56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124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(O12*((N12)/365)*VLOOKUP(EOMONTH(P4,-1)+1,Tullet!$A$4:$S$25,2,0))*M7</f>
        <v>331152.73972602742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M7*VLOOKUP(EOMONTH(P4,-1)+1,Tullet!$A$4:$S$25,2,0)*0.1%</f>
        <v>36627.5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C15*$B$7*VLOOKUP(EOMONTH(E24,-1)+1,'Tullet US'!$A$24:$C$32,3,0)*6.35</f>
        <v>165020.62499999997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1.1001374999999998</v>
      </c>
      <c r="F15" s="121">
        <f ca="1">$C$15*VLOOKUP(EOMONTH(F24,-1)+1,'Tullet US'!$A$24:$C$32,3,0)*6.35</f>
        <v>1.1001374999999998</v>
      </c>
      <c r="G15" s="120">
        <f ca="1">$C$15*VLOOKUP(EOMONTH(G24,-1)+1,'Tullet US'!$A$24:$C$32,3,0)*6.35</f>
        <v>1.1001374999999998</v>
      </c>
      <c r="H15" s="121">
        <f ca="1">$C$15*VLOOKUP(EOMONTH(H24,-1)+1,'Tullet US'!$A$24:$C$32,3,0)*6.35</f>
        <v>1.1001374999999998</v>
      </c>
      <c r="I15" s="120">
        <f ca="1">$C$15*VLOOKUP(EOMONTH(I24,-1)+1,'Tullet US'!$A$24:$C$32,3,0)*6.35</f>
        <v>1.0820399999999997</v>
      </c>
      <c r="J15" s="121">
        <f ca="1">$C$15*VLOOKUP(EOMONTH(J24,-1)+1,'Tullet US'!$A$24:$C$32,3,0)*6.35</f>
        <v>1.0820399999999997</v>
      </c>
      <c r="L15" s="5" t="s">
        <v>59</v>
      </c>
      <c r="M15" s="106">
        <f ca="1">N15*$M$7*VLOOKUP(EOMONTH(P24,-1)+1,'Tullet US'!$A$24:$C$32,3,0)*6.35</f>
        <v>107813.47499999998</v>
      </c>
      <c r="N15" s="104">
        <v>3.0000000000000001E-3</v>
      </c>
      <c r="O15" s="105" t="s">
        <v>184</v>
      </c>
      <c r="P15" s="120">
        <f ca="1">$N$15*VLOOKUP(EOMONTH(P24,-1)+1,'Tullet US'!$A$24:$C$32,3,0)*6.35</f>
        <v>1.1001374999999998</v>
      </c>
      <c r="Q15" s="120">
        <f ca="1">$N$15*VLOOKUP(EOMONTH(Q24,-1)+1,'Tullet US'!$A$24:$C$32,3,0)*6.35</f>
        <v>1.1001374999999998</v>
      </c>
      <c r="R15" s="120">
        <f ca="1">$N$15*VLOOKUP(EOMONTH(R24,-1)+1,'Tullet US'!$A$24:$C$32,3,0)*6.35</f>
        <v>1.1001374999999998</v>
      </c>
      <c r="S15" s="120">
        <f ca="1">$N$15*VLOOKUP(EOMONTH(S24,-1)+1,'Tullet US'!$A$24:$C$32,3,0)*6.35</f>
        <v>1.1001374999999998</v>
      </c>
      <c r="T15" s="120">
        <f ca="1">$N$15*VLOOKUP(EOMONTH(T24,-1)+1,'Tullet US'!$A$24:$C$32,3,0)*6.35</f>
        <v>1.0820399999999997</v>
      </c>
      <c r="U15" s="120">
        <f ca="1">$N$15*VLOOKUP(EOMONTH(U24,-1)+1,'Tullet US'!$A$24:$C$32,3,0)*6.35</f>
        <v>1.0820399999999997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60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61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62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63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64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100</v>
      </c>
      <c r="B21" s="134">
        <f ca="1">SUM(B6:B20)</f>
        <v>4042289.5633561644</v>
      </c>
      <c r="C21" s="9"/>
      <c r="D21" s="9"/>
      <c r="E21" s="126">
        <f ca="1">SUM(E6:E20)</f>
        <v>25.855159589041101</v>
      </c>
      <c r="F21" s="127">
        <f ca="1">SUM(F6:F20)</f>
        <v>26.533438288974097</v>
      </c>
      <c r="G21" s="126">
        <f t="shared" ref="G21:J21" ca="1" si="0">SUM(G6:G20)</f>
        <v>25.84047294520548</v>
      </c>
      <c r="H21" s="127">
        <f t="shared" ca="1" si="0"/>
        <v>26.496721679385054</v>
      </c>
      <c r="I21" s="126">
        <f t="shared" ca="1" si="0"/>
        <v>25.822375445205481</v>
      </c>
      <c r="J21" s="127">
        <f t="shared" ca="1" si="0"/>
        <v>26.478624179385054</v>
      </c>
      <c r="L21" s="8" t="s">
        <v>100</v>
      </c>
      <c r="M21" s="134">
        <f ca="1">SUM(M6:M20)</f>
        <v>2818913.7147260276</v>
      </c>
      <c r="N21" s="9"/>
      <c r="O21" s="9"/>
      <c r="P21" s="126">
        <f t="shared" ref="P21:U21" ca="1" si="1">SUM(P6:P20)</f>
        <v>27.670988160469669</v>
      </c>
      <c r="Q21" s="127">
        <f t="shared" ca="1" si="1"/>
        <v>28.349266860402665</v>
      </c>
      <c r="R21" s="126">
        <f t="shared" ca="1" si="1"/>
        <v>27.656301516634052</v>
      </c>
      <c r="S21" s="127">
        <f t="shared" ca="1" si="1"/>
        <v>28.312550250813622</v>
      </c>
      <c r="T21" s="126">
        <f t="shared" ca="1" si="1"/>
        <v>27.638204016634052</v>
      </c>
      <c r="U21" s="127">
        <f t="shared" ca="1" si="1"/>
        <v>28.294452750813623</v>
      </c>
    </row>
    <row r="22" spans="1:21" ht="15.75" thickBot="1" x14ac:dyDescent="0.3">
      <c r="A22" s="5" t="s">
        <v>101</v>
      </c>
      <c r="B22" s="106"/>
      <c r="C22" s="6"/>
      <c r="D22" s="6"/>
      <c r="E22" s="125">
        <f ca="1">'ROLLS HS'!L94</f>
        <v>1.1956249999999358</v>
      </c>
      <c r="F22" s="124">
        <f ca="1">'ROLLS LS'!K94</f>
        <v>21.558249999999997</v>
      </c>
      <c r="G22" s="125">
        <f ca="1">'ROLLS HS'!L97</f>
        <v>-5.5375000000000796</v>
      </c>
      <c r="H22" s="124">
        <f ca="1">'ROLLS LS'!K97</f>
        <v>16.509999999999994</v>
      </c>
      <c r="I22" s="125">
        <f ca="1">'ROLLS HS'!L100</f>
        <v>-5.5375000000000796</v>
      </c>
      <c r="J22" s="124">
        <f ca="1">'ROLLS LS'!K100</f>
        <v>16.509999999999994</v>
      </c>
      <c r="L22" s="5" t="s">
        <v>101</v>
      </c>
      <c r="M22" s="106"/>
      <c r="N22" s="6"/>
      <c r="O22" s="6"/>
      <c r="P22" s="125">
        <f t="shared" ref="P22:U22" ca="1" si="2">E22</f>
        <v>1.1956249999999358</v>
      </c>
      <c r="Q22" s="124">
        <f t="shared" ca="1" si="2"/>
        <v>21.558249999999997</v>
      </c>
      <c r="R22" s="125">
        <f t="shared" ca="1" si="2"/>
        <v>-5.5375000000000796</v>
      </c>
      <c r="S22" s="124">
        <f t="shared" ca="1" si="2"/>
        <v>16.509999999999994</v>
      </c>
      <c r="T22" s="125">
        <f t="shared" ca="1" si="2"/>
        <v>-5.5375000000000796</v>
      </c>
      <c r="U22" s="124">
        <f t="shared" ca="1" si="2"/>
        <v>16.509999999999994</v>
      </c>
    </row>
    <row r="23" spans="1:21" ht="15.75" thickBot="1" x14ac:dyDescent="0.3">
      <c r="A23" s="8" t="s">
        <v>113</v>
      </c>
      <c r="B23" s="110"/>
      <c r="C23" s="9"/>
      <c r="D23" s="9"/>
      <c r="E23" s="126">
        <f ca="1">E22-E21</f>
        <v>-24.659534589041165</v>
      </c>
      <c r="F23" s="127">
        <f ca="1">F22-F21</f>
        <v>-4.975188288974099</v>
      </c>
      <c r="G23" s="126">
        <f ca="1">G22-G21</f>
        <v>-31.37797294520556</v>
      </c>
      <c r="H23" s="127">
        <f t="shared" ref="H23:J23" ca="1" si="3">H22-H21</f>
        <v>-9.9867216793850595</v>
      </c>
      <c r="I23" s="126">
        <f ca="1">I22-I21</f>
        <v>-31.35987544520556</v>
      </c>
      <c r="J23" s="127">
        <f t="shared" ca="1" si="3"/>
        <v>-9.9686241793850598</v>
      </c>
      <c r="L23" s="8" t="s">
        <v>113</v>
      </c>
      <c r="M23" s="110"/>
      <c r="N23" s="9"/>
      <c r="O23" s="9"/>
      <c r="P23" s="126">
        <f t="shared" ref="P23:U23" ca="1" si="4">P22-P21</f>
        <v>-26.475363160469733</v>
      </c>
      <c r="Q23" s="127">
        <f t="shared" ca="1" si="4"/>
        <v>-6.7910168604026673</v>
      </c>
      <c r="R23" s="126">
        <f t="shared" ca="1" si="4"/>
        <v>-33.193801516634132</v>
      </c>
      <c r="S23" s="127">
        <f t="shared" ca="1" si="4"/>
        <v>-11.802550250813628</v>
      </c>
      <c r="T23" s="126">
        <f t="shared" ca="1" si="4"/>
        <v>-33.175704016634128</v>
      </c>
      <c r="U23" s="127">
        <f t="shared" ca="1" si="4"/>
        <v>-11.784452750813628</v>
      </c>
    </row>
    <row r="24" spans="1:21" x14ac:dyDescent="0.25">
      <c r="A24" s="5" t="s">
        <v>84</v>
      </c>
      <c r="B24" s="107"/>
      <c r="C24" s="6"/>
      <c r="D24" s="6"/>
      <c r="E24" s="128">
        <f ca="1">'Loading Arrival'!L27</f>
        <v>45934</v>
      </c>
      <c r="F24" s="128">
        <f ca="1">'Loading Arrival'!L27</f>
        <v>45934</v>
      </c>
      <c r="G24" s="128">
        <f ca="1">'Loading Arrival'!M27</f>
        <v>45948</v>
      </c>
      <c r="H24" s="129">
        <f ca="1">'Loading Arrival'!M27</f>
        <v>45948</v>
      </c>
      <c r="I24" s="128">
        <f ca="1">'Loading Arrival'!N27</f>
        <v>45962</v>
      </c>
      <c r="J24" s="129">
        <f ca="1">'Loading Arrival'!N27</f>
        <v>45962</v>
      </c>
      <c r="L24" s="5" t="s">
        <v>84</v>
      </c>
      <c r="M24" s="107"/>
      <c r="N24" s="6"/>
      <c r="O24" s="6"/>
      <c r="P24" s="128">
        <f t="shared" ref="P24:U24" ca="1" si="5">E24</f>
        <v>45934</v>
      </c>
      <c r="Q24" s="129">
        <f t="shared" ca="1" si="5"/>
        <v>45934</v>
      </c>
      <c r="R24" s="128">
        <f t="shared" ca="1" si="5"/>
        <v>45948</v>
      </c>
      <c r="S24" s="129">
        <f t="shared" ca="1" si="5"/>
        <v>45948</v>
      </c>
      <c r="T24" s="128">
        <f t="shared" ca="1" si="5"/>
        <v>45962</v>
      </c>
      <c r="U24" s="129">
        <f t="shared" ca="1" si="5"/>
        <v>45962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Arrival'!L27</f>
        <v>45934</v>
      </c>
      <c r="F25" s="611"/>
      <c r="G25" s="612">
        <f ca="1">'Loading Arrival'!M27</f>
        <v>45948</v>
      </c>
      <c r="H25" s="613"/>
      <c r="I25" s="614">
        <f ca="1">'Loading Arrival'!N27</f>
        <v>45962</v>
      </c>
      <c r="J25" s="611"/>
      <c r="L25" s="7" t="s">
        <v>99</v>
      </c>
      <c r="M25" s="108"/>
      <c r="N25" s="105"/>
      <c r="O25" s="105"/>
      <c r="P25" s="610">
        <f ca="1">E25</f>
        <v>45934</v>
      </c>
      <c r="Q25" s="611"/>
      <c r="R25" s="612">
        <f ca="1">G25</f>
        <v>45948</v>
      </c>
      <c r="S25" s="613"/>
      <c r="T25" s="614">
        <f ca="1">I25</f>
        <v>45962</v>
      </c>
      <c r="U25" s="611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6F9BE-D012-4D0F-A9AB-2E8D781824E2}">
  <sheetPr>
    <tabColor theme="0" tint="-0.34998626667073579"/>
  </sheetPr>
  <dimension ref="A3:U25"/>
  <sheetViews>
    <sheetView workbookViewId="0">
      <selection activeCell="I34" sqref="I34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259</v>
      </c>
      <c r="B4" s="607"/>
      <c r="C4" s="607"/>
      <c r="D4" s="607"/>
      <c r="E4" s="608">
        <f ca="1">'Loading Arrival'!L30</f>
        <v>45917</v>
      </c>
      <c r="F4" s="609"/>
      <c r="G4" s="617">
        <f ca="1">'Loading Arrival'!M30</f>
        <v>45931</v>
      </c>
      <c r="H4" s="609"/>
      <c r="I4" s="617">
        <f ca="1">'Loading Arrival'!N30</f>
        <v>45945</v>
      </c>
      <c r="J4" s="609"/>
      <c r="L4" s="606" t="s">
        <v>260</v>
      </c>
      <c r="M4" s="607"/>
      <c r="N4" s="607"/>
      <c r="O4" s="607"/>
      <c r="P4" s="608">
        <f ca="1">E4</f>
        <v>45917</v>
      </c>
      <c r="Q4" s="609"/>
      <c r="R4" s="617">
        <f ca="1">G4</f>
        <v>45931</v>
      </c>
      <c r="S4" s="609"/>
      <c r="T4" s="617">
        <f ca="1">I4</f>
        <v>45945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VLOOKUP(A4,Freight!$A$2:$G$24,2,0)</f>
        <v>1179360</v>
      </c>
      <c r="C6" s="6"/>
      <c r="D6" s="6"/>
      <c r="E6" s="120">
        <f>B6/B$7</f>
        <v>7.8624000000000001</v>
      </c>
      <c r="F6" s="121">
        <f>B6/B$7</f>
        <v>7.8624000000000001</v>
      </c>
      <c r="G6" s="120">
        <f>B6/B$7</f>
        <v>7.8624000000000001</v>
      </c>
      <c r="H6" s="121">
        <f>B6/B$7</f>
        <v>7.8624000000000001</v>
      </c>
      <c r="I6" s="120">
        <f>B6/B$7</f>
        <v>7.8624000000000001</v>
      </c>
      <c r="J6" s="121">
        <f>B6/B$7</f>
        <v>7.8624000000000001</v>
      </c>
      <c r="L6" s="5" t="s">
        <v>53</v>
      </c>
      <c r="M6" s="106">
        <f>VLOOKUP(L4,Freight!$A$2:$G$24,2,0)</f>
        <v>1028160</v>
      </c>
      <c r="N6" s="6"/>
      <c r="O6" s="6"/>
      <c r="P6" s="120">
        <f>M6/M$7</f>
        <v>10.491428571428571</v>
      </c>
      <c r="Q6" s="121">
        <f>M6/M$7</f>
        <v>10.491428571428571</v>
      </c>
      <c r="R6" s="120">
        <f>M6/M$7</f>
        <v>10.491428571428571</v>
      </c>
      <c r="S6" s="121">
        <f>M6/M$7</f>
        <v>10.491428571428571</v>
      </c>
      <c r="T6" s="120">
        <f>M6/M$7</f>
        <v>10.491428571428571</v>
      </c>
      <c r="U6" s="121">
        <f>M6/M$7</f>
        <v>10.491428571428571</v>
      </c>
    </row>
    <row r="7" spans="1:21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98000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600000</v>
      </c>
      <c r="C8" s="7">
        <f>VLOOKUP(A$4,Freight!$A$2:$G$24,5,0)</f>
        <v>60000</v>
      </c>
      <c r="D8" s="105">
        <v>10</v>
      </c>
      <c r="E8" s="120">
        <f>B$8/B$7</f>
        <v>4</v>
      </c>
      <c r="F8" s="121">
        <f>B$8/B$7</f>
        <v>4</v>
      </c>
      <c r="G8" s="120">
        <f>B8/B$7</f>
        <v>4</v>
      </c>
      <c r="H8" s="121">
        <f>B8/B$7</f>
        <v>4</v>
      </c>
      <c r="I8" s="120">
        <f>B8/B$7</f>
        <v>4</v>
      </c>
      <c r="J8" s="121">
        <f>B8/B$7</f>
        <v>4</v>
      </c>
      <c r="L8" s="5" t="s">
        <v>55</v>
      </c>
      <c r="M8" s="106">
        <f>N8*O8</f>
        <v>227500</v>
      </c>
      <c r="N8" s="7">
        <f>VLOOKUP(L$4,Freight!$A$2:$G$24,5,0)</f>
        <v>32500</v>
      </c>
      <c r="O8" s="105">
        <v>7</v>
      </c>
      <c r="P8" s="120">
        <f>M$8/M$7</f>
        <v>2.3214285714285716</v>
      </c>
      <c r="Q8" s="121">
        <f>M$8/M$7</f>
        <v>2.3214285714285716</v>
      </c>
      <c r="R8" s="120">
        <f>M8/M$7</f>
        <v>2.3214285714285716</v>
      </c>
      <c r="S8" s="121">
        <f>M8/M$7</f>
        <v>2.3214285714285716</v>
      </c>
      <c r="T8" s="120">
        <f>M8/M$7</f>
        <v>2.3214285714285716</v>
      </c>
      <c r="U8" s="121">
        <f>M8/M$7</f>
        <v>2.3214285714285716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56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124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(O12*((N12)/365)*VLOOKUP(EOMONTH(P4,-1)+1,Tullet!$A$4:$S$25,2,0))*M7</f>
        <v>331152.73972602742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M7*VLOOKUP(EOMONTH(P4,-1)+1,Tullet!$A$4:$S$25,2,0)*0.1%</f>
        <v>36627.5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C15*$B$7*VLOOKUP(EOMONTH(E24,-1)+1,'Tullet US'!$A$24:$C$32,3,0)*6.35</f>
        <v>169735.49999999997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1.1315699999999997</v>
      </c>
      <c r="F15" s="121">
        <f ca="1">$C$15*VLOOKUP(EOMONTH(F24,-1)+1,'Tullet US'!$A$24:$C$32,3,0)*6.35</f>
        <v>1.1315699999999997</v>
      </c>
      <c r="G15" s="120">
        <f ca="1">$C$15*VLOOKUP(EOMONTH(G24,-1)+1,'Tullet US'!$A$24:$C$32,3,0)*6.35</f>
        <v>1.1001374999999998</v>
      </c>
      <c r="H15" s="121">
        <f ca="1">$C$15*VLOOKUP(EOMONTH(H24,-1)+1,'Tullet US'!$A$24:$C$32,3,0)*6.35</f>
        <v>1.1001374999999998</v>
      </c>
      <c r="I15" s="120">
        <f ca="1">$C$15*VLOOKUP(EOMONTH(I24,-1)+1,'Tullet US'!$A$24:$C$32,3,0)*6.35</f>
        <v>1.1001374999999998</v>
      </c>
      <c r="J15" s="121">
        <f ca="1">$C$15*VLOOKUP(EOMONTH(J24,-1)+1,'Tullet US'!$A$24:$C$32,3,0)*6.35</f>
        <v>1.1001374999999998</v>
      </c>
      <c r="L15" s="5" t="s">
        <v>59</v>
      </c>
      <c r="M15" s="106">
        <f ca="1">N15*$M$7*VLOOKUP(EOMONTH(P24,-1)+1,'Tullet US'!$A$24:$C$32,3,0)*6.35</f>
        <v>110893.85999999999</v>
      </c>
      <c r="N15" s="104">
        <v>3.0000000000000001E-3</v>
      </c>
      <c r="O15" s="105" t="s">
        <v>184</v>
      </c>
      <c r="P15" s="120">
        <f ca="1">$N$15*VLOOKUP(EOMONTH(P24,-1)+1,'Tullet US'!$A$24:$C$32,3,0)*6.35</f>
        <v>1.1315699999999997</v>
      </c>
      <c r="Q15" s="120">
        <f ca="1">$N$15*VLOOKUP(EOMONTH(Q24,-1)+1,'Tullet US'!$A$24:$C$32,3,0)*6.35</f>
        <v>1.1315699999999997</v>
      </c>
      <c r="R15" s="120">
        <f ca="1">$N$15*VLOOKUP(EOMONTH(R24,-1)+1,'Tullet US'!$A$24:$C$32,3,0)*6.35</f>
        <v>1.1001374999999998</v>
      </c>
      <c r="S15" s="120">
        <f ca="1">$N$15*VLOOKUP(EOMONTH(S24,-1)+1,'Tullet US'!$A$24:$C$32,3,0)*6.35</f>
        <v>1.1001374999999998</v>
      </c>
      <c r="T15" s="120">
        <f ca="1">$N$15*VLOOKUP(EOMONTH(T24,-1)+1,'Tullet US'!$A$24:$C$32,3,0)*6.35</f>
        <v>1.1001374999999998</v>
      </c>
      <c r="U15" s="120">
        <f ca="1">$N$15*VLOOKUP(EOMONTH(U24,-1)+1,'Tullet US'!$A$24:$C$32,3,0)*6.35</f>
        <v>1.1001374999999998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60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61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62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63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64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100</v>
      </c>
      <c r="B21" s="134">
        <f ca="1">SUM(B6:B20)</f>
        <v>2767024.4383561644</v>
      </c>
      <c r="C21" s="9"/>
      <c r="D21" s="9"/>
      <c r="E21" s="126">
        <f ca="1">SUM(E6:E20)</f>
        <v>17.353392089041094</v>
      </c>
      <c r="F21" s="127">
        <f ca="1">SUM(F6:F20)</f>
        <v>18.031670788974093</v>
      </c>
      <c r="G21" s="126">
        <f t="shared" ref="G21:J21" ca="1" si="0">SUM(G6:G20)</f>
        <v>17.307272945205479</v>
      </c>
      <c r="H21" s="127">
        <f t="shared" ca="1" si="0"/>
        <v>17.963521679385046</v>
      </c>
      <c r="I21" s="126">
        <f t="shared" ca="1" si="0"/>
        <v>17.307272945205479</v>
      </c>
      <c r="J21" s="127">
        <f t="shared" ca="1" si="0"/>
        <v>17.963521679385046</v>
      </c>
      <c r="L21" s="8" t="s">
        <v>100</v>
      </c>
      <c r="M21" s="134">
        <f ca="1">SUM(M6:M20)</f>
        <v>1937334.0997260273</v>
      </c>
      <c r="N21" s="9"/>
      <c r="O21" s="9"/>
      <c r="P21" s="126">
        <f t="shared" ref="P21:U21" ca="1" si="1">SUM(P6:P20)</f>
        <v>18.675277803326814</v>
      </c>
      <c r="Q21" s="127">
        <f t="shared" ca="1" si="1"/>
        <v>19.35355650325981</v>
      </c>
      <c r="R21" s="126">
        <f t="shared" ca="1" si="1"/>
        <v>18.629158659491196</v>
      </c>
      <c r="S21" s="127">
        <f t="shared" ca="1" si="1"/>
        <v>19.28540739367077</v>
      </c>
      <c r="T21" s="126">
        <f t="shared" ca="1" si="1"/>
        <v>18.629158659491196</v>
      </c>
      <c r="U21" s="127">
        <f t="shared" ca="1" si="1"/>
        <v>19.28540739367077</v>
      </c>
    </row>
    <row r="22" spans="1:21" ht="15.75" thickBot="1" x14ac:dyDescent="0.3">
      <c r="A22" s="5" t="s">
        <v>101</v>
      </c>
      <c r="B22" s="106"/>
      <c r="C22" s="6"/>
      <c r="D22" s="6"/>
      <c r="E22" s="125">
        <f ca="1">'ROLLS HS'!L104</f>
        <v>3.4399999999999409</v>
      </c>
      <c r="F22" s="124">
        <f ca="1">'ROLLS LS'!K104</f>
        <v>23.241</v>
      </c>
      <c r="G22" s="125">
        <f ca="1">'ROLLS HS'!L107</f>
        <v>-5.5375000000000796</v>
      </c>
      <c r="H22" s="124">
        <f ca="1">'ROLLS LS'!K107</f>
        <v>16.509999999999998</v>
      </c>
      <c r="I22" s="125">
        <f ca="1">'ROLLS HS'!L110</f>
        <v>-5.5375000000000796</v>
      </c>
      <c r="J22" s="124">
        <f ca="1">'ROLLS LS'!K110</f>
        <v>16.509999999999998</v>
      </c>
      <c r="L22" s="5" t="s">
        <v>101</v>
      </c>
      <c r="M22" s="106"/>
      <c r="N22" s="6"/>
      <c r="O22" s="6"/>
      <c r="P22" s="125">
        <f t="shared" ref="P22:U22" ca="1" si="2">E22</f>
        <v>3.4399999999999409</v>
      </c>
      <c r="Q22" s="124">
        <f t="shared" ca="1" si="2"/>
        <v>23.241</v>
      </c>
      <c r="R22" s="125">
        <f t="shared" ca="1" si="2"/>
        <v>-5.5375000000000796</v>
      </c>
      <c r="S22" s="124">
        <f t="shared" ca="1" si="2"/>
        <v>16.509999999999998</v>
      </c>
      <c r="T22" s="125">
        <f t="shared" ca="1" si="2"/>
        <v>-5.5375000000000796</v>
      </c>
      <c r="U22" s="124">
        <f t="shared" ca="1" si="2"/>
        <v>16.509999999999998</v>
      </c>
    </row>
    <row r="23" spans="1:21" ht="15.75" thickBot="1" x14ac:dyDescent="0.3">
      <c r="A23" s="8" t="s">
        <v>113</v>
      </c>
      <c r="B23" s="110"/>
      <c r="C23" s="9"/>
      <c r="D23" s="9"/>
      <c r="E23" s="126">
        <f ca="1">E22-E21</f>
        <v>-13.913392089041153</v>
      </c>
      <c r="F23" s="127">
        <f ca="1">F22-F21</f>
        <v>5.2093292110259064</v>
      </c>
      <c r="G23" s="126">
        <f ca="1">G22-G21</f>
        <v>-22.844772945205559</v>
      </c>
      <c r="H23" s="127">
        <f t="shared" ref="H23:J23" ca="1" si="3">H22-H21</f>
        <v>-1.4535216793850481</v>
      </c>
      <c r="I23" s="126">
        <f ca="1">I22-I21</f>
        <v>-22.844772945205559</v>
      </c>
      <c r="J23" s="127">
        <f t="shared" ca="1" si="3"/>
        <v>-1.4535216793850481</v>
      </c>
      <c r="L23" s="8" t="s">
        <v>113</v>
      </c>
      <c r="M23" s="110"/>
      <c r="N23" s="9"/>
      <c r="O23" s="9"/>
      <c r="P23" s="126">
        <f t="shared" ref="P23:U23" ca="1" si="4">P22-P21</f>
        <v>-15.235277803326873</v>
      </c>
      <c r="Q23" s="127">
        <f t="shared" ca="1" si="4"/>
        <v>3.8874434967401896</v>
      </c>
      <c r="R23" s="126">
        <f t="shared" ca="1" si="4"/>
        <v>-24.166658659491276</v>
      </c>
      <c r="S23" s="127">
        <f t="shared" ca="1" si="4"/>
        <v>-2.7754073936707719</v>
      </c>
      <c r="T23" s="126">
        <f t="shared" ca="1" si="4"/>
        <v>-24.166658659491276</v>
      </c>
      <c r="U23" s="127">
        <f t="shared" ca="1" si="4"/>
        <v>-2.7754073936707719</v>
      </c>
    </row>
    <row r="24" spans="1:21" x14ac:dyDescent="0.25">
      <c r="A24" s="5" t="s">
        <v>84</v>
      </c>
      <c r="B24" s="107"/>
      <c r="C24" s="6"/>
      <c r="D24" s="6"/>
      <c r="E24" s="128">
        <f ca="1">'Loading Arrival'!L36</f>
        <v>45923</v>
      </c>
      <c r="F24" s="128">
        <f ca="1">'Loading Arrival'!L36</f>
        <v>45923</v>
      </c>
      <c r="G24" s="128">
        <f ca="1">'Loading Arrival'!M36</f>
        <v>45937</v>
      </c>
      <c r="H24" s="129">
        <f ca="1">'Loading Arrival'!M36</f>
        <v>45937</v>
      </c>
      <c r="I24" s="128">
        <f ca="1">'Loading Arrival'!N36</f>
        <v>45951</v>
      </c>
      <c r="J24" s="129">
        <f ca="1">'Loading Arrival'!N36</f>
        <v>45951</v>
      </c>
      <c r="L24" s="5" t="s">
        <v>84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45923</v>
      </c>
      <c r="R24" s="128">
        <f t="shared" ca="1" si="5"/>
        <v>45937</v>
      </c>
      <c r="S24" s="129">
        <f t="shared" ca="1" si="5"/>
        <v>45937</v>
      </c>
      <c r="T24" s="128">
        <f t="shared" ca="1" si="5"/>
        <v>45951</v>
      </c>
      <c r="U24" s="129">
        <f t="shared" ca="1" si="5"/>
        <v>45951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Arrival'!L36</f>
        <v>45923</v>
      </c>
      <c r="F25" s="611"/>
      <c r="G25" s="612">
        <f ca="1">'Loading Arrival'!M36</f>
        <v>45937</v>
      </c>
      <c r="H25" s="613"/>
      <c r="I25" s="614">
        <f ca="1">'Loading Arrival'!N36</f>
        <v>45951</v>
      </c>
      <c r="J25" s="611"/>
      <c r="L25" s="7" t="s">
        <v>99</v>
      </c>
      <c r="M25" s="108"/>
      <c r="N25" s="105"/>
      <c r="O25" s="105"/>
      <c r="P25" s="610">
        <f ca="1">E25</f>
        <v>45923</v>
      </c>
      <c r="Q25" s="611"/>
      <c r="R25" s="612">
        <f ca="1">G25</f>
        <v>45937</v>
      </c>
      <c r="S25" s="613"/>
      <c r="T25" s="614">
        <f ca="1">I25</f>
        <v>45951</v>
      </c>
      <c r="U25" s="611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B0C6-6F9F-4020-ADE4-CA1D8F8A7118}">
  <sheetPr>
    <tabColor rgb="FFFF0000"/>
  </sheetPr>
  <dimension ref="A3:J25"/>
  <sheetViews>
    <sheetView workbookViewId="0">
      <selection activeCell="E7" sqref="E7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</cols>
  <sheetData>
    <row r="3" spans="1:10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</row>
    <row r="4" spans="1:10" x14ac:dyDescent="0.25">
      <c r="A4" s="606" t="s">
        <v>261</v>
      </c>
      <c r="B4" s="607"/>
      <c r="C4" s="607"/>
      <c r="D4" s="607"/>
      <c r="E4" s="608">
        <f ca="1">'Loading Arrival'!Q3</f>
        <v>45918</v>
      </c>
      <c r="F4" s="609"/>
      <c r="G4" s="617">
        <f ca="1">'Loading Arrival'!R3</f>
        <v>45932</v>
      </c>
      <c r="H4" s="609"/>
      <c r="I4" s="617">
        <f ca="1">'Loading Arrival'!S3</f>
        <v>45946</v>
      </c>
      <c r="J4" s="609"/>
    </row>
    <row r="5" spans="1:10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</row>
    <row r="6" spans="1:10" ht="15.75" thickBot="1" x14ac:dyDescent="0.3">
      <c r="A6" s="5" t="s">
        <v>53</v>
      </c>
      <c r="B6" s="106">
        <f>VLOOKUP(A4,Freight!$A$2:$G$24,2,0)</f>
        <v>3200000</v>
      </c>
      <c r="C6" s="6"/>
      <c r="D6" s="6"/>
      <c r="E6" s="120">
        <f>B6/B$7</f>
        <v>21.333333333333332</v>
      </c>
      <c r="F6" s="121">
        <f>B6/B$7</f>
        <v>21.333333333333332</v>
      </c>
      <c r="G6" s="120">
        <f>B6/B$7</f>
        <v>21.333333333333332</v>
      </c>
      <c r="H6" s="121">
        <f>B6/B$7</f>
        <v>21.333333333333332</v>
      </c>
      <c r="I6" s="120">
        <f>B6/B$7</f>
        <v>21.333333333333332</v>
      </c>
      <c r="J6" s="121">
        <f>B6/B$7</f>
        <v>21.333333333333332</v>
      </c>
    </row>
    <row r="7" spans="1:10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</row>
    <row r="8" spans="1:10" ht="15.75" thickBot="1" x14ac:dyDescent="0.3">
      <c r="A8" s="5" t="s">
        <v>55</v>
      </c>
      <c r="B8" s="106">
        <f>C8*D8</f>
        <v>500000</v>
      </c>
      <c r="C8" s="7">
        <f>VLOOKUP(A$4,Freight!$A$2:$G$24,5,0)</f>
        <v>50000</v>
      </c>
      <c r="D8" s="105">
        <v>10</v>
      </c>
      <c r="E8" s="120">
        <f>B$8/B$7</f>
        <v>3.3333333333333335</v>
      </c>
      <c r="F8" s="121">
        <f>B$8/B$7</f>
        <v>3.3333333333333335</v>
      </c>
      <c r="G8" s="120">
        <f>B8/B$7</f>
        <v>3.3333333333333335</v>
      </c>
      <c r="H8" s="121">
        <f>B8/B$7</f>
        <v>3.3333333333333335</v>
      </c>
      <c r="I8" s="120">
        <f>B8/B$7</f>
        <v>3.3333333333333335</v>
      </c>
      <c r="J8" s="121">
        <f>B8/B$7</f>
        <v>3.3333333333333335</v>
      </c>
    </row>
    <row r="9" spans="1:10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</row>
    <row r="10" spans="1:10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</row>
    <row r="11" spans="1:10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</row>
    <row r="12" spans="1:10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</row>
    <row r="13" spans="1:10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</row>
    <row r="14" spans="1:10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</row>
    <row r="15" spans="1:10" ht="15.75" thickBot="1" x14ac:dyDescent="0.3">
      <c r="A15" s="5" t="s">
        <v>59</v>
      </c>
      <c r="B15" s="106">
        <f ca="1">C15*$B$7*VLOOKUP(EOMONTH(E24,-1)+1,'Tullet US'!$A$24:$C$32,3,0)*6.35</f>
        <v>165020.62499999997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1.1001374999999998</v>
      </c>
      <c r="F15" s="121">
        <f ca="1">$C$15*VLOOKUP(EOMONTH(F24,-1)+1,'Tullet US'!$A$24:$C$32,3,0)*6.35</f>
        <v>1.1001374999999998</v>
      </c>
      <c r="G15" s="120">
        <f ca="1">$C$15*VLOOKUP(EOMONTH(G24,-1)+1,'Tullet US'!$A$24:$C$32,3,0)*6.35</f>
        <v>1.1001374999999998</v>
      </c>
      <c r="H15" s="121">
        <f ca="1">$C$15*VLOOKUP(EOMONTH(H24,-1)+1,'Tullet US'!$A$24:$C$32,3,0)*6.35</f>
        <v>1.1001374999999998</v>
      </c>
      <c r="I15" s="120">
        <f ca="1">$C$15*VLOOKUP(EOMONTH(I24,-1)+1,'Tullet US'!$A$24:$C$32,3,0)*6.35</f>
        <v>1.1001374999999998</v>
      </c>
      <c r="J15" s="121">
        <f ca="1">$C$15*VLOOKUP(EOMONTH(J24,-1)+1,'Tullet US'!$A$24:$C$32,3,0)*6.35</f>
        <v>1.1001374999999998</v>
      </c>
    </row>
    <row r="16" spans="1:10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</row>
    <row r="17" spans="1:10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</row>
    <row r="18" spans="1:10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</row>
    <row r="19" spans="1:10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</row>
    <row r="20" spans="1:10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</row>
    <row r="21" spans="1:10" ht="15.75" thickBot="1" x14ac:dyDescent="0.3">
      <c r="A21" s="8" t="s">
        <v>100</v>
      </c>
      <c r="B21" s="134">
        <f ca="1">SUM(B6:B20)</f>
        <v>4682949.5633561648</v>
      </c>
      <c r="C21" s="9"/>
      <c r="D21" s="9"/>
      <c r="E21" s="126">
        <f ca="1">SUM(E6:E20)</f>
        <v>30.126226255707763</v>
      </c>
      <c r="F21" s="127">
        <f ca="1">SUM(F6:F20)</f>
        <v>30.804504955640759</v>
      </c>
      <c r="G21" s="126">
        <f t="shared" ref="G21:J21" ca="1" si="0">SUM(G6:G20)</f>
        <v>30.111539611872143</v>
      </c>
      <c r="H21" s="127">
        <f t="shared" ca="1" si="0"/>
        <v>30.767788346051717</v>
      </c>
      <c r="I21" s="126">
        <f t="shared" ca="1" si="0"/>
        <v>30.111539611872143</v>
      </c>
      <c r="J21" s="127">
        <f t="shared" ca="1" si="0"/>
        <v>30.767788346051717</v>
      </c>
    </row>
    <row r="22" spans="1:10" ht="16.5" customHeight="1" thickBot="1" x14ac:dyDescent="0.3">
      <c r="A22" s="5" t="s">
        <v>101</v>
      </c>
      <c r="B22" s="106"/>
      <c r="C22" s="6"/>
      <c r="D22" s="6"/>
      <c r="E22" s="125">
        <f ca="1">'ROLLS HS'!L64</f>
        <v>1.8077272727272098</v>
      </c>
      <c r="F22" s="124">
        <f ca="1">'ROLLS LS'!K64</f>
        <v>22.017181818181815</v>
      </c>
      <c r="G22" s="125">
        <f ca="1">'ROLLS HS'!L67</f>
        <v>-5.5375000000000796</v>
      </c>
      <c r="H22" s="124">
        <f ca="1">'ROLLS LS'!K67</f>
        <v>16.509999999999994</v>
      </c>
      <c r="I22" s="125">
        <f ca="1">'ROLLS HS'!L70</f>
        <v>-5.5375000000000796</v>
      </c>
      <c r="J22" s="124">
        <f ca="1">'ROLLS LS'!K70</f>
        <v>16.509999999999994</v>
      </c>
    </row>
    <row r="23" spans="1:10" ht="16.5" customHeight="1" thickBot="1" x14ac:dyDescent="0.3">
      <c r="A23" s="8" t="s">
        <v>113</v>
      </c>
      <c r="B23" s="110"/>
      <c r="C23" s="9"/>
      <c r="D23" s="9"/>
      <c r="E23" s="126">
        <f ca="1">E22-E21</f>
        <v>-28.318498982980554</v>
      </c>
      <c r="F23" s="127">
        <f ca="1">F22-F21</f>
        <v>-8.7873231374589444</v>
      </c>
      <c r="G23" s="126">
        <f ca="1">G22-G21</f>
        <v>-35.649039611872226</v>
      </c>
      <c r="H23" s="127">
        <f t="shared" ref="H23:J23" ca="1" si="1">H22-H21</f>
        <v>-14.257788346051722</v>
      </c>
      <c r="I23" s="126">
        <f ca="1">I22-I21</f>
        <v>-35.649039611872226</v>
      </c>
      <c r="J23" s="127">
        <f t="shared" ca="1" si="1"/>
        <v>-14.257788346051722</v>
      </c>
    </row>
    <row r="24" spans="1:10" x14ac:dyDescent="0.25">
      <c r="A24" s="5" t="s">
        <v>84</v>
      </c>
      <c r="B24" s="107"/>
      <c r="C24" s="6"/>
      <c r="D24" s="6"/>
      <c r="E24" s="128">
        <f ca="1">'Loading Arrival'!Q9</f>
        <v>45932</v>
      </c>
      <c r="F24" s="128">
        <f ca="1">'Loading Arrival'!Q9</f>
        <v>45932</v>
      </c>
      <c r="G24" s="128">
        <f ca="1">'Loading Arrival'!R9</f>
        <v>45946</v>
      </c>
      <c r="H24" s="129">
        <f ca="1">'Loading Arrival'!R9</f>
        <v>45946</v>
      </c>
      <c r="I24" s="128">
        <f ca="1">'Loading Arrival'!S9</f>
        <v>45960</v>
      </c>
      <c r="J24" s="129">
        <f ca="1">'Loading Arrival'!S9</f>
        <v>45960</v>
      </c>
    </row>
    <row r="25" spans="1:10" ht="15.75" thickBot="1" x14ac:dyDescent="0.3">
      <c r="A25" s="7" t="s">
        <v>99</v>
      </c>
      <c r="B25" s="108"/>
      <c r="C25" s="105"/>
      <c r="D25" s="105"/>
      <c r="E25" s="610">
        <f ca="1">'Loading Arrival'!Q9</f>
        <v>45932</v>
      </c>
      <c r="F25" s="611"/>
      <c r="G25" s="612">
        <f ca="1">'Loading Arrival'!R9</f>
        <v>45946</v>
      </c>
      <c r="H25" s="613"/>
      <c r="I25" s="614">
        <f ca="1">'Loading Arrival'!S9</f>
        <v>45960</v>
      </c>
      <c r="J25" s="611"/>
    </row>
  </sheetData>
  <mergeCells count="10">
    <mergeCell ref="A4:D4"/>
    <mergeCell ref="E4:F4"/>
    <mergeCell ref="G4:H4"/>
    <mergeCell ref="I4:J4"/>
    <mergeCell ref="E3:F3"/>
    <mergeCell ref="G3:H3"/>
    <mergeCell ref="I3:J3"/>
    <mergeCell ref="E25:F25"/>
    <mergeCell ref="G25:H25"/>
    <mergeCell ref="I25:J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630D2-A55B-467F-B0CF-8372198AABA0}">
  <sheetPr>
    <tabColor rgb="FFFF0000"/>
  </sheetPr>
  <dimension ref="A3:J25"/>
  <sheetViews>
    <sheetView workbookViewId="0">
      <selection activeCell="S24" sqref="S24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</cols>
  <sheetData>
    <row r="3" spans="1:10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</row>
    <row r="4" spans="1:10" x14ac:dyDescent="0.25">
      <c r="A4" s="606" t="s">
        <v>262</v>
      </c>
      <c r="B4" s="607"/>
      <c r="C4" s="607"/>
      <c r="D4" s="607"/>
      <c r="E4" s="608">
        <f ca="1">'Loading Arrival'!Q12</f>
        <v>45918</v>
      </c>
      <c r="F4" s="609"/>
      <c r="G4" s="617">
        <f ca="1">'Loading Arrival'!R12</f>
        <v>45932</v>
      </c>
      <c r="H4" s="609"/>
      <c r="I4" s="617">
        <f ca="1">'Loading Arrival'!S12</f>
        <v>45946</v>
      </c>
      <c r="J4" s="609"/>
    </row>
    <row r="5" spans="1:10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</row>
    <row r="6" spans="1:10" ht="15.75" thickBot="1" x14ac:dyDescent="0.3">
      <c r="A6" s="5" t="s">
        <v>53</v>
      </c>
      <c r="B6" s="106">
        <f>VLOOKUP(A4,Freight!$A$2:$G$24,2,0)</f>
        <v>4000000</v>
      </c>
      <c r="C6" s="6"/>
      <c r="D6" s="6"/>
      <c r="E6" s="120">
        <f>B6/B$7</f>
        <v>26.666666666666668</v>
      </c>
      <c r="F6" s="121">
        <f>B6/B$7</f>
        <v>26.666666666666668</v>
      </c>
      <c r="G6" s="120">
        <f>B6/B$7</f>
        <v>26.666666666666668</v>
      </c>
      <c r="H6" s="121">
        <f>B6/B$7</f>
        <v>26.666666666666668</v>
      </c>
      <c r="I6" s="120">
        <f>B6/B$7</f>
        <v>26.666666666666668</v>
      </c>
      <c r="J6" s="121">
        <f>B6/B$7</f>
        <v>26.666666666666668</v>
      </c>
    </row>
    <row r="7" spans="1:10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</row>
    <row r="8" spans="1:10" ht="15.75" thickBot="1" x14ac:dyDescent="0.3">
      <c r="A8" s="5" t="s">
        <v>55</v>
      </c>
      <c r="B8" s="106">
        <f>C8*D8</f>
        <v>500000</v>
      </c>
      <c r="C8" s="7">
        <f>VLOOKUP(A$4,Freight!$A$2:$G$24,5,0)</f>
        <v>50000</v>
      </c>
      <c r="D8" s="105">
        <v>10</v>
      </c>
      <c r="E8" s="120">
        <f>B$8/B$7</f>
        <v>3.3333333333333335</v>
      </c>
      <c r="F8" s="121">
        <f>B$8/B$7</f>
        <v>3.3333333333333335</v>
      </c>
      <c r="G8" s="120">
        <f>B8/B$7</f>
        <v>3.3333333333333335</v>
      </c>
      <c r="H8" s="121">
        <f>B8/B$7</f>
        <v>3.3333333333333335</v>
      </c>
      <c r="I8" s="120">
        <f>B8/B$7</f>
        <v>3.3333333333333335</v>
      </c>
      <c r="J8" s="121">
        <f>B8/B$7</f>
        <v>3.3333333333333335</v>
      </c>
    </row>
    <row r="9" spans="1:10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</row>
    <row r="10" spans="1:10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</row>
    <row r="11" spans="1:10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</row>
    <row r="12" spans="1:10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</row>
    <row r="13" spans="1:10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</row>
    <row r="14" spans="1:10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</row>
    <row r="15" spans="1:10" ht="15.75" thickBot="1" x14ac:dyDescent="0.3">
      <c r="A15" s="5" t="s">
        <v>59</v>
      </c>
      <c r="B15" s="106">
        <f ca="1">C15*$B$7*VLOOKUP(EOMONTH(E24,-1)+1,'Tullet US'!$A$24:$C$32,3,0)*6.35</f>
        <v>165020.62499999997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1.1001374999999998</v>
      </c>
      <c r="F15" s="121">
        <f ca="1">$C$15*VLOOKUP(EOMONTH(F24,-1)+1,'Tullet US'!$A$24:$C$32,3,0)*6.35</f>
        <v>1.1001374999999998</v>
      </c>
      <c r="G15" s="120">
        <f ca="1">$C$15*VLOOKUP(EOMONTH(G24,-1)+1,'Tullet US'!$A$24:$C$32,3,0)*6.35</f>
        <v>1.0820399999999997</v>
      </c>
      <c r="H15" s="121">
        <f ca="1">$C$15*VLOOKUP(EOMONTH(H24,-1)+1,'Tullet US'!$A$24:$C$32,3,0)*6.35</f>
        <v>1.0820399999999997</v>
      </c>
      <c r="I15" s="120">
        <f ca="1">$C$15*VLOOKUP(EOMONTH(I24,-1)+1,'Tullet US'!$A$24:$C$32,3,0)*6.35</f>
        <v>1.0820399999999997</v>
      </c>
      <c r="J15" s="121">
        <f ca="1">$C$15*VLOOKUP(EOMONTH(J24,-1)+1,'Tullet US'!$A$24:$C$32,3,0)*6.35</f>
        <v>1.0820399999999997</v>
      </c>
    </row>
    <row r="16" spans="1:10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</row>
    <row r="17" spans="1:10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</row>
    <row r="18" spans="1:10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</row>
    <row r="19" spans="1:10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</row>
    <row r="20" spans="1:10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</row>
    <row r="21" spans="1:10" ht="15.75" thickBot="1" x14ac:dyDescent="0.3">
      <c r="A21" s="8" t="s">
        <v>100</v>
      </c>
      <c r="B21" s="134">
        <f ca="1">SUM(B6:B20)</f>
        <v>5482949.5633561648</v>
      </c>
      <c r="C21" s="9"/>
      <c r="D21" s="9"/>
      <c r="E21" s="126">
        <f ca="1">SUM(E6:E20)</f>
        <v>35.459559589041106</v>
      </c>
      <c r="F21" s="127">
        <f ca="1">SUM(F6:F20)</f>
        <v>36.137838288974109</v>
      </c>
      <c r="G21" s="126">
        <f t="shared" ref="G21:J21" ca="1" si="0">SUM(G6:G20)</f>
        <v>35.426775445205486</v>
      </c>
      <c r="H21" s="127">
        <f t="shared" ca="1" si="0"/>
        <v>36.083024179385056</v>
      </c>
      <c r="I21" s="126">
        <f t="shared" ca="1" si="0"/>
        <v>35.426775445205486</v>
      </c>
      <c r="J21" s="127">
        <f t="shared" ca="1" si="0"/>
        <v>36.083024179385056</v>
      </c>
    </row>
    <row r="22" spans="1:10" ht="15.75" thickBot="1" x14ac:dyDescent="0.3">
      <c r="A22" s="5" t="s">
        <v>101</v>
      </c>
      <c r="B22" s="106"/>
      <c r="C22" s="6"/>
      <c r="D22" s="6"/>
      <c r="E22" s="125">
        <f ca="1">'ROLLS HS'!L74</f>
        <v>-2.5450000000000728</v>
      </c>
      <c r="F22" s="124">
        <f ca="1">'ROLLS LS'!K74</f>
        <v>18.75366666666666</v>
      </c>
      <c r="G22" s="125">
        <f ca="1">'ROLLS HS'!L77</f>
        <v>-6.0064814814815657</v>
      </c>
      <c r="H22" s="124">
        <f ca="1">'ROLLS LS'!K77</f>
        <v>16.451203703703698</v>
      </c>
      <c r="I22" s="125">
        <f ca="1">'ROLLS HS'!L80</f>
        <v>-6.9444444444445388</v>
      </c>
      <c r="J22" s="124">
        <f ca="1">'ROLLS LS'!K80</f>
        <v>16.333611111111107</v>
      </c>
    </row>
    <row r="23" spans="1:10" ht="15.75" thickBot="1" x14ac:dyDescent="0.3">
      <c r="A23" s="8" t="s">
        <v>113</v>
      </c>
      <c r="B23" s="110"/>
      <c r="C23" s="9"/>
      <c r="D23" s="9"/>
      <c r="E23" s="126">
        <f ca="1">E22-E21</f>
        <v>-38.004559589041179</v>
      </c>
      <c r="F23" s="127">
        <f ca="1">F22-F21</f>
        <v>-17.384171622307449</v>
      </c>
      <c r="G23" s="126">
        <f ca="1">G22-G21</f>
        <v>-41.433256926687051</v>
      </c>
      <c r="H23" s="127">
        <f t="shared" ref="H23:J23" ca="1" si="1">H22-H21</f>
        <v>-19.631820475681359</v>
      </c>
      <c r="I23" s="126">
        <f ca="1">I22-I21</f>
        <v>-42.371219889650021</v>
      </c>
      <c r="J23" s="127">
        <f t="shared" ca="1" si="1"/>
        <v>-19.749413068273949</v>
      </c>
    </row>
    <row r="24" spans="1:10" x14ac:dyDescent="0.25">
      <c r="A24" s="5" t="s">
        <v>84</v>
      </c>
      <c r="B24" s="107"/>
      <c r="C24" s="6"/>
      <c r="D24" s="6"/>
      <c r="E24" s="128">
        <f ca="1">'Loading Arrival'!Q18</f>
        <v>45955</v>
      </c>
      <c r="F24" s="128">
        <f ca="1">'Loading Arrival'!Q18</f>
        <v>45955</v>
      </c>
      <c r="G24" s="128">
        <f ca="1">'Loading Arrival'!R18</f>
        <v>45969</v>
      </c>
      <c r="H24" s="129">
        <f ca="1">'Loading Arrival'!R18</f>
        <v>45969</v>
      </c>
      <c r="I24" s="128">
        <f ca="1">'Loading Arrival'!S18</f>
        <v>45983</v>
      </c>
      <c r="J24" s="129">
        <f ca="1">'Loading Arrival'!S18</f>
        <v>45983</v>
      </c>
    </row>
    <row r="25" spans="1:10" ht="15.75" thickBot="1" x14ac:dyDescent="0.3">
      <c r="A25" s="7" t="s">
        <v>99</v>
      </c>
      <c r="B25" s="108"/>
      <c r="C25" s="105"/>
      <c r="D25" s="105"/>
      <c r="E25" s="610">
        <f ca="1">'Loading Arrival'!Q18</f>
        <v>45955</v>
      </c>
      <c r="F25" s="611"/>
      <c r="G25" s="612">
        <f ca="1">'Loading Arrival'!R18</f>
        <v>45969</v>
      </c>
      <c r="H25" s="613"/>
      <c r="I25" s="614">
        <f ca="1">'Loading Arrival'!S18</f>
        <v>45983</v>
      </c>
      <c r="J25" s="611"/>
    </row>
  </sheetData>
  <mergeCells count="10">
    <mergeCell ref="E3:F3"/>
    <mergeCell ref="G3:H3"/>
    <mergeCell ref="I3:J3"/>
    <mergeCell ref="A4:D4"/>
    <mergeCell ref="E4:F4"/>
    <mergeCell ref="G4:H4"/>
    <mergeCell ref="I4:J4"/>
    <mergeCell ref="E25:F25"/>
    <mergeCell ref="G25:H25"/>
    <mergeCell ref="I25:J2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CD8FF-2D15-4D88-8867-572439018D90}">
  <sheetPr>
    <tabColor rgb="FFFF0000"/>
  </sheetPr>
  <dimension ref="A3:J25"/>
  <sheetViews>
    <sheetView workbookViewId="0">
      <selection activeCell="R33" sqref="R33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</cols>
  <sheetData>
    <row r="3" spans="1:10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</row>
    <row r="4" spans="1:10" x14ac:dyDescent="0.25">
      <c r="A4" s="606" t="s">
        <v>263</v>
      </c>
      <c r="B4" s="607"/>
      <c r="C4" s="607"/>
      <c r="D4" s="607"/>
      <c r="E4" s="608">
        <f ca="1">'Loading Arrival'!Q21</f>
        <v>45918</v>
      </c>
      <c r="F4" s="609"/>
      <c r="G4" s="617">
        <f ca="1">'Loading Arrival'!R21</f>
        <v>45932</v>
      </c>
      <c r="H4" s="609"/>
      <c r="I4" s="617">
        <f ca="1">'Loading Arrival'!S21</f>
        <v>45946</v>
      </c>
      <c r="J4" s="609"/>
    </row>
    <row r="5" spans="1:10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</row>
    <row r="6" spans="1:10" ht="15.75" thickBot="1" x14ac:dyDescent="0.3">
      <c r="A6" s="5" t="s">
        <v>53</v>
      </c>
      <c r="B6" s="106">
        <f>VLOOKUP(A4,Freight!$A$2:$G$24,2,0)</f>
        <v>4000000</v>
      </c>
      <c r="C6" s="6"/>
      <c r="D6" s="6"/>
      <c r="E6" s="120">
        <f>B6/B$7</f>
        <v>26.666666666666668</v>
      </c>
      <c r="F6" s="121">
        <f>B6/B$7</f>
        <v>26.666666666666668</v>
      </c>
      <c r="G6" s="120">
        <f>B6/B$7</f>
        <v>26.666666666666668</v>
      </c>
      <c r="H6" s="121">
        <f>B6/B$7</f>
        <v>26.666666666666668</v>
      </c>
      <c r="I6" s="120">
        <f>B6/B$7</f>
        <v>26.666666666666668</v>
      </c>
      <c r="J6" s="121">
        <f>B6/B$7</f>
        <v>26.666666666666668</v>
      </c>
    </row>
    <row r="7" spans="1:10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</row>
    <row r="8" spans="1:10" ht="15.75" thickBot="1" x14ac:dyDescent="0.3">
      <c r="A8" s="5" t="s">
        <v>55</v>
      </c>
      <c r="B8" s="106">
        <f>C8*D8</f>
        <v>500000</v>
      </c>
      <c r="C8" s="7">
        <f>VLOOKUP(A$4,Freight!$A$2:$G$24,5,0)</f>
        <v>50000</v>
      </c>
      <c r="D8" s="105">
        <v>10</v>
      </c>
      <c r="E8" s="120">
        <f>B$8/B$7</f>
        <v>3.3333333333333335</v>
      </c>
      <c r="F8" s="121">
        <f>B$8/B$7</f>
        <v>3.3333333333333335</v>
      </c>
      <c r="G8" s="120">
        <f>B8/B$7</f>
        <v>3.3333333333333335</v>
      </c>
      <c r="H8" s="121">
        <f>B8/B$7</f>
        <v>3.3333333333333335</v>
      </c>
      <c r="I8" s="120">
        <f>B8/B$7</f>
        <v>3.3333333333333335</v>
      </c>
      <c r="J8" s="121">
        <f>B8/B$7</f>
        <v>3.3333333333333335</v>
      </c>
    </row>
    <row r="9" spans="1:10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</row>
    <row r="10" spans="1:10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</row>
    <row r="11" spans="1:10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</row>
    <row r="12" spans="1:10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</row>
    <row r="13" spans="1:10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</row>
    <row r="14" spans="1:10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</row>
    <row r="15" spans="1:10" ht="15.75" thickBot="1" x14ac:dyDescent="0.3">
      <c r="A15" s="5" t="s">
        <v>59</v>
      </c>
      <c r="B15" s="106">
        <f ca="1">C15*$B$7*VLOOKUP(EOMONTH(E24,-1)+1,'Tullet US'!$A$24:$C$32,3,0)*6.35</f>
        <v>165020.62499999997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1.1001374999999998</v>
      </c>
      <c r="F15" s="121">
        <f ca="1">$C$15*VLOOKUP(EOMONTH(F24,-1)+1,'Tullet US'!$A$24:$C$32,3,0)*6.35</f>
        <v>1.1001374999999998</v>
      </c>
      <c r="G15" s="120">
        <f ca="1">$C$15*VLOOKUP(EOMONTH(G24,-1)+1,'Tullet US'!$A$24:$C$32,3,0)*6.35</f>
        <v>1.0820399999999997</v>
      </c>
      <c r="H15" s="121">
        <f ca="1">$C$15*VLOOKUP(EOMONTH(H24,-1)+1,'Tullet US'!$A$24:$C$32,3,0)*6.35</f>
        <v>1.0820399999999997</v>
      </c>
      <c r="I15" s="120">
        <f ca="1">$C$15*VLOOKUP(EOMONTH(I24,-1)+1,'Tullet US'!$A$24:$C$32,3,0)*6.35</f>
        <v>1.0820399999999997</v>
      </c>
      <c r="J15" s="121">
        <f ca="1">$C$15*VLOOKUP(EOMONTH(J24,-1)+1,'Tullet US'!$A$24:$C$32,3,0)*6.35</f>
        <v>1.0820399999999997</v>
      </c>
    </row>
    <row r="16" spans="1:10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</row>
    <row r="17" spans="1:10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</row>
    <row r="18" spans="1:10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</row>
    <row r="19" spans="1:10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</row>
    <row r="20" spans="1:10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</row>
    <row r="21" spans="1:10" ht="15.75" thickBot="1" x14ac:dyDescent="0.3">
      <c r="A21" s="8" t="s">
        <v>100</v>
      </c>
      <c r="B21" s="134">
        <f ca="1">SUM(B6:B20)</f>
        <v>5482949.5633561648</v>
      </c>
      <c r="C21" s="9"/>
      <c r="D21" s="9"/>
      <c r="E21" s="126">
        <f ca="1">SUM(E6:E20)</f>
        <v>35.459559589041106</v>
      </c>
      <c r="F21" s="127">
        <f ca="1">SUM(F6:F20)</f>
        <v>36.137838288974109</v>
      </c>
      <c r="G21" s="126">
        <f t="shared" ref="G21:J21" ca="1" si="0">SUM(G6:G20)</f>
        <v>35.426775445205486</v>
      </c>
      <c r="H21" s="127">
        <f t="shared" ca="1" si="0"/>
        <v>36.083024179385056</v>
      </c>
      <c r="I21" s="126">
        <f t="shared" ca="1" si="0"/>
        <v>35.426775445205486</v>
      </c>
      <c r="J21" s="127">
        <f t="shared" ca="1" si="0"/>
        <v>36.083024179385056</v>
      </c>
    </row>
    <row r="22" spans="1:10" ht="15.75" thickBot="1" x14ac:dyDescent="0.3">
      <c r="A22" s="5" t="s">
        <v>101</v>
      </c>
      <c r="B22" s="106"/>
      <c r="C22" s="6"/>
      <c r="D22" s="6"/>
      <c r="E22" s="125">
        <f ca="1">'ROLLS HS'!L84</f>
        <v>-2.8442500000000734</v>
      </c>
      <c r="F22" s="124">
        <f ca="1">'ROLLS LS'!K84</f>
        <v>18.529299999999992</v>
      </c>
      <c r="G22" s="125">
        <f ca="1">'ROLLS HS'!L87</f>
        <v>-6.6771250000000917</v>
      </c>
      <c r="H22" s="124">
        <f ca="1">'ROLLS LS'!K87</f>
        <v>16.367124999999994</v>
      </c>
      <c r="I22" s="125">
        <f ca="1">'ROLLS HS'!L90</f>
        <v>-7.0570000000000963</v>
      </c>
      <c r="J22" s="124">
        <f ca="1">'ROLLS LS'!K90</f>
        <v>16.319499999999994</v>
      </c>
    </row>
    <row r="23" spans="1:10" ht="15.75" thickBot="1" x14ac:dyDescent="0.3">
      <c r="A23" s="8" t="s">
        <v>113</v>
      </c>
      <c r="B23" s="110"/>
      <c r="C23" s="9"/>
      <c r="D23" s="9"/>
      <c r="E23" s="126">
        <f ca="1">E22-E21</f>
        <v>-38.30380958904118</v>
      </c>
      <c r="F23" s="127">
        <f ca="1">F22-F21</f>
        <v>-17.608538288974117</v>
      </c>
      <c r="G23" s="126">
        <f ca="1">G22-G21</f>
        <v>-42.103900445205575</v>
      </c>
      <c r="H23" s="127">
        <f t="shared" ref="H23:J23" ca="1" si="1">H22-H21</f>
        <v>-19.715899179385062</v>
      </c>
      <c r="I23" s="126">
        <f ca="1">I22-I21</f>
        <v>-42.48377544520558</v>
      </c>
      <c r="J23" s="127">
        <f t="shared" ca="1" si="1"/>
        <v>-19.763524179385062</v>
      </c>
    </row>
    <row r="24" spans="1:10" x14ac:dyDescent="0.25">
      <c r="A24" s="5" t="s">
        <v>84</v>
      </c>
      <c r="B24" s="107"/>
      <c r="C24" s="6"/>
      <c r="D24" s="6"/>
      <c r="E24" s="128">
        <f ca="1">'Loading Arrival'!Q27</f>
        <v>45959</v>
      </c>
      <c r="F24" s="128">
        <f ca="1">'Loading Arrival'!Q27</f>
        <v>45959</v>
      </c>
      <c r="G24" s="128">
        <f ca="1">'Loading Arrival'!R27</f>
        <v>45973</v>
      </c>
      <c r="H24" s="129">
        <f ca="1">'Loading Arrival'!R27</f>
        <v>45973</v>
      </c>
      <c r="I24" s="128">
        <f ca="1">'Loading Arrival'!S27</f>
        <v>45987</v>
      </c>
      <c r="J24" s="129">
        <f ca="1">'Loading Arrival'!S27</f>
        <v>45987</v>
      </c>
    </row>
    <row r="25" spans="1:10" ht="15.75" thickBot="1" x14ac:dyDescent="0.3">
      <c r="A25" s="7" t="s">
        <v>99</v>
      </c>
      <c r="B25" s="108"/>
      <c r="C25" s="105"/>
      <c r="D25" s="105"/>
      <c r="E25" s="610">
        <f ca="1">'Loading Arrival'!Q27</f>
        <v>45959</v>
      </c>
      <c r="F25" s="611"/>
      <c r="G25" s="612">
        <f ca="1">'Loading Arrival'!R27</f>
        <v>45973</v>
      </c>
      <c r="H25" s="613"/>
      <c r="I25" s="614">
        <f ca="1">'Loading Arrival'!S27</f>
        <v>45987</v>
      </c>
      <c r="J25" s="611"/>
    </row>
  </sheetData>
  <mergeCells count="10">
    <mergeCell ref="E3:F3"/>
    <mergeCell ref="G3:H3"/>
    <mergeCell ref="I3:J3"/>
    <mergeCell ref="A4:D4"/>
    <mergeCell ref="E4:F4"/>
    <mergeCell ref="G4:H4"/>
    <mergeCell ref="I4:J4"/>
    <mergeCell ref="E25:F25"/>
    <mergeCell ref="G25:H25"/>
    <mergeCell ref="I25:J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sheetPr>
    <tabColor theme="7" tint="0.39997558519241921"/>
  </sheetPr>
  <dimension ref="A3:U25"/>
  <sheetViews>
    <sheetView workbookViewId="0">
      <selection activeCell="P15" sqref="P15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213</v>
      </c>
      <c r="B4" s="607"/>
      <c r="C4" s="607"/>
      <c r="D4" s="607"/>
      <c r="E4" s="608">
        <f ca="1">'Loading Arrival'!B11</f>
        <v>45918</v>
      </c>
      <c r="F4" s="609"/>
      <c r="G4" s="617">
        <f ca="1">'Loading Arrival'!C11</f>
        <v>45932</v>
      </c>
      <c r="H4" s="609"/>
      <c r="I4" s="617">
        <f ca="1">'Loading Arrival'!D11</f>
        <v>45946</v>
      </c>
      <c r="J4" s="609"/>
      <c r="L4" s="606" t="s">
        <v>212</v>
      </c>
      <c r="M4" s="607"/>
      <c r="N4" s="607"/>
      <c r="O4" s="607"/>
      <c r="P4" s="608">
        <f ca="1">E4</f>
        <v>45918</v>
      </c>
      <c r="Q4" s="609"/>
      <c r="R4" s="617">
        <f ca="1">G4</f>
        <v>45932</v>
      </c>
      <c r="S4" s="609"/>
      <c r="T4" s="617">
        <f ca="1">I4</f>
        <v>45946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VLOOKUP(A4,Freight!$A$2:$G$24,2,0)</f>
        <v>4258800</v>
      </c>
      <c r="C6" s="6"/>
      <c r="D6" s="6"/>
      <c r="E6" s="120">
        <f>B6/B$7</f>
        <v>28.391999999999999</v>
      </c>
      <c r="F6" s="121">
        <f>B6/B$7</f>
        <v>28.391999999999999</v>
      </c>
      <c r="G6" s="120">
        <f>B6/B$7</f>
        <v>28.391999999999999</v>
      </c>
      <c r="H6" s="121">
        <f>B6/B$7</f>
        <v>28.391999999999999</v>
      </c>
      <c r="I6" s="120">
        <f>B6/B$7</f>
        <v>28.391999999999999</v>
      </c>
      <c r="J6" s="121">
        <f>B6/B$7</f>
        <v>28.391999999999999</v>
      </c>
      <c r="L6" s="5" t="s">
        <v>53</v>
      </c>
      <c r="M6" s="106">
        <f>VLOOKUP(L4,Freight!$A$2:$G$24,2,0)</f>
        <v>1747200</v>
      </c>
      <c r="N6" s="6"/>
      <c r="O6" s="6"/>
      <c r="P6" s="120">
        <f>M6/M$7</f>
        <v>17.828571428571429</v>
      </c>
      <c r="Q6" s="121">
        <f>M6/M$7</f>
        <v>17.828571428571429</v>
      </c>
      <c r="R6" s="120">
        <f>M6/M$7</f>
        <v>17.828571428571429</v>
      </c>
      <c r="S6" s="121">
        <f>M6/M$7</f>
        <v>17.828571428571429</v>
      </c>
      <c r="T6" s="120">
        <f>M6/M$7</f>
        <v>17.828571428571429</v>
      </c>
      <c r="U6" s="121">
        <f>M6/M$7</f>
        <v>17.828571428571429</v>
      </c>
    </row>
    <row r="7" spans="1:21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98000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575000</v>
      </c>
      <c r="C8" s="7">
        <f>VLOOKUP(A$4,Freight!$A$2:$G$24,5,0)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55</v>
      </c>
      <c r="M8" s="106">
        <f>N8*O8</f>
        <v>297500</v>
      </c>
      <c r="N8" s="7">
        <f>VLOOKUP(L$4,Freight!$A$2:$G$24,5,0)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56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124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(O12*((N12)/365)*VLOOKUP(EOMONTH(P4,-1)+1,Tullet!$A$4:$S$25,2,0))*M7</f>
        <v>331152.73972602742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M7*VLOOKUP(EOMONTH(P4,-1)+1,Tullet!$A$4:$S$25,2,0)*0.1%</f>
        <v>36627.5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C15*$B$7*VLOOKUP(EOMONTH(E24,-1)+1,'Tullet US'!$A$24:$C$32,3,0)*6.35</f>
        <v>165020.62499999997</v>
      </c>
      <c r="C15" s="104">
        <v>3.0000000000000001E-3</v>
      </c>
      <c r="D15" s="105" t="s">
        <v>184</v>
      </c>
      <c r="E15" s="120">
        <f ca="1">$C$15*VLOOKUP(EOMONTH(E24,-1)+1,'Tullet US'!$A$24:$C$32,3,0)*6.35</f>
        <v>1.1001374999999998</v>
      </c>
      <c r="F15" s="121">
        <f ca="1">$C$15*VLOOKUP(EOMONTH(F24,-1)+1,'Tullet US'!$A$24:$C$32,3,0)*6.35</f>
        <v>1.1001374999999998</v>
      </c>
      <c r="G15" s="120">
        <f ca="1">$C$15*VLOOKUP(EOMONTH(G24,-1)+1,'Tullet US'!$A$24:$C$32,3,0)*6.35</f>
        <v>1.1001374999999998</v>
      </c>
      <c r="H15" s="121">
        <f ca="1">$C$15*VLOOKUP(EOMONTH(H24,-1)+1,'Tullet US'!$A$24:$C$32,3,0)*6.35</f>
        <v>1.1001374999999998</v>
      </c>
      <c r="I15" s="120">
        <f ca="1">$C$15*VLOOKUP(EOMONTH(I24,-1)+1,'Tullet US'!$A$24:$C$32,3,0)*6.35</f>
        <v>1.0820399999999997</v>
      </c>
      <c r="J15" s="121">
        <f ca="1">$C$15*VLOOKUP(EOMONTH(J24,-1)+1,'Tullet US'!$A$24:$C$32,3,0)*6.35</f>
        <v>1.0820399999999997</v>
      </c>
      <c r="L15" s="5" t="s">
        <v>59</v>
      </c>
      <c r="M15" s="106">
        <f ca="1">N15*$M$7*VLOOKUP(EOMONTH(P24,-1)+1,'Tullet US'!$A$24:$C$32,3,0)*6.35</f>
        <v>107813.47499999998</v>
      </c>
      <c r="N15" s="104">
        <v>3.0000000000000001E-3</v>
      </c>
      <c r="O15" s="105" t="s">
        <v>184</v>
      </c>
      <c r="P15" s="120">
        <f ca="1">$N$15*VLOOKUP(EOMONTH(P24,-1)+1,'Tullet US'!$A$24:$C$32,3,0)*6.35</f>
        <v>1.1001374999999998</v>
      </c>
      <c r="Q15" s="120">
        <f ca="1">$N$15*VLOOKUP(EOMONTH(Q24,-1)+1,'Tullet US'!$A$24:$C$32,3,0)*6.35</f>
        <v>1.1001374999999998</v>
      </c>
      <c r="R15" s="120">
        <f ca="1">$N$15*VLOOKUP(EOMONTH(R24,-1)+1,'Tullet US'!$A$24:$C$32,3,0)*6.35</f>
        <v>1.1001374999999998</v>
      </c>
      <c r="S15" s="120">
        <f ca="1">$N$15*VLOOKUP(EOMONTH(S24,-1)+1,'Tullet US'!$A$24:$C$32,3,0)*6.35</f>
        <v>1.1001374999999998</v>
      </c>
      <c r="T15" s="120">
        <f ca="1">$N$15*VLOOKUP(EOMONTH(T24,-1)+1,'Tullet US'!$A$24:$C$32,3,0)*6.35</f>
        <v>1.0820399999999997</v>
      </c>
      <c r="U15" s="120">
        <f ca="1">$N$15*VLOOKUP(EOMONTH(U24,-1)+1,'Tullet US'!$A$24:$C$32,3,0)*6.35</f>
        <v>1.0820399999999997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60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61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62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63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64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100</v>
      </c>
      <c r="B21" s="134">
        <f ca="1">SUM(B6:B20)</f>
        <v>5816749.5633561648</v>
      </c>
      <c r="C21" s="9"/>
      <c r="D21" s="9"/>
      <c r="E21" s="126">
        <f ca="1">SUM(E6:E20)</f>
        <v>37.684892922374431</v>
      </c>
      <c r="F21" s="127">
        <f ca="1">SUM(F6:F20)</f>
        <v>38.363171622307433</v>
      </c>
      <c r="G21" s="126">
        <f t="shared" ref="G21:J21" ca="1" si="0">SUM(G6:G20)</f>
        <v>37.670206278538814</v>
      </c>
      <c r="H21" s="127">
        <f t="shared" ca="1" si="0"/>
        <v>38.326455012718384</v>
      </c>
      <c r="I21" s="126">
        <f t="shared" ca="1" si="0"/>
        <v>37.65210877853881</v>
      </c>
      <c r="J21" s="127">
        <f t="shared" ca="1" si="0"/>
        <v>38.308357512718381</v>
      </c>
      <c r="L21" s="8" t="s">
        <v>100</v>
      </c>
      <c r="M21" s="134">
        <f ca="1">SUM(M6:M20)</f>
        <v>2723293.7147260276</v>
      </c>
      <c r="N21" s="9"/>
      <c r="O21" s="9"/>
      <c r="P21" s="126">
        <f t="shared" ref="P21:U21" ca="1" si="1">SUM(P6:P20)</f>
        <v>26.695273874755383</v>
      </c>
      <c r="Q21" s="127">
        <f t="shared" ca="1" si="1"/>
        <v>27.373552574688379</v>
      </c>
      <c r="R21" s="126">
        <f t="shared" ca="1" si="1"/>
        <v>26.680587230919762</v>
      </c>
      <c r="S21" s="127">
        <f t="shared" ca="1" si="1"/>
        <v>27.336835965099336</v>
      </c>
      <c r="T21" s="126">
        <f t="shared" ca="1" si="1"/>
        <v>26.662489730919763</v>
      </c>
      <c r="U21" s="127">
        <f t="shared" ca="1" si="1"/>
        <v>27.318738465099337</v>
      </c>
    </row>
    <row r="22" spans="1:21" ht="16.5" customHeight="1" thickBot="1" x14ac:dyDescent="0.3">
      <c r="A22" s="5" t="s">
        <v>101</v>
      </c>
      <c r="B22" s="106"/>
      <c r="C22" s="6"/>
      <c r="D22" s="6"/>
      <c r="E22" s="125">
        <f ca="1">'ROLLS HS'!L54</f>
        <v>1.1956249999999358</v>
      </c>
      <c r="F22" s="124">
        <f ca="1">'ROLLS LS'!K54</f>
        <v>21.558249999999997</v>
      </c>
      <c r="G22" s="125">
        <f ca="1">'ROLLS HS'!L57</f>
        <v>-5.5375000000000796</v>
      </c>
      <c r="H22" s="124">
        <f ca="1">'ROLLS LS'!K57</f>
        <v>16.509999999999994</v>
      </c>
      <c r="I22" s="125">
        <f ca="1">'ROLLS HS'!L60</f>
        <v>-5.5375000000000796</v>
      </c>
      <c r="J22" s="124">
        <f ca="1">'ROLLS LS'!K60</f>
        <v>16.509999999999994</v>
      </c>
      <c r="L22" s="5" t="s">
        <v>101</v>
      </c>
      <c r="M22" s="106"/>
      <c r="N22" s="6"/>
      <c r="O22" s="6"/>
      <c r="P22" s="125">
        <f t="shared" ref="P22:U22" ca="1" si="2">E22</f>
        <v>1.1956249999999358</v>
      </c>
      <c r="Q22" s="124">
        <f t="shared" ca="1" si="2"/>
        <v>21.558249999999997</v>
      </c>
      <c r="R22" s="125">
        <f t="shared" ca="1" si="2"/>
        <v>-5.5375000000000796</v>
      </c>
      <c r="S22" s="124">
        <f t="shared" ca="1" si="2"/>
        <v>16.509999999999994</v>
      </c>
      <c r="T22" s="125">
        <f t="shared" ca="1" si="2"/>
        <v>-5.5375000000000796</v>
      </c>
      <c r="U22" s="124">
        <f t="shared" ca="1" si="2"/>
        <v>16.509999999999994</v>
      </c>
    </row>
    <row r="23" spans="1:21" ht="16.5" customHeight="1" thickBot="1" x14ac:dyDescent="0.3">
      <c r="A23" s="8" t="s">
        <v>113</v>
      </c>
      <c r="B23" s="110"/>
      <c r="C23" s="9"/>
      <c r="D23" s="9"/>
      <c r="E23" s="126">
        <f ca="1">E22-E21</f>
        <v>-36.489267922374495</v>
      </c>
      <c r="F23" s="127">
        <f ca="1">F22-F21</f>
        <v>-16.804921622307436</v>
      </c>
      <c r="G23" s="126">
        <f ca="1">G22-G21</f>
        <v>-43.207706278538893</v>
      </c>
      <c r="H23" s="127">
        <f t="shared" ref="H23:J23" ca="1" si="3">H22-H21</f>
        <v>-21.816455012718389</v>
      </c>
      <c r="I23" s="126">
        <f ca="1">I22-I21</f>
        <v>-43.18960877853889</v>
      </c>
      <c r="J23" s="127">
        <f t="shared" ca="1" si="3"/>
        <v>-21.798357512718386</v>
      </c>
      <c r="L23" s="8" t="s">
        <v>113</v>
      </c>
      <c r="M23" s="110"/>
      <c r="N23" s="9"/>
      <c r="O23" s="9"/>
      <c r="P23" s="126">
        <f t="shared" ref="P23:U23" ca="1" si="4">P22-P21</f>
        <v>-25.499648874755447</v>
      </c>
      <c r="Q23" s="127">
        <f t="shared" ca="1" si="4"/>
        <v>-5.8153025746883813</v>
      </c>
      <c r="R23" s="126">
        <f t="shared" ca="1" si="4"/>
        <v>-32.218087230919842</v>
      </c>
      <c r="S23" s="127">
        <f t="shared" ca="1" si="4"/>
        <v>-10.826835965099342</v>
      </c>
      <c r="T23" s="126">
        <f t="shared" ca="1" si="4"/>
        <v>-32.199989730919839</v>
      </c>
      <c r="U23" s="127">
        <f t="shared" ca="1" si="4"/>
        <v>-10.808738465099342</v>
      </c>
    </row>
    <row r="24" spans="1:21" x14ac:dyDescent="0.25">
      <c r="A24" s="5" t="s">
        <v>84</v>
      </c>
      <c r="B24" s="107"/>
      <c r="C24" s="6"/>
      <c r="D24" s="6"/>
      <c r="E24" s="128">
        <f ca="1">'Loading Arrival'!G9</f>
        <v>45934</v>
      </c>
      <c r="F24" s="128">
        <f ca="1">'Loading Arrival'!G9</f>
        <v>45934</v>
      </c>
      <c r="G24" s="128">
        <f ca="1">'Loading Arrival'!H9</f>
        <v>45948</v>
      </c>
      <c r="H24" s="129">
        <f ca="1">'Loading Arrival'!H9</f>
        <v>45948</v>
      </c>
      <c r="I24" s="128">
        <f ca="1">'Loading Arrival'!I9</f>
        <v>45962</v>
      </c>
      <c r="J24" s="129">
        <f ca="1">'Loading Arrival'!I9</f>
        <v>45962</v>
      </c>
      <c r="L24" s="5" t="s">
        <v>84</v>
      </c>
      <c r="M24" s="107"/>
      <c r="N24" s="6"/>
      <c r="O24" s="6"/>
      <c r="P24" s="128">
        <f t="shared" ref="P24:U24" ca="1" si="5">E24</f>
        <v>45934</v>
      </c>
      <c r="Q24" s="129">
        <f t="shared" ca="1" si="5"/>
        <v>45934</v>
      </c>
      <c r="R24" s="128">
        <f t="shared" ca="1" si="5"/>
        <v>45948</v>
      </c>
      <c r="S24" s="129">
        <f t="shared" ca="1" si="5"/>
        <v>45948</v>
      </c>
      <c r="T24" s="128">
        <f t="shared" ca="1" si="5"/>
        <v>45962</v>
      </c>
      <c r="U24" s="129">
        <f t="shared" ca="1" si="5"/>
        <v>45962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Arrival'!G9</f>
        <v>45934</v>
      </c>
      <c r="F25" s="611"/>
      <c r="G25" s="612">
        <f ca="1">'Loading Arrival'!H9</f>
        <v>45948</v>
      </c>
      <c r="H25" s="613"/>
      <c r="I25" s="614">
        <f ca="1">'Loading Arrival'!I9</f>
        <v>45962</v>
      </c>
      <c r="J25" s="611"/>
      <c r="L25" s="7" t="s">
        <v>99</v>
      </c>
      <c r="M25" s="108"/>
      <c r="N25" s="105"/>
      <c r="O25" s="105"/>
      <c r="P25" s="610">
        <f ca="1">E25</f>
        <v>45934</v>
      </c>
      <c r="Q25" s="611"/>
      <c r="R25" s="612">
        <f ca="1">G25</f>
        <v>45948</v>
      </c>
      <c r="S25" s="613"/>
      <c r="T25" s="614">
        <f ca="1">I25</f>
        <v>45962</v>
      </c>
      <c r="U25" s="611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0.39997558519241921"/>
  </sheetPr>
  <dimension ref="A3:AD27"/>
  <sheetViews>
    <sheetView topLeftCell="B1" workbookViewId="0">
      <selection activeCell="N5" sqref="N5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615" t="s">
        <v>45</v>
      </c>
      <c r="F3" s="616"/>
      <c r="G3" s="615" t="s">
        <v>46</v>
      </c>
      <c r="H3" s="616"/>
      <c r="N3" s="615" t="s">
        <v>45</v>
      </c>
      <c r="O3" s="616"/>
      <c r="P3" s="615" t="s">
        <v>46</v>
      </c>
      <c r="Q3" s="616"/>
      <c r="R3" s="615" t="s">
        <v>47</v>
      </c>
      <c r="S3" s="616"/>
      <c r="Y3" s="615" t="s">
        <v>45</v>
      </c>
      <c r="Z3" s="616"/>
      <c r="AA3" s="615" t="s">
        <v>46</v>
      </c>
      <c r="AB3" s="616"/>
      <c r="AC3" s="615" t="s">
        <v>47</v>
      </c>
      <c r="AD3" s="616"/>
    </row>
    <row r="4" spans="1:30" ht="15.75" thickBot="1" x14ac:dyDescent="0.3">
      <c r="A4" s="340" t="s">
        <v>78</v>
      </c>
      <c r="B4" s="145"/>
      <c r="C4" s="145"/>
      <c r="D4" s="146"/>
      <c r="E4" s="349"/>
      <c r="F4" s="339"/>
      <c r="G4" s="354"/>
      <c r="H4" s="343"/>
      <c r="J4" s="340" t="s">
        <v>77</v>
      </c>
      <c r="K4" s="145"/>
      <c r="L4" s="145"/>
      <c r="M4" s="145"/>
      <c r="N4" s="345"/>
      <c r="O4" s="359"/>
      <c r="P4" s="339"/>
      <c r="Q4" s="359"/>
      <c r="R4" s="354"/>
      <c r="S4" s="343"/>
      <c r="T4" s="344"/>
      <c r="U4" s="340" t="s">
        <v>76</v>
      </c>
      <c r="V4" s="145"/>
      <c r="W4" s="145"/>
      <c r="X4" s="145"/>
      <c r="Y4" s="345"/>
      <c r="Z4" s="359"/>
      <c r="AA4" s="339"/>
      <c r="AB4" s="359"/>
      <c r="AC4" s="354"/>
      <c r="AD4" s="343"/>
    </row>
    <row r="5" spans="1:30" x14ac:dyDescent="0.25">
      <c r="A5" t="s">
        <v>157</v>
      </c>
      <c r="E5" s="350">
        <f ca="1">'Loading Arrival'!B3</f>
        <v>45925</v>
      </c>
      <c r="F5" s="337">
        <f ca="1">E5</f>
        <v>45925</v>
      </c>
      <c r="G5" s="350">
        <f ca="1">'Loading Arrival'!C3</f>
        <v>45939</v>
      </c>
      <c r="H5" s="338">
        <f ca="1">G5</f>
        <v>45939</v>
      </c>
      <c r="I5" s="344"/>
      <c r="J5" t="s">
        <v>157</v>
      </c>
      <c r="N5" s="336">
        <f ca="1">'Loading Arrival'!$B$11</f>
        <v>45918</v>
      </c>
      <c r="O5" s="356">
        <f ca="1">'Loading Arrival'!$B$11</f>
        <v>45918</v>
      </c>
      <c r="P5" s="336">
        <f ca="1">'Loading Arrival'!$C$11</f>
        <v>45932</v>
      </c>
      <c r="Q5" s="356">
        <f ca="1">'Loading Arrival'!$C$11</f>
        <v>45932</v>
      </c>
      <c r="R5" s="336">
        <f ca="1">'Loading Arrival'!$D$11</f>
        <v>45946</v>
      </c>
      <c r="S5" s="356">
        <f ca="1">'Loading Arrival'!$D$11</f>
        <v>45946</v>
      </c>
      <c r="T5" s="5"/>
      <c r="U5" s="5" t="s">
        <v>157</v>
      </c>
      <c r="Y5" s="336">
        <f ca="1">'Loading Arrival'!$B$11</f>
        <v>45918</v>
      </c>
      <c r="Z5" s="356">
        <f ca="1">'Loading Arrival'!$B$11</f>
        <v>45918</v>
      </c>
      <c r="AA5" s="336">
        <f ca="1">'Loading Arrival'!$C$11</f>
        <v>45932</v>
      </c>
      <c r="AB5" s="356">
        <f ca="1">'Loading Arrival'!$C$11</f>
        <v>45932</v>
      </c>
      <c r="AC5" s="336">
        <f ca="1">'Loading Arrival'!$D$11</f>
        <v>45946</v>
      </c>
      <c r="AD5" s="356">
        <f ca="1">'Loading Arrival'!$D$11</f>
        <v>45946</v>
      </c>
    </row>
    <row r="6" spans="1:30" x14ac:dyDescent="0.25">
      <c r="A6" t="s">
        <v>158</v>
      </c>
      <c r="D6" s="342"/>
      <c r="E6" s="351">
        <f ca="1">'Loading Arrival'!B3</f>
        <v>45925</v>
      </c>
      <c r="F6" s="341">
        <f ca="1">E6</f>
        <v>45925</v>
      </c>
      <c r="G6" s="128">
        <f ca="1">'Loading Arrival'!C3</f>
        <v>45939</v>
      </c>
      <c r="H6" s="352">
        <f ca="1">'Loading Arrival'!C3</f>
        <v>45939</v>
      </c>
      <c r="I6" s="344"/>
      <c r="J6" t="s">
        <v>158</v>
      </c>
      <c r="N6" s="357">
        <f ca="1">N5</f>
        <v>45918</v>
      </c>
      <c r="O6" s="358">
        <f ca="1">O5</f>
        <v>45918</v>
      </c>
      <c r="P6" s="355">
        <f ca="1">P5</f>
        <v>45932</v>
      </c>
      <c r="Q6" s="351">
        <f ca="1">Q5</f>
        <v>45932</v>
      </c>
      <c r="R6" s="357">
        <f t="shared" ref="R6:S6" ca="1" si="0">R5</f>
        <v>45946</v>
      </c>
      <c r="S6" s="358">
        <f t="shared" ca="1" si="0"/>
        <v>45946</v>
      </c>
      <c r="T6" s="5"/>
      <c r="U6" s="360" t="s">
        <v>158</v>
      </c>
      <c r="Y6" s="357">
        <f ca="1">Y5</f>
        <v>45918</v>
      </c>
      <c r="Z6" s="358">
        <f ca="1">Z5</f>
        <v>45918</v>
      </c>
      <c r="AA6" s="355">
        <f ca="1">AA5</f>
        <v>45932</v>
      </c>
      <c r="AB6" s="351">
        <f ca="1">AB5</f>
        <v>45932</v>
      </c>
      <c r="AC6" s="357">
        <f t="shared" ref="AC6" ca="1" si="1">AC5</f>
        <v>45946</v>
      </c>
      <c r="AD6" s="358">
        <f t="shared" ref="AD6" ca="1" si="2">AD5</f>
        <v>45946</v>
      </c>
    </row>
    <row r="7" spans="1:30" x14ac:dyDescent="0.25">
      <c r="A7" s="154"/>
      <c r="B7" s="130"/>
      <c r="C7" s="10"/>
      <c r="D7" s="10"/>
      <c r="E7" s="132" t="s">
        <v>85</v>
      </c>
      <c r="F7" s="346" t="s">
        <v>86</v>
      </c>
      <c r="G7" s="132" t="s">
        <v>85</v>
      </c>
      <c r="H7" s="353" t="s">
        <v>86</v>
      </c>
      <c r="I7" s="344"/>
      <c r="J7" s="131"/>
      <c r="K7" s="130"/>
      <c r="L7" s="10"/>
      <c r="M7" s="10"/>
      <c r="N7" s="132" t="s">
        <v>85</v>
      </c>
      <c r="O7" s="133" t="s">
        <v>86</v>
      </c>
      <c r="P7" s="132" t="s">
        <v>85</v>
      </c>
      <c r="Q7" s="133" t="s">
        <v>86</v>
      </c>
      <c r="R7" s="132" t="s">
        <v>85</v>
      </c>
      <c r="S7" s="133" t="s">
        <v>86</v>
      </c>
      <c r="U7" s="131"/>
      <c r="V7" s="130"/>
      <c r="W7" s="10"/>
      <c r="X7" s="10"/>
      <c r="Y7" s="132" t="s">
        <v>85</v>
      </c>
      <c r="Z7" s="133" t="s">
        <v>86</v>
      </c>
      <c r="AA7" s="132" t="s">
        <v>85</v>
      </c>
      <c r="AB7" s="133" t="s">
        <v>86</v>
      </c>
      <c r="AC7" s="132" t="s">
        <v>85</v>
      </c>
      <c r="AD7" s="133" t="s">
        <v>86</v>
      </c>
    </row>
    <row r="8" spans="1:30" ht="15.75" thickBot="1" x14ac:dyDescent="0.3">
      <c r="A8" s="5" t="s">
        <v>53</v>
      </c>
      <c r="B8" s="106">
        <f>VLOOKUP(A4,Freight!$A$2:$G$11,2,0)</f>
        <v>5600000</v>
      </c>
      <c r="C8" s="6"/>
      <c r="D8" s="6"/>
      <c r="E8" s="120">
        <f>$B8/$B$9</f>
        <v>20.74074074074074</v>
      </c>
      <c r="F8" s="347">
        <f>$B8/$B$9</f>
        <v>20.74074074074074</v>
      </c>
      <c r="G8" s="120">
        <f>B8/B$9</f>
        <v>20.74074074074074</v>
      </c>
      <c r="H8" s="347">
        <f>B8/B$9</f>
        <v>20.74074074074074</v>
      </c>
      <c r="J8" s="5" t="s">
        <v>53</v>
      </c>
      <c r="K8" s="106">
        <f>VLOOKUP(J4,Freight!$A$2:$G$11,2,0)</f>
        <v>5100000</v>
      </c>
      <c r="L8" s="6"/>
      <c r="M8" s="6"/>
      <c r="N8" s="120">
        <f>K8/K$9</f>
        <v>34</v>
      </c>
      <c r="O8" s="121">
        <f>K8/K$9</f>
        <v>34</v>
      </c>
      <c r="P8" s="120">
        <f>K8/K$9</f>
        <v>34</v>
      </c>
      <c r="Q8" s="121">
        <f>K8/K$9</f>
        <v>34</v>
      </c>
      <c r="R8" s="120">
        <f>K8/K$9</f>
        <v>34</v>
      </c>
      <c r="S8" s="121">
        <f>K8/K$9</f>
        <v>34</v>
      </c>
      <c r="U8" s="5" t="s">
        <v>53</v>
      </c>
      <c r="V8" s="106">
        <f>VLOOKUP(U4,Freight!$A$2:$G$11,2,0)</f>
        <v>4600000</v>
      </c>
      <c r="W8" s="6"/>
      <c r="X8" s="6"/>
      <c r="Y8" s="120">
        <f>V8/V$9</f>
        <v>46.938775510204081</v>
      </c>
      <c r="Z8" s="121">
        <f>V8/V$9</f>
        <v>46.938775510204081</v>
      </c>
      <c r="AA8" s="120">
        <f>V8/V$9</f>
        <v>46.938775510204081</v>
      </c>
      <c r="AB8" s="121">
        <f>V8/V$9</f>
        <v>46.938775510204081</v>
      </c>
      <c r="AC8" s="120">
        <f>V8/V$9</f>
        <v>46.938775510204081</v>
      </c>
      <c r="AD8" s="121">
        <f>V8/V$9</f>
        <v>46.938775510204081</v>
      </c>
    </row>
    <row r="9" spans="1:30" x14ac:dyDescent="0.25">
      <c r="A9" s="5" t="s">
        <v>54</v>
      </c>
      <c r="B9" s="106">
        <v>270000</v>
      </c>
      <c r="C9" s="3" t="s">
        <v>79</v>
      </c>
      <c r="D9" s="4" t="s">
        <v>80</v>
      </c>
      <c r="E9" s="122"/>
      <c r="F9" s="348"/>
      <c r="G9" s="122"/>
      <c r="H9" s="348"/>
      <c r="J9" s="5" t="s">
        <v>54</v>
      </c>
      <c r="K9" s="106">
        <v>150000</v>
      </c>
      <c r="L9" s="3" t="s">
        <v>79</v>
      </c>
      <c r="M9" s="4" t="s">
        <v>80</v>
      </c>
      <c r="N9" s="122"/>
      <c r="O9" s="123"/>
      <c r="P9" s="122"/>
      <c r="Q9" s="123"/>
      <c r="R9" s="122"/>
      <c r="S9" s="123"/>
      <c r="U9" s="5" t="s">
        <v>54</v>
      </c>
      <c r="V9" s="106">
        <v>98000</v>
      </c>
      <c r="W9" s="3" t="s">
        <v>79</v>
      </c>
      <c r="X9" s="4" t="s">
        <v>80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55</v>
      </c>
      <c r="B10" s="106">
        <f>C10*D10</f>
        <v>550000</v>
      </c>
      <c r="C10" s="135">
        <f>VLOOKUP($A$4,Freight!$A$2:$G$11,5,0)</f>
        <v>55000</v>
      </c>
      <c r="D10" s="105">
        <v>10</v>
      </c>
      <c r="E10" s="120">
        <f>B$10/B$9</f>
        <v>2.0370370370370372</v>
      </c>
      <c r="F10" s="347">
        <f>B$10/B$9</f>
        <v>2.0370370370370372</v>
      </c>
      <c r="G10" s="120">
        <f>B10/B$9</f>
        <v>2.0370370370370372</v>
      </c>
      <c r="H10" s="347">
        <f>B10/B$9</f>
        <v>2.0370370370370372</v>
      </c>
      <c r="J10" s="5" t="s">
        <v>55</v>
      </c>
      <c r="K10" s="106">
        <f>L10*M10</f>
        <v>402500</v>
      </c>
      <c r="L10" s="7">
        <f>VLOOKUP(J$4,Freight!$A$2:$G$11,5,0)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55</v>
      </c>
      <c r="V10" s="106">
        <f>W10*X10</f>
        <v>212500</v>
      </c>
      <c r="W10" s="7">
        <f>VLOOKUP(U$4,Freight!$A$2:$G$11,5,0)</f>
        <v>42500</v>
      </c>
      <c r="X10" s="105">
        <v>5</v>
      </c>
      <c r="Y10" s="120">
        <f>V$10/V$9</f>
        <v>2.1683673469387754</v>
      </c>
      <c r="Z10" s="121">
        <f>V$10/V$9</f>
        <v>2.1683673469387754</v>
      </c>
      <c r="AA10" s="120">
        <f>V10/V$9</f>
        <v>2.1683673469387754</v>
      </c>
      <c r="AB10" s="121">
        <f>V10/V$9</f>
        <v>2.1683673469387754</v>
      </c>
      <c r="AC10" s="120">
        <f>V10/V$9</f>
        <v>2.1683673469387754</v>
      </c>
      <c r="AD10" s="121">
        <f>V10/V$9</f>
        <v>2.1683673469387754</v>
      </c>
    </row>
    <row r="11" spans="1:30" x14ac:dyDescent="0.25">
      <c r="A11" s="5" t="s">
        <v>56</v>
      </c>
      <c r="B11" s="106">
        <v>8500</v>
      </c>
      <c r="C11" s="6"/>
      <c r="D11" s="6"/>
      <c r="E11" s="120">
        <f>B11/B$9</f>
        <v>3.1481481481481478E-2</v>
      </c>
      <c r="F11" s="347">
        <f>B11/B$9</f>
        <v>3.1481481481481478E-2</v>
      </c>
      <c r="G11" s="120">
        <f>B11/B$9</f>
        <v>3.1481481481481478E-2</v>
      </c>
      <c r="H11" s="347">
        <f>B11/B$9</f>
        <v>3.1481481481481478E-2</v>
      </c>
      <c r="J11" s="5" t="s">
        <v>56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56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124</v>
      </c>
      <c r="B12" s="106">
        <v>25000</v>
      </c>
      <c r="C12" s="6"/>
      <c r="D12" s="6"/>
      <c r="E12" s="120">
        <f>B12/B$9</f>
        <v>9.2592592592592587E-2</v>
      </c>
      <c r="F12" s="347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124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124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125</v>
      </c>
      <c r="B13" s="106">
        <v>25000</v>
      </c>
      <c r="C13" s="3" t="s">
        <v>79</v>
      </c>
      <c r="D13" s="4" t="s">
        <v>80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125</v>
      </c>
      <c r="K13" s="106">
        <v>25000</v>
      </c>
      <c r="L13" s="3" t="s">
        <v>79</v>
      </c>
      <c r="M13" s="4" t="s">
        <v>80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125</v>
      </c>
      <c r="V13" s="106">
        <v>25000</v>
      </c>
      <c r="W13" s="3" t="s">
        <v>79</v>
      </c>
      <c r="X13" s="4" t="s">
        <v>80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81</v>
      </c>
      <c r="B14" s="109">
        <f ca="1">(D14*((C14)/365)*VLOOKUP(EOMONTH(E5,-1)+1,Tullet!$A$4:$S$25,2,0))*B9</f>
        <v>912359.58904109593</v>
      </c>
      <c r="C14" s="103">
        <v>5.5E-2</v>
      </c>
      <c r="D14" s="105">
        <v>60</v>
      </c>
      <c r="E14" s="120">
        <f ca="1">(D14*((C14)/365)*VLOOKUP(EOMONTH(E5,-1)+1,Tullet!$A$4:$S$27,2,0))</f>
        <v>3.379109589041096</v>
      </c>
      <c r="F14" s="124">
        <f ca="1">(D14*((C14)/365)*VLOOKUP(EOMONTH(E5,-1)+1,Tullet!$N$4:$S$27,3,0))</f>
        <v>4.005431998213222</v>
      </c>
      <c r="G14" s="120">
        <f ca="1">($D$14*(($C$14)/365)*VLOOKUP(EOMONTH(G5,-1)+1,Tullet!$A$4:$S$27,2,0))</f>
        <v>3.3655479452054795</v>
      </c>
      <c r="H14" s="124">
        <f ca="1">($D$14*(($C$14)/365)*VLOOKUP(EOMONTH(G5,-1)+1,Tullet!$N$4:$S$27,3,0))</f>
        <v>3.9715278886241805</v>
      </c>
      <c r="J14" s="5" t="s">
        <v>81</v>
      </c>
      <c r="K14" s="106">
        <f ca="1">(M14*((L14)/365)*VLOOKUP(EOMONTH(N5,-1)+1,Tullet!$A$4:$S$27,2,0))*K9</f>
        <v>506866.43835616438</v>
      </c>
      <c r="L14" s="103">
        <v>5.5E-2</v>
      </c>
      <c r="M14" s="105">
        <v>60</v>
      </c>
      <c r="N14" s="120">
        <f ca="1">(M14*((L14)/365)*VLOOKUP(EOMONTH(N5,-1)+1,Tullet!$A$4:$S$27,2,0))</f>
        <v>3.379109589041096</v>
      </c>
      <c r="O14" s="124">
        <f ca="1">(M14*((L14)/365)*VLOOKUP(EOMONTH(N5,-1)+1,Tullet!$N$4:$S$27,3,0))</f>
        <v>4.005431998213222</v>
      </c>
      <c r="P14" s="120">
        <f ca="1">(M$14*((L$14)/365)*VLOOKUP(EOMONTH(P5,-1)+1,Tullet!$A$4:$S$27,2,0))</f>
        <v>3.3655479452054795</v>
      </c>
      <c r="Q14" s="124">
        <f ca="1">(M$14*((L$14)/365)*VLOOKUP(EOMONTH(P5,-1)+1,Tullet!$N$4:$S$27,3,0))</f>
        <v>3.9715278886241805</v>
      </c>
      <c r="R14" s="120">
        <f ca="1">(M$14*((L$14)/365)*VLOOKUP(EOMONTH(R5,-1)+1,Tullet!$A$4:$S$27,2,0))</f>
        <v>3.3655479452054795</v>
      </c>
      <c r="S14" s="124">
        <f ca="1">(M$14*((L$14)/365)*VLOOKUP(EOMONTH(R5,-1)+1,Tullet!$N$4:$S$27,3,0))</f>
        <v>3.9715278886241805</v>
      </c>
      <c r="U14" s="5" t="s">
        <v>81</v>
      </c>
      <c r="V14" s="109">
        <f ca="1">(X14*((W14)/365)*VLOOKUP(EOMONTH(Y5,-1)+1,Tullet!$A$4:$S$27,2,0))*V9</f>
        <v>331152.73972602742</v>
      </c>
      <c r="W14" s="103">
        <v>5.5E-2</v>
      </c>
      <c r="X14" s="105">
        <v>60</v>
      </c>
      <c r="Y14" s="120">
        <f ca="1">(X14*((W14)/365)*VLOOKUP(EOMONTH(Y5,-1)+1,Tullet!$A$4:$S$27,2,0))</f>
        <v>3.379109589041096</v>
      </c>
      <c r="Z14" s="124">
        <f ca="1">(X14*((W14)/365)*VLOOKUP(EOMONTH(Y5,-1)+1,Tullet!$N$4:$S$27,3,0))</f>
        <v>4.005431998213222</v>
      </c>
      <c r="AA14" s="120">
        <f ca="1">(X$14*((W$14)/365)*VLOOKUP(EOMONTH(AA5,-1)+1,Tullet!$A$4:$S$27,2,0))</f>
        <v>3.3655479452054795</v>
      </c>
      <c r="AB14" s="124">
        <f ca="1">(X$14*((W$14)/365)*VLOOKUP(EOMONTH(AA5,-1)+1,Tullet!$N$4:$S$27,3,0))</f>
        <v>3.9715278886241805</v>
      </c>
      <c r="AC14" s="120">
        <f ca="1">(X$14*((W$14)/365)*VLOOKUP(EOMONTH(AC5,-1)+1,Tullet!$A$4:$S$27,2,0))</f>
        <v>3.3655479452054795</v>
      </c>
      <c r="AD14" s="124">
        <f ca="1">(X$14*((W$14)/365)*VLOOKUP(EOMONTH(AC5,-1)+1,Tullet!$N$4:$S$27,3,0))</f>
        <v>3.9715278886241805</v>
      </c>
    </row>
    <row r="15" spans="1:30" ht="15.75" thickBot="1" x14ac:dyDescent="0.3">
      <c r="A15" s="5" t="s">
        <v>57</v>
      </c>
      <c r="B15" s="106"/>
      <c r="C15" s="6"/>
      <c r="D15" s="6"/>
      <c r="E15" s="122"/>
      <c r="F15" s="123"/>
      <c r="G15" s="122"/>
      <c r="H15" s="123"/>
      <c r="J15" s="5" t="s">
        <v>57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57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58</v>
      </c>
      <c r="B16" s="106">
        <f ca="1">B9*VLOOKUP(EOMONTH(E5,-1)+1,Tullet!$A$4:$S$25,2,0)*0.1%</f>
        <v>100912.5</v>
      </c>
      <c r="C16" s="3" t="s">
        <v>79</v>
      </c>
      <c r="D16" s="4" t="s">
        <v>82</v>
      </c>
      <c r="E16" s="120">
        <f ca="1">VLOOKUP(EOMONTH(E5,-1)+1,Tullet!$A$4:$S$27,2,0)*0.00075</f>
        <v>0.28031250000000002</v>
      </c>
      <c r="F16" s="121">
        <f ca="1">VLOOKUP(EOMONTH(E5,-1)+1,Tullet!$N$3:$S$27,3,0)*0.00075</f>
        <v>0.33226879076086951</v>
      </c>
      <c r="G16" s="120">
        <f ca="1">VLOOKUP(EOMONTH(G5,-1)+1,Tullet!$A$4:$S$27,2,0)*0.00075</f>
        <v>0.27918750000000003</v>
      </c>
      <c r="H16" s="121">
        <f ca="1">VLOOKUP(EOMONTH(G5,-1)+1,Tullet!$N$3:$S$27,3,0)*0.00075</f>
        <v>0.32945629076086952</v>
      </c>
      <c r="J16" s="5" t="s">
        <v>58</v>
      </c>
      <c r="K16" s="106">
        <f ca="1">K9*VLOOKUP(EOMONTH(N5,-1)+1,Tullet!$A$4:$S$25,2,0)*0.1%</f>
        <v>56062.5</v>
      </c>
      <c r="L16" s="3" t="s">
        <v>79</v>
      </c>
      <c r="M16" s="4" t="s">
        <v>82</v>
      </c>
      <c r="N16" s="120">
        <f ca="1">VLOOKUP(EOMONTH(N5,-1)+1,Tullet!$A$4:$S$27,2,0)*0.00075</f>
        <v>0.28031250000000002</v>
      </c>
      <c r="O16" s="121">
        <f ca="1">VLOOKUP(EOMONTH(N5,-1)+1,Tullet!$N$3:$S$27,3,0)*0.00075</f>
        <v>0.33226879076086951</v>
      </c>
      <c r="P16" s="120">
        <f ca="1">VLOOKUP(EOMONTH(P5,-1)+1,Tullet!$A$4:$S$27,2,0)*0.00075</f>
        <v>0.27918750000000003</v>
      </c>
      <c r="Q16" s="121">
        <f ca="1">VLOOKUP(EOMONTH(P5,-1)+1,Tullet!$N$3:$S$27,3,0)*0.00075</f>
        <v>0.32945629076086952</v>
      </c>
      <c r="R16" s="120">
        <f ca="1">VLOOKUP(EOMONTH(R5,-1)+1,Tullet!$A$4:$S$27,2,0)*0.00075</f>
        <v>0.27918750000000003</v>
      </c>
      <c r="S16" s="121">
        <f ca="1">VLOOKUP(EOMONTH(R5,-1)+1,Tullet!$N$3:$S$27,3,0)*0.00075</f>
        <v>0.32945629076086952</v>
      </c>
      <c r="U16" s="5" t="s">
        <v>58</v>
      </c>
      <c r="V16" s="106">
        <f ca="1">V9*VLOOKUP(EOMONTH(Y5,-1)+1,Tullet!$A$4:$S$25,2,0)*0.1%</f>
        <v>36627.5</v>
      </c>
      <c r="W16" s="3" t="s">
        <v>79</v>
      </c>
      <c r="X16" s="4" t="s">
        <v>82</v>
      </c>
      <c r="Y16" s="120">
        <f ca="1">VLOOKUP(EOMONTH(Y5,-1)+1,Tullet!$A$4:$S$27,2,0)*0.00075</f>
        <v>0.28031250000000002</v>
      </c>
      <c r="Z16" s="121">
        <f ca="1">VLOOKUP(EOMONTH(Y5,-1)+1,Tullet!$N$3:$S$27,3,0)*0.00075</f>
        <v>0.33226879076086951</v>
      </c>
      <c r="AA16" s="120">
        <f ca="1">VLOOKUP(EOMONTH(AA5,-1)+1,Tullet!$A$4:$S$27,2,0)*0.00075</f>
        <v>0.27918750000000003</v>
      </c>
      <c r="AB16" s="121">
        <f ca="1">VLOOKUP(EOMONTH(AA5,-1)+1,Tullet!$N$3:$S$27,3,0)*0.00075</f>
        <v>0.32945629076086952</v>
      </c>
      <c r="AC16" s="120">
        <f ca="1">VLOOKUP(EOMONTH(AC5,-1)+1,Tullet!$A$4:$S$27,2,0)*0.00075</f>
        <v>0.27918750000000003</v>
      </c>
      <c r="AD16" s="121">
        <f ca="1">VLOOKUP(EOMONTH(AC5,-1)+1,Tullet!$N$3:$S$27,3,0)*0.00075</f>
        <v>0.32945629076086952</v>
      </c>
    </row>
    <row r="17" spans="1:30" ht="15.75" thickBot="1" x14ac:dyDescent="0.3">
      <c r="A17" s="5" t="s">
        <v>59</v>
      </c>
      <c r="B17" s="106">
        <f ca="1">C17*$B$9*VLOOKUP(EOMONTH(E26,-1)+1,Tullet!$E$50:$I$83,4,0)</f>
        <v>311647.5</v>
      </c>
      <c r="C17" s="104">
        <v>3.0000000000000001E-3</v>
      </c>
      <c r="D17" s="105" t="s">
        <v>83</v>
      </c>
      <c r="E17" s="120">
        <f ca="1">$C$17*VLOOKUP(EOMONTH(E26,-1)+1,Tullet!$E$50:$I$83,4,0)</f>
        <v>1.15425</v>
      </c>
      <c r="F17" s="120">
        <f ca="1">$C$17*VLOOKUP(EOMONTH(F26,-1)+1,Tullet!$E$50:$I$83,4,0)</f>
        <v>1.15425</v>
      </c>
      <c r="G17" s="120">
        <f ca="1">$C$17*VLOOKUP(EOMONTH(G26,-1)+1,Tullet!$E$53:$I$83,4,0)</f>
        <v>1.15425</v>
      </c>
      <c r="H17" s="120">
        <f ca="1">$C$17*VLOOKUP(EOMONTH(H26,-1)+1,Tullet!$E$53:$I$83,4,0)</f>
        <v>1.15425</v>
      </c>
      <c r="I17" s="142"/>
      <c r="J17" s="150" t="s">
        <v>59</v>
      </c>
      <c r="K17" s="106">
        <f ca="1">L17*$K$9*VLOOKUP(EOMONTH(N26,-1)+1,Tullet!$E$50:$I$83,4,0)</f>
        <v>175275</v>
      </c>
      <c r="L17" s="335">
        <v>3.0000000000000001E-3</v>
      </c>
      <c r="M17" s="152" t="s">
        <v>83</v>
      </c>
      <c r="N17" s="120">
        <f ca="1">$L$17*VLOOKUP(EOMONTH(N26,-1)+1,Tullet!$E$50:$I$83,4,0)</f>
        <v>1.1685000000000001</v>
      </c>
      <c r="O17" s="120">
        <f ca="1">$L$17*VLOOKUP(EOMONTH(O26,-1)+1,Tullet!$E$50:$I$83,4,0)</f>
        <v>1.1685000000000001</v>
      </c>
      <c r="P17" s="120">
        <f ca="1">$L$17*VLOOKUP(EOMONTH(P26,-1)+1,Tullet!$E$50:$I$83,4,0)</f>
        <v>1.15425</v>
      </c>
      <c r="Q17" s="120">
        <f ca="1">$L$17*VLOOKUP(EOMONTH(Q26,-1)+1,Tullet!$E$50:$I$83,4,0)</f>
        <v>1.15425</v>
      </c>
      <c r="R17" s="120">
        <f ca="1">$L$17*VLOOKUP(EOMONTH(R26,-1)+1,Tullet!$E$53:$I$83,4,0)</f>
        <v>1.15425</v>
      </c>
      <c r="S17" s="120">
        <f ca="1">$L$17*VLOOKUP(EOMONTH(S26,-1)+1,Tullet!$E$53:$I$83,4,0)</f>
        <v>1.15425</v>
      </c>
      <c r="T17" s="142"/>
      <c r="U17" s="150" t="s">
        <v>59</v>
      </c>
      <c r="V17" s="151">
        <f ca="1">W17*$K$9*VLOOKUP(EOMONTH(Y26,-1)+1,Tullet!$E$50:$I$83,4,0)</f>
        <v>175275</v>
      </c>
      <c r="W17" s="153">
        <v>3.0000000000000001E-3</v>
      </c>
      <c r="X17" s="152" t="s">
        <v>83</v>
      </c>
      <c r="Y17" s="120">
        <f ca="1">$W$17*VLOOKUP(EOMONTH(Y26,-1)+1,Tullet!$E$50:$I$83,4,0)</f>
        <v>1.1685000000000001</v>
      </c>
      <c r="Z17" s="120">
        <f ca="1">$W$17*VLOOKUP(EOMONTH(Z26,-1)+1,Tullet!$E$50:$I$83,4,0)</f>
        <v>1.1685000000000001</v>
      </c>
      <c r="AA17" s="120">
        <f ca="1">$W$17*VLOOKUP(EOMONTH(AA26,-1)+1,Tullet!$E$50:$I$83,4,0)</f>
        <v>1.15425</v>
      </c>
      <c r="AB17" s="120">
        <f ca="1">$W$17*VLOOKUP(EOMONTH(AB26,-1)+1,Tullet!$E$50:$I$83,4,0)</f>
        <v>1.15425</v>
      </c>
      <c r="AC17" s="120">
        <f ca="1">$W$17*VLOOKUP(EOMONTH(AC26,-1)+1,Tullet!$E$53:$I$83,4,0)</f>
        <v>1.15425</v>
      </c>
      <c r="AD17" s="120">
        <f ca="1">$W$17*VLOOKUP(EOMONTH(AD26,-1)+1,Tullet!$E$53:$I$83,4,0)</f>
        <v>1.15425</v>
      </c>
    </row>
    <row r="18" spans="1:30" x14ac:dyDescent="0.25">
      <c r="A18" s="5" t="s">
        <v>60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60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60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61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61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61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62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62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62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63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63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63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64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64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64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100</v>
      </c>
      <c r="B23" s="110">
        <f ca="1">SUM(B8:B22)</f>
        <v>7848419.5890410962</v>
      </c>
      <c r="C23" s="9"/>
      <c r="D23" s="9"/>
      <c r="E23" s="126">
        <f ca="1">SUM(E8:E22)</f>
        <v>27.97478320015221</v>
      </c>
      <c r="F23" s="127">
        <f ca="1">SUM(F8:F22)</f>
        <v>28.653061900085206</v>
      </c>
      <c r="G23" s="126">
        <f ca="1">SUM(G8:G22)</f>
        <v>27.960096556316593</v>
      </c>
      <c r="H23" s="127">
        <f ca="1">SUM(H8:H22)</f>
        <v>28.616345290496163</v>
      </c>
      <c r="J23" s="8" t="s">
        <v>100</v>
      </c>
      <c r="K23" s="134">
        <f ca="1">SUM(K8:K22)</f>
        <v>6489203.9383561648</v>
      </c>
      <c r="L23" s="9"/>
      <c r="M23" s="9"/>
      <c r="N23" s="126">
        <f t="shared" ref="N23:S23" ca="1" si="3">SUM(N8:N22)</f>
        <v>42.167922089041092</v>
      </c>
      <c r="O23" s="127">
        <f t="shared" ca="1" si="3"/>
        <v>42.846200788974095</v>
      </c>
      <c r="P23" s="126">
        <f t="shared" ca="1" si="3"/>
        <v>42.138985445205471</v>
      </c>
      <c r="Q23" s="127">
        <f t="shared" ca="1" si="3"/>
        <v>42.795234179385041</v>
      </c>
      <c r="R23" s="126">
        <f t="shared" ca="1" si="3"/>
        <v>42.138985445205471</v>
      </c>
      <c r="S23" s="127">
        <f t="shared" ca="1" si="3"/>
        <v>42.795234179385041</v>
      </c>
      <c r="U23" s="8" t="s">
        <v>100</v>
      </c>
      <c r="V23" s="134">
        <f ca="1">SUM(V8:V22)</f>
        <v>5552055.2397260275</v>
      </c>
      <c r="W23" s="9"/>
      <c r="X23" s="9"/>
      <c r="Y23" s="126">
        <f t="shared" ref="Y23:AD23" ca="1" si="4">SUM(Y8:Y22)</f>
        <v>54.940166987000268</v>
      </c>
      <c r="Z23" s="127">
        <f t="shared" ca="1" si="4"/>
        <v>55.618445686933271</v>
      </c>
      <c r="AA23" s="126">
        <f t="shared" ca="1" si="4"/>
        <v>54.911230343164647</v>
      </c>
      <c r="AB23" s="127">
        <f t="shared" ca="1" si="4"/>
        <v>55.567479077344217</v>
      </c>
      <c r="AC23" s="126">
        <f t="shared" ca="1" si="4"/>
        <v>54.911230343164647</v>
      </c>
      <c r="AD23" s="127">
        <f t="shared" ca="1" si="4"/>
        <v>55.567479077344217</v>
      </c>
    </row>
    <row r="24" spans="1:30" ht="16.5" customHeight="1" thickBot="1" x14ac:dyDescent="0.3">
      <c r="A24" s="5" t="s">
        <v>101</v>
      </c>
      <c r="B24" s="106"/>
      <c r="C24" s="6"/>
      <c r="D24" s="6"/>
      <c r="E24" s="125">
        <f ca="1">'ROLLS HS'!L4</f>
        <v>12.964285714285714</v>
      </c>
      <c r="F24" s="124">
        <f ca="1">'ROLLS LS'!K4</f>
        <v>27.906428571428648</v>
      </c>
      <c r="G24" s="125">
        <f ca="1">'ROLLS HS'!L7</f>
        <v>12.5</v>
      </c>
      <c r="H24" s="124">
        <f ca="1">'ROLLS LS'!K7</f>
        <v>29.192142857142933</v>
      </c>
      <c r="J24" s="5" t="s">
        <v>101</v>
      </c>
      <c r="K24" s="106"/>
      <c r="L24" s="6"/>
      <c r="M24" s="6"/>
      <c r="N24" s="125">
        <f ca="1">'ROLLS HS'!L14</f>
        <v>13.583333333333334</v>
      </c>
      <c r="O24" s="124">
        <f ca="1">'ROLLS LS'!K14</f>
        <v>27.293333333333411</v>
      </c>
      <c r="P24" s="125">
        <f ca="1">'ROLLS HS'!L17</f>
        <v>12.5</v>
      </c>
      <c r="Q24" s="124">
        <f ca="1">'ROLLS LS'!K17</f>
        <v>28.672962962963041</v>
      </c>
      <c r="R24" s="125">
        <f ca="1">'ROLLS HS'!L20</f>
        <v>12.5</v>
      </c>
      <c r="S24" s="124">
        <f ca="1">'ROLLS LS'!K20</f>
        <v>29.598888888888968</v>
      </c>
      <c r="U24" s="5" t="s">
        <v>101</v>
      </c>
      <c r="V24" s="106"/>
      <c r="W24" s="6"/>
      <c r="X24" s="6"/>
      <c r="Y24" s="125">
        <f ca="1">'ROLLS HS'!L14</f>
        <v>13.583333333333334</v>
      </c>
      <c r="Z24" s="124">
        <f ca="1">'ROLLS LS'!K14</f>
        <v>27.293333333333411</v>
      </c>
      <c r="AA24" s="125">
        <f ca="1">'ROLLS HS'!L17</f>
        <v>12.5</v>
      </c>
      <c r="AB24" s="124">
        <f ca="1">'ROLLS LS'!K17</f>
        <v>28.672962962963041</v>
      </c>
      <c r="AC24" s="125">
        <f ca="1">'ROLLS HS'!L20</f>
        <v>12.5</v>
      </c>
      <c r="AD24" s="124">
        <f ca="1">'ROLLS LS'!K20</f>
        <v>29.598888888888968</v>
      </c>
    </row>
    <row r="25" spans="1:30" ht="16.5" customHeight="1" thickBot="1" x14ac:dyDescent="0.3">
      <c r="A25" s="8" t="s">
        <v>113</v>
      </c>
      <c r="B25" s="110"/>
      <c r="C25" s="9"/>
      <c r="D25" s="9"/>
      <c r="E25" s="126">
        <f ca="1">E24-E23</f>
        <v>-15.010497485866496</v>
      </c>
      <c r="F25" s="127">
        <f ca="1">F24-F23</f>
        <v>-0.74663332865655718</v>
      </c>
      <c r="G25" s="126">
        <f ca="1">G24-G23</f>
        <v>-15.460096556316593</v>
      </c>
      <c r="H25" s="127">
        <f ca="1">H24-H23</f>
        <v>0.57579756664677006</v>
      </c>
      <c r="J25" s="8" t="s">
        <v>113</v>
      </c>
      <c r="K25" s="110"/>
      <c r="L25" s="9"/>
      <c r="M25" s="9"/>
      <c r="N25" s="126">
        <f t="shared" ref="N25:S25" ca="1" si="5">N24-N23</f>
        <v>-28.584588755707756</v>
      </c>
      <c r="O25" s="127">
        <f t="shared" ca="1" si="5"/>
        <v>-15.552867455640683</v>
      </c>
      <c r="P25" s="126">
        <f t="shared" ca="1" si="5"/>
        <v>-29.638985445205471</v>
      </c>
      <c r="Q25" s="127">
        <f t="shared" ca="1" si="5"/>
        <v>-14.122271216422</v>
      </c>
      <c r="R25" s="126">
        <f t="shared" ca="1" si="5"/>
        <v>-29.638985445205471</v>
      </c>
      <c r="S25" s="127">
        <f t="shared" ca="1" si="5"/>
        <v>-13.196345290496073</v>
      </c>
      <c r="U25" s="8" t="s">
        <v>113</v>
      </c>
      <c r="V25" s="110"/>
      <c r="W25" s="9"/>
      <c r="X25" s="9"/>
      <c r="Y25" s="126">
        <f t="shared" ref="Y25:AD25" ca="1" si="6">Y24-Y23</f>
        <v>-41.356833653666932</v>
      </c>
      <c r="Z25" s="127">
        <f t="shared" ca="1" si="6"/>
        <v>-28.325112353599859</v>
      </c>
      <c r="AA25" s="126">
        <f t="shared" ca="1" si="6"/>
        <v>-42.411230343164647</v>
      </c>
      <c r="AB25" s="127">
        <f t="shared" ca="1" si="6"/>
        <v>-26.894516114381176</v>
      </c>
      <c r="AC25" s="126">
        <f t="shared" ca="1" si="6"/>
        <v>-42.411230343164647</v>
      </c>
      <c r="AD25" s="127">
        <f t="shared" ca="1" si="6"/>
        <v>-25.968590188455249</v>
      </c>
    </row>
    <row r="26" spans="1:30" x14ac:dyDescent="0.25">
      <c r="A26" s="5" t="s">
        <v>84</v>
      </c>
      <c r="B26" s="107"/>
      <c r="C26" s="6"/>
      <c r="D26" s="6"/>
      <c r="E26" s="128">
        <f ca="1">'Loading Arrival'!B9</f>
        <v>45964</v>
      </c>
      <c r="F26" s="129">
        <f ca="1">'Loading Arrival'!B9</f>
        <v>45964</v>
      </c>
      <c r="G26" s="128">
        <f ca="1">'Loading Arrival'!C9</f>
        <v>45978</v>
      </c>
      <c r="H26" s="129">
        <f ca="1">'Loading Arrival'!C9</f>
        <v>45978</v>
      </c>
      <c r="J26" s="5" t="s">
        <v>84</v>
      </c>
      <c r="K26" s="107"/>
      <c r="L26" s="6"/>
      <c r="M26" s="6"/>
      <c r="N26" s="128">
        <f ca="1">'Loading Arrival'!$B$17</f>
        <v>45956</v>
      </c>
      <c r="O26" s="128">
        <f ca="1">'Loading Arrival'!$B$17</f>
        <v>45956</v>
      </c>
      <c r="P26" s="128">
        <f ca="1">'Loading Arrival'!$C$17</f>
        <v>45970</v>
      </c>
      <c r="Q26" s="128">
        <f ca="1">'Loading Arrival'!$C$17</f>
        <v>45970</v>
      </c>
      <c r="R26" s="128">
        <f ca="1">'Loading Arrival'!$D$17</f>
        <v>45984</v>
      </c>
      <c r="S26" s="128">
        <f ca="1">'Loading Arrival'!$D$17</f>
        <v>45984</v>
      </c>
      <c r="U26" s="5" t="s">
        <v>84</v>
      </c>
      <c r="V26" s="107"/>
      <c r="W26" s="6"/>
      <c r="X26" s="6"/>
      <c r="Y26" s="128">
        <f ca="1">'Loading Arrival'!$B$17</f>
        <v>45956</v>
      </c>
      <c r="Z26" s="128">
        <f ca="1">'Loading Arrival'!$B$17</f>
        <v>45956</v>
      </c>
      <c r="AA26" s="128">
        <f ca="1">'Loading Arrival'!$C$17</f>
        <v>45970</v>
      </c>
      <c r="AB26" s="128">
        <f ca="1">'Loading Arrival'!$C$17</f>
        <v>45970</v>
      </c>
      <c r="AC26" s="128">
        <f ca="1">'Loading Arrival'!$D$17</f>
        <v>45984</v>
      </c>
      <c r="AD26" s="128">
        <f ca="1">'Loading Arrival'!$D$17</f>
        <v>45984</v>
      </c>
    </row>
    <row r="27" spans="1:30" ht="15.75" thickBot="1" x14ac:dyDescent="0.3">
      <c r="A27" s="7" t="s">
        <v>99</v>
      </c>
      <c r="B27" s="108"/>
      <c r="C27" s="105"/>
      <c r="D27" s="105"/>
      <c r="E27" s="610">
        <f ca="1">'Loading Arrival'!B9</f>
        <v>45964</v>
      </c>
      <c r="F27" s="611"/>
      <c r="G27" s="610">
        <f ca="1">'Loading Arrival'!C9</f>
        <v>45978</v>
      </c>
      <c r="H27" s="611"/>
      <c r="J27" s="7" t="s">
        <v>99</v>
      </c>
      <c r="K27" s="108"/>
      <c r="L27" s="105"/>
      <c r="M27" s="105"/>
      <c r="N27" s="610">
        <f ca="1">'Loading Arrival'!B17</f>
        <v>45956</v>
      </c>
      <c r="O27" s="611"/>
      <c r="P27" s="612">
        <f ca="1">'Loading Arrival'!C17</f>
        <v>45970</v>
      </c>
      <c r="Q27" s="613"/>
      <c r="R27" s="614">
        <f ca="1">'Loading Arrival'!D17</f>
        <v>45984</v>
      </c>
      <c r="S27" s="611"/>
      <c r="U27" s="7" t="s">
        <v>99</v>
      </c>
      <c r="V27" s="108"/>
      <c r="W27" s="105"/>
      <c r="X27" s="105"/>
      <c r="Y27" s="610">
        <f ca="1">'Loading Arrival'!B17</f>
        <v>45956</v>
      </c>
      <c r="Z27" s="611"/>
      <c r="AA27" s="612">
        <f ca="1">'Loading Arrival'!C17</f>
        <v>45970</v>
      </c>
      <c r="AB27" s="613"/>
      <c r="AC27" s="614">
        <f ca="1">'Loading Arrival'!D17</f>
        <v>45984</v>
      </c>
      <c r="AD27" s="611"/>
    </row>
  </sheetData>
  <mergeCells count="16">
    <mergeCell ref="Y3:Z3"/>
    <mergeCell ref="AA3:AB3"/>
    <mergeCell ref="AC3:AD3"/>
    <mergeCell ref="E3:F3"/>
    <mergeCell ref="G3:H3"/>
    <mergeCell ref="N3:O3"/>
    <mergeCell ref="P3:Q3"/>
    <mergeCell ref="R3:S3"/>
    <mergeCell ref="Y27:Z27"/>
    <mergeCell ref="AA27:AB27"/>
    <mergeCell ref="AC27:AD27"/>
    <mergeCell ref="E27:F27"/>
    <mergeCell ref="G27:H27"/>
    <mergeCell ref="N27:O27"/>
    <mergeCell ref="P27:Q27"/>
    <mergeCell ref="R27:S2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7" tint="0.39997558519241921"/>
  </sheetPr>
  <dimension ref="A3:U25"/>
  <sheetViews>
    <sheetView workbookViewId="0">
      <selection activeCell="V31" sqref="V31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75</v>
      </c>
      <c r="B4" s="607"/>
      <c r="C4" s="607"/>
      <c r="D4" s="607"/>
      <c r="E4" s="608">
        <f ca="1">'Loading Arrival'!B11</f>
        <v>45918</v>
      </c>
      <c r="F4" s="609"/>
      <c r="G4" s="617">
        <f ca="1">'Loading Arrival'!C11</f>
        <v>45932</v>
      </c>
      <c r="H4" s="609"/>
      <c r="I4" s="617">
        <f ca="1">'Loading Arrival'!D11</f>
        <v>45946</v>
      </c>
      <c r="J4" s="609"/>
      <c r="L4" s="606" t="s">
        <v>74</v>
      </c>
      <c r="M4" s="607"/>
      <c r="N4" s="607"/>
      <c r="O4" s="607"/>
      <c r="P4" s="608">
        <f ca="1">E4</f>
        <v>45918</v>
      </c>
      <c r="Q4" s="609"/>
      <c r="R4" s="617">
        <f ca="1">G4</f>
        <v>45932</v>
      </c>
      <c r="S4" s="609"/>
      <c r="T4" s="617">
        <f ca="1">I4</f>
        <v>45946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VLOOKUP(A4,Freight!$A$2:$G$11,2,0)</f>
        <v>4900000</v>
      </c>
      <c r="C6" s="6"/>
      <c r="D6" s="6"/>
      <c r="E6" s="120">
        <f>B6/B$7</f>
        <v>32.666666666666664</v>
      </c>
      <c r="F6" s="121">
        <f>B6/B$7</f>
        <v>32.666666666666664</v>
      </c>
      <c r="G6" s="120">
        <f>B6/B$7</f>
        <v>32.666666666666664</v>
      </c>
      <c r="H6" s="121">
        <f>B6/B$7</f>
        <v>32.666666666666664</v>
      </c>
      <c r="I6" s="120">
        <f>B6/B$7</f>
        <v>32.666666666666664</v>
      </c>
      <c r="J6" s="121">
        <f>B6/B$7</f>
        <v>32.666666666666664</v>
      </c>
      <c r="L6" s="5" t="s">
        <v>53</v>
      </c>
      <c r="M6" s="106">
        <f>VLOOKUP(L4,Freight!$A$2:$G$11,2,0)</f>
        <v>4200000</v>
      </c>
      <c r="N6" s="6"/>
      <c r="O6" s="6"/>
      <c r="P6" s="120">
        <f>M6/M$7</f>
        <v>42.857142857142854</v>
      </c>
      <c r="Q6" s="121">
        <f>M6/M$7</f>
        <v>42.857142857142854</v>
      </c>
      <c r="R6" s="120">
        <f>M6/M$7</f>
        <v>42.857142857142854</v>
      </c>
      <c r="S6" s="121">
        <f>M6/M$7</f>
        <v>42.857142857142854</v>
      </c>
      <c r="T6" s="120">
        <f>M6/M$7</f>
        <v>42.857142857142854</v>
      </c>
      <c r="U6" s="121">
        <f>M6/M$7</f>
        <v>42.857142857142854</v>
      </c>
    </row>
    <row r="7" spans="1:21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98000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575000</v>
      </c>
      <c r="C8" s="7">
        <f>VLOOKUP(A$4,Freight!$A$2:$G$11,5,0)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55</v>
      </c>
      <c r="M8" s="106">
        <f>N8*O8</f>
        <v>297500</v>
      </c>
      <c r="N8" s="7">
        <f>VLOOKUP(L$4,Freight!$A$2:$G$11,5,0)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56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124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81</v>
      </c>
      <c r="B12" s="106">
        <f ca="1">(D12*((C12)/365)*VLOOKUP(EOMONTH(E4,-1)+1,Tullet!$A$4:$S$27,2,0))*B7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(O12*((N12)/365)*VLOOKUP(EOMONTH(P4,-1)+1,Tullet!$A$4:$S$27,2,0))*M7</f>
        <v>331152.73972602742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B7*VLOOKUP(EOMONTH(E4,-1)+1,Tullet!$A$4:$S$27,2,0)*0.1%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M7*VLOOKUP(EOMONTH(P4,-1)+1,Tullet!$A$4:$S$27,2,0)*0.1%</f>
        <v>36627.5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C15*$B$7*VLOOKUP(EOMONTH(E24,-1)+1,Tullet!$E$35:$I$63,4,0)</f>
        <v>175275</v>
      </c>
      <c r="C15" s="104">
        <v>3.0000000000000001E-3</v>
      </c>
      <c r="D15" s="105" t="s">
        <v>83</v>
      </c>
      <c r="E15" s="148">
        <f ca="1">C$15*VLOOKUP(EOMONTH(E24,-1)+1,Tullet!$E$35:$I$63,4,0)</f>
        <v>1.1685000000000001</v>
      </c>
      <c r="F15" s="149">
        <f ca="1">C$15*VLOOKUP(EOMONTH(F24,-1)+1,Tullet!$N$35:$S$63,3,0)</f>
        <v>1.4054551630434784</v>
      </c>
      <c r="G15" s="148">
        <f ca="1">C$15*VLOOKUP(EOMONTH(G24,-1)+1,Tullet!$E$35:$I$63,4,0)</f>
        <v>137.886</v>
      </c>
      <c r="H15" s="149">
        <f ca="1">C$15*VLOOKUP(EOMONTH(H24,-1)+1,Tullet!$N$35:$S$63,3,0)</f>
        <v>1.23675</v>
      </c>
      <c r="I15" s="148">
        <f ca="1">C$15*VLOOKUP(EOMONTH(I24,-1)+1,Tullet!$E$35:$I$63,4,0)</f>
        <v>137.886</v>
      </c>
      <c r="J15" s="149">
        <f ca="1">C$15*VLOOKUP(EOMONTH(J24,-1)+1,Tullet!$N$35:$S$63,3,0)</f>
        <v>1.23675</v>
      </c>
      <c r="L15" s="5" t="s">
        <v>59</v>
      </c>
      <c r="M15" s="106">
        <f ca="1">N15*$M$7*VLOOKUP(EOMONTH(P24,-1)+1,Tullet!$E$35:$I$63,4,0)</f>
        <v>114513</v>
      </c>
      <c r="N15" s="104">
        <v>3.0000000000000001E-3</v>
      </c>
      <c r="O15" s="105" t="s">
        <v>83</v>
      </c>
      <c r="P15" s="148">
        <f ca="1">N$15*VLOOKUP(EOMONTH(P24,-1)+1,Tullet!$E$35:$I$63,4,0)</f>
        <v>1.1685000000000001</v>
      </c>
      <c r="Q15" s="149">
        <f ca="1">N$15*VLOOKUP(EOMONTH(Q24,-1)+1,Tullet!$N$35:$S$63,3,0)</f>
        <v>1.4054551630434784</v>
      </c>
      <c r="R15" s="148">
        <f ca="1">N$15*VLOOKUP(EOMONTH(R24,-1)+1,Tullet!$E$35:$I$63,4,0)</f>
        <v>137.886</v>
      </c>
      <c r="S15" s="149">
        <f ca="1">N$15*VLOOKUP(EOMONTH(S24,-1)+1,Tullet!$N$35:$S$63,3,0)</f>
        <v>1.23675</v>
      </c>
      <c r="T15" s="148">
        <f ca="1">N$15*VLOOKUP(EOMONTH(T24,-1)+1,Tullet!$E$35:$I$63,4,0)</f>
        <v>137.886</v>
      </c>
      <c r="U15" s="149">
        <f ca="1">N$15*VLOOKUP(EOMONTH(U24,-1)+1,Tullet!$N$35:$S$63,3,0)</f>
        <v>1.23675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60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61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62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63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64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100</v>
      </c>
      <c r="B21" s="134">
        <f ca="1">SUM(B6:B20)</f>
        <v>6468203.9383561648</v>
      </c>
      <c r="C21" s="9"/>
      <c r="D21" s="9"/>
      <c r="E21" s="126">
        <f t="shared" ref="E21:J21" ca="1" si="0">SUM(E6:E20)</f>
        <v>42.027922089041098</v>
      </c>
      <c r="F21" s="127">
        <f t="shared" ca="1" si="0"/>
        <v>42.94315595201757</v>
      </c>
      <c r="G21" s="126">
        <f t="shared" ca="1" si="0"/>
        <v>178.73073544520545</v>
      </c>
      <c r="H21" s="127">
        <f t="shared" ca="1" si="0"/>
        <v>42.73773417938505</v>
      </c>
      <c r="I21" s="126">
        <f t="shared" ca="1" si="0"/>
        <v>178.73073544520545</v>
      </c>
      <c r="J21" s="127">
        <f t="shared" ca="1" si="0"/>
        <v>42.73773417938505</v>
      </c>
      <c r="L21" s="8" t="s">
        <v>100</v>
      </c>
      <c r="M21" s="134">
        <f ca="1">SUM(M6:M20)</f>
        <v>5182793.2397260275</v>
      </c>
      <c r="N21" s="9"/>
      <c r="O21" s="9"/>
      <c r="P21" s="126">
        <f t="shared" ref="P21:U21" ca="1" si="1">SUM(P6:P20)</f>
        <v>51.792207803326797</v>
      </c>
      <c r="Q21" s="127">
        <f t="shared" ca="1" si="1"/>
        <v>52.707441666303268</v>
      </c>
      <c r="R21" s="126">
        <f t="shared" ca="1" si="1"/>
        <v>188.49502115949119</v>
      </c>
      <c r="S21" s="127">
        <f t="shared" ca="1" si="1"/>
        <v>52.502019893670749</v>
      </c>
      <c r="T21" s="126">
        <f t="shared" ca="1" si="1"/>
        <v>188.49502115949119</v>
      </c>
      <c r="U21" s="127">
        <f t="shared" ca="1" si="1"/>
        <v>52.502019893670749</v>
      </c>
    </row>
    <row r="22" spans="1:21" ht="16.5" customHeight="1" thickBot="1" x14ac:dyDescent="0.3">
      <c r="A22" s="5" t="s">
        <v>101</v>
      </c>
      <c r="B22" s="106"/>
      <c r="C22" s="6"/>
      <c r="D22" s="6"/>
      <c r="E22" s="125">
        <f ca="1">'ROLLS HS'!L34</f>
        <v>13.625</v>
      </c>
      <c r="F22" s="124">
        <f ca="1">'ROLLS LS'!K34</f>
        <v>27.258076923077002</v>
      </c>
      <c r="G22" s="125">
        <f ca="1">'ROLLS HS'!L37</f>
        <v>12.5</v>
      </c>
      <c r="H22" s="124">
        <f ca="1">'ROLLS LS'!K37</f>
        <v>28.594615384615466</v>
      </c>
      <c r="I22" s="125">
        <f ca="1">'ROLLS HS'!L40</f>
        <v>12.5</v>
      </c>
      <c r="J22" s="124">
        <f ca="1">'ROLLS LS'!K40</f>
        <v>29.556153846153926</v>
      </c>
      <c r="L22" s="5" t="s">
        <v>101</v>
      </c>
      <c r="M22" s="106"/>
      <c r="N22" s="6"/>
      <c r="O22" s="6"/>
      <c r="P22" s="125">
        <f t="shared" ref="P22:U22" ca="1" si="2">E22</f>
        <v>13.625</v>
      </c>
      <c r="Q22" s="124">
        <f t="shared" ca="1" si="2"/>
        <v>27.258076923077002</v>
      </c>
      <c r="R22" s="125">
        <f t="shared" ca="1" si="2"/>
        <v>12.5</v>
      </c>
      <c r="S22" s="124">
        <f t="shared" ca="1" si="2"/>
        <v>28.594615384615466</v>
      </c>
      <c r="T22" s="125">
        <f t="shared" ca="1" si="2"/>
        <v>12.5</v>
      </c>
      <c r="U22" s="124">
        <f t="shared" ca="1" si="2"/>
        <v>29.556153846153926</v>
      </c>
    </row>
    <row r="23" spans="1:21" ht="16.5" customHeight="1" thickBot="1" x14ac:dyDescent="0.3">
      <c r="A23" s="8" t="s">
        <v>113</v>
      </c>
      <c r="B23" s="110"/>
      <c r="C23" s="9"/>
      <c r="D23" s="9"/>
      <c r="E23" s="126">
        <f t="shared" ref="E23:J23" ca="1" si="3">E22-E21</f>
        <v>-28.402922089041098</v>
      </c>
      <c r="F23" s="127">
        <f t="shared" ca="1" si="3"/>
        <v>-15.685079028940567</v>
      </c>
      <c r="G23" s="126">
        <f t="shared" ca="1" si="3"/>
        <v>-166.23073544520545</v>
      </c>
      <c r="H23" s="127">
        <f t="shared" ca="1" si="3"/>
        <v>-14.143118794769585</v>
      </c>
      <c r="I23" s="126">
        <f t="shared" ca="1" si="3"/>
        <v>-166.23073544520545</v>
      </c>
      <c r="J23" s="127">
        <f t="shared" ca="1" si="3"/>
        <v>-13.181580333231125</v>
      </c>
      <c r="L23" s="8" t="s">
        <v>113</v>
      </c>
      <c r="M23" s="110"/>
      <c r="N23" s="9"/>
      <c r="O23" s="9"/>
      <c r="P23" s="126">
        <f t="shared" ref="P23:U23" ca="1" si="4">P22-P21</f>
        <v>-38.167207803326797</v>
      </c>
      <c r="Q23" s="127">
        <f t="shared" ca="1" si="4"/>
        <v>-25.449364743226266</v>
      </c>
      <c r="R23" s="126">
        <f t="shared" ca="1" si="4"/>
        <v>-175.99502115949119</v>
      </c>
      <c r="S23" s="127">
        <f t="shared" ca="1" si="4"/>
        <v>-23.907404509055283</v>
      </c>
      <c r="T23" s="126">
        <f t="shared" ca="1" si="4"/>
        <v>-175.99502115949119</v>
      </c>
      <c r="U23" s="127">
        <f t="shared" ca="1" si="4"/>
        <v>-22.945866047516823</v>
      </c>
    </row>
    <row r="24" spans="1:21" x14ac:dyDescent="0.25">
      <c r="A24" s="5" t="s">
        <v>84</v>
      </c>
      <c r="B24" s="107"/>
      <c r="C24" s="6"/>
      <c r="D24" s="6"/>
      <c r="E24" s="128">
        <f ca="1">'Loading Arrival'!B35</f>
        <v>45953</v>
      </c>
      <c r="F24" s="129">
        <f ca="1">'Loading Arrival'!B17</f>
        <v>45956</v>
      </c>
      <c r="G24" s="128">
        <f ca="1">'Loading Arrival'!C17</f>
        <v>45970</v>
      </c>
      <c r="H24" s="129">
        <f ca="1">'Loading Arrival'!C17</f>
        <v>45970</v>
      </c>
      <c r="I24" s="128">
        <f ca="1">'Loading Arrival'!D17</f>
        <v>45984</v>
      </c>
      <c r="J24" s="129">
        <f ca="1">'Loading Arrival'!D17</f>
        <v>45984</v>
      </c>
      <c r="L24" s="5" t="s">
        <v>84</v>
      </c>
      <c r="M24" s="107"/>
      <c r="N24" s="6"/>
      <c r="O24" s="6"/>
      <c r="P24" s="128">
        <f t="shared" ref="P24:U24" ca="1" si="5">E24</f>
        <v>45953</v>
      </c>
      <c r="Q24" s="129">
        <f t="shared" ca="1" si="5"/>
        <v>45956</v>
      </c>
      <c r="R24" s="128">
        <f t="shared" ca="1" si="5"/>
        <v>45970</v>
      </c>
      <c r="S24" s="129">
        <f t="shared" ca="1" si="5"/>
        <v>45970</v>
      </c>
      <c r="T24" s="128">
        <f t="shared" ca="1" si="5"/>
        <v>45984</v>
      </c>
      <c r="U24" s="129">
        <f t="shared" ca="1" si="5"/>
        <v>45984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Arrival'!B35</f>
        <v>45953</v>
      </c>
      <c r="F25" s="611"/>
      <c r="G25" s="612">
        <f ca="1">'Loading Arrival'!C35</f>
        <v>45967</v>
      </c>
      <c r="H25" s="613"/>
      <c r="I25" s="614">
        <f ca="1">'Loading Arrival'!D35</f>
        <v>45981</v>
      </c>
      <c r="J25" s="611"/>
      <c r="L25" s="7" t="s">
        <v>99</v>
      </c>
      <c r="M25" s="108"/>
      <c r="N25" s="105"/>
      <c r="O25" s="105"/>
      <c r="P25" s="610">
        <f ca="1">E25</f>
        <v>45953</v>
      </c>
      <c r="Q25" s="611"/>
      <c r="R25" s="612">
        <f ca="1">G25</f>
        <v>45967</v>
      </c>
      <c r="S25" s="613"/>
      <c r="T25" s="614">
        <f ca="1">I25</f>
        <v>45981</v>
      </c>
      <c r="U25" s="611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tabColor theme="8" tint="0.39997558519241921"/>
  </sheetPr>
  <dimension ref="A3:U25"/>
  <sheetViews>
    <sheetView workbookViewId="0">
      <selection activeCell="P4" sqref="P4:Q4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73</v>
      </c>
      <c r="B4" s="607"/>
      <c r="C4" s="607"/>
      <c r="D4" s="607"/>
      <c r="E4" s="608">
        <f ca="1">'Loading Arrival'!B11</f>
        <v>45918</v>
      </c>
      <c r="F4" s="609"/>
      <c r="G4" s="617">
        <f ca="1">'Loading Arrival'!C11</f>
        <v>45932</v>
      </c>
      <c r="H4" s="609"/>
      <c r="I4" s="617">
        <f ca="1">'Loading Arrival'!D11</f>
        <v>45946</v>
      </c>
      <c r="J4" s="609"/>
      <c r="L4" s="606" t="s">
        <v>72</v>
      </c>
      <c r="M4" s="607"/>
      <c r="N4" s="607"/>
      <c r="O4" s="607"/>
      <c r="P4" s="608">
        <f ca="1">E4</f>
        <v>45918</v>
      </c>
      <c r="Q4" s="609"/>
      <c r="R4" s="617">
        <f ca="1">G4</f>
        <v>45932</v>
      </c>
      <c r="S4" s="609"/>
      <c r="T4" s="617">
        <f ca="1">I4</f>
        <v>45946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VLOOKUP(A4,Freight!$A$2:$G$11,2,0)</f>
        <v>4800000</v>
      </c>
      <c r="C6" s="6"/>
      <c r="D6" s="6"/>
      <c r="E6" s="120">
        <f>B6/B$7</f>
        <v>32</v>
      </c>
      <c r="F6" s="121">
        <f>B6/B$7</f>
        <v>32</v>
      </c>
      <c r="G6" s="120">
        <f>B6/B$7</f>
        <v>32</v>
      </c>
      <c r="H6" s="121">
        <f>B6/B$7</f>
        <v>32</v>
      </c>
      <c r="I6" s="120">
        <f>B6/B$7</f>
        <v>32</v>
      </c>
      <c r="J6" s="121">
        <f>B6/B$7</f>
        <v>32</v>
      </c>
      <c r="L6" s="5" t="s">
        <v>53</v>
      </c>
      <c r="M6" s="106">
        <f>VLOOKUP(L4,Freight!$A$2:$G$11,2,0)</f>
        <v>4300000</v>
      </c>
      <c r="N6" s="6"/>
      <c r="O6" s="6"/>
      <c r="P6" s="120">
        <f>M6/M$7</f>
        <v>43</v>
      </c>
      <c r="Q6" s="121">
        <f>M6/M$7</f>
        <v>43</v>
      </c>
      <c r="R6" s="120">
        <f>M6/M$7</f>
        <v>43</v>
      </c>
      <c r="S6" s="121">
        <f>M6/M$7</f>
        <v>43</v>
      </c>
      <c r="T6" s="120">
        <f>M6/M$7</f>
        <v>43</v>
      </c>
      <c r="U6" s="121">
        <f>M6/M$7</f>
        <v>43</v>
      </c>
    </row>
    <row r="7" spans="1:21" x14ac:dyDescent="0.25">
      <c r="A7" s="5" t="s">
        <v>54</v>
      </c>
      <c r="B7" s="106">
        <v>150000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100000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402500</v>
      </c>
      <c r="C8" s="7">
        <f>VLOOKUP(A$4,Freight!$A$2:$G$11,5,0)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55</v>
      </c>
      <c r="M8" s="106">
        <f>N8*O8</f>
        <v>212500</v>
      </c>
      <c r="N8" s="7">
        <f>VLOOKUP(L$4,Freight!$A$2:$G$11,5,0)</f>
        <v>42500</v>
      </c>
      <c r="O8" s="105">
        <v>5</v>
      </c>
      <c r="P8" s="120">
        <f>M$8/M$7</f>
        <v>2.125</v>
      </c>
      <c r="Q8" s="121">
        <f>M$8/M$7</f>
        <v>2.125</v>
      </c>
      <c r="R8" s="120">
        <f>M8/M$7</f>
        <v>2.125</v>
      </c>
      <c r="S8" s="121">
        <f>M8/M$7</f>
        <v>2.125</v>
      </c>
      <c r="T8" s="120">
        <f>M8/M$7</f>
        <v>2.125</v>
      </c>
      <c r="U8" s="121">
        <f>M8/M$7</f>
        <v>2.125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56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124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81</v>
      </c>
      <c r="B12" s="109">
        <f ca="1">(D12*((C12)/365)*VLOOKUP(EOMONTH(E4,-1)+1,Tullet!$A$4:$S$25,2,0))*B7</f>
        <v>506866.43835616438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(O12*((N12)/365)*VLOOKUP(EOMONTH(P4,-1)+1,Tullet!$A$4:$S$25,2,0))*M7</f>
        <v>337910.9589041096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B7*VLOOKUP(EOMONTH(E4,-1)+1,Tullet!$A$4:$S$25,2,0)*0.1%</f>
        <v>56062.5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M7*VLOOKUP(EOMONTH(P4,-1)+1,Tullet!$A$4:$S$25,2,0)*0.1%</f>
        <v>37375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C15*$B$7*VLOOKUP(EOMONTH(E24,-1)+1,Tullet!$E$50:$I$83,4,0)</f>
        <v>175275</v>
      </c>
      <c r="C15" s="104">
        <v>3.0000000000000001E-3</v>
      </c>
      <c r="D15" s="105" t="s">
        <v>83</v>
      </c>
      <c r="E15" s="120">
        <f ca="1">$C$15*VLOOKUP(EOMONTH(E24,-1)+1,Tullet!$E$50:$I$83,4,0)</f>
        <v>1.1685000000000001</v>
      </c>
      <c r="F15" s="120">
        <f ca="1">$C$15*VLOOKUP(EOMONTH(F24,-1)+1,Tullet!$E$50:$I$83,4,0)</f>
        <v>1.1685000000000001</v>
      </c>
      <c r="G15" s="120">
        <f ca="1">$C$15*VLOOKUP(EOMONTH(G24,-1)+1,Tullet!$E$50:$I$83,4,0)</f>
        <v>1.15425</v>
      </c>
      <c r="H15" s="120">
        <f ca="1">$C$15*VLOOKUP(EOMONTH(H24,-1)+1,Tullet!$E$50:$I$83,4,0)</f>
        <v>1.15425</v>
      </c>
      <c r="I15" s="120">
        <f ca="1">$C$15*VLOOKUP(EOMONTH(I24,-1)+1,Tullet!$E$53:$I$83,4,0)</f>
        <v>1.15425</v>
      </c>
      <c r="J15" s="120">
        <f ca="1">$C$15*VLOOKUP(EOMONTH(J24,-1)+1,Tullet!$E$53:$I$83,4,0)</f>
        <v>1.15425</v>
      </c>
      <c r="L15" s="5" t="s">
        <v>59</v>
      </c>
      <c r="M15" s="106">
        <f ca="1">N15*$B$7*VLOOKUP(EOMONTH(P24,-1)+1,Tullet!$E$50:$I$83,4,0)</f>
        <v>175275</v>
      </c>
      <c r="N15" s="104">
        <v>3.0000000000000001E-3</v>
      </c>
      <c r="O15" s="105" t="s">
        <v>83</v>
      </c>
      <c r="P15" s="120">
        <f ca="1">$N$15*VLOOKUP(EOMONTH(P24,-1)+1,Tullet!$E$50:$I$83,4,0)</f>
        <v>1.1685000000000001</v>
      </c>
      <c r="Q15" s="120">
        <f ca="1">$N$15*VLOOKUP(EOMONTH(Q24,-1)+1,Tullet!$E$50:$I$83,4,0)</f>
        <v>1.1685000000000001</v>
      </c>
      <c r="R15" s="120">
        <f ca="1">$N$15*VLOOKUP(EOMONTH(R24,-1)+1,Tullet!$E$50:$I$83,4,0)</f>
        <v>1.15425</v>
      </c>
      <c r="S15" s="120">
        <f ca="1">$N$15*VLOOKUP(EOMONTH(S24,-1)+1,Tullet!$E$50:$I$83,4,0)</f>
        <v>1.15425</v>
      </c>
      <c r="T15" s="120">
        <f ca="1">$N$15*VLOOKUP(EOMONTH(T24,-1)+1,Tullet!$E$53:$I$83,4,0)</f>
        <v>1.15425</v>
      </c>
      <c r="U15" s="120">
        <f ca="1">$N$15*VLOOKUP(EOMONTH(U24,-1)+1,Tullet!$E$53:$I$83,4,0)</f>
        <v>1.15425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60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61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62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63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64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100</v>
      </c>
      <c r="B21" s="134">
        <f ca="1">SUM(B6:B20)</f>
        <v>6195703.9383561648</v>
      </c>
      <c r="C21" s="9"/>
      <c r="D21" s="9"/>
      <c r="E21" s="126">
        <f t="shared" ref="E21:J21" ca="1" si="0">SUM(E6:E20)</f>
        <v>40.211255422374428</v>
      </c>
      <c r="F21" s="127">
        <f t="shared" ca="1" si="0"/>
        <v>40.889534122307431</v>
      </c>
      <c r="G21" s="126">
        <f t="shared" ca="1" si="0"/>
        <v>40.182318778538807</v>
      </c>
      <c r="H21" s="127">
        <f t="shared" ca="1" si="0"/>
        <v>40.838567512718377</v>
      </c>
      <c r="I21" s="126">
        <f t="shared" ca="1" si="0"/>
        <v>40.182318778538807</v>
      </c>
      <c r="J21" s="127">
        <f t="shared" ca="1" si="0"/>
        <v>40.838567512718377</v>
      </c>
      <c r="L21" s="8" t="s">
        <v>100</v>
      </c>
      <c r="M21" s="134">
        <f ca="1">SUM(M6:M20)</f>
        <v>5261560.9589041099</v>
      </c>
      <c r="N21" s="9"/>
      <c r="O21" s="9"/>
      <c r="P21" s="126">
        <f t="shared" ref="P21:U21" ca="1" si="1">SUM(P6:P20)</f>
        <v>50.937922089041102</v>
      </c>
      <c r="Q21" s="127">
        <f t="shared" ca="1" si="1"/>
        <v>51.616200788974098</v>
      </c>
      <c r="R21" s="126">
        <f t="shared" ca="1" si="1"/>
        <v>50.908985445205481</v>
      </c>
      <c r="S21" s="127">
        <f t="shared" ca="1" si="1"/>
        <v>51.565234179385051</v>
      </c>
      <c r="T21" s="126">
        <f t="shared" ca="1" si="1"/>
        <v>50.908985445205481</v>
      </c>
      <c r="U21" s="127">
        <f t="shared" ca="1" si="1"/>
        <v>51.565234179385051</v>
      </c>
    </row>
    <row r="22" spans="1:21" ht="16.5" customHeight="1" thickBot="1" x14ac:dyDescent="0.3">
      <c r="A22" s="5" t="s">
        <v>101</v>
      </c>
      <c r="B22" s="106"/>
      <c r="C22" s="6"/>
      <c r="D22" s="6"/>
      <c r="E22" s="125">
        <f ca="1">'ROLLS HS'!L24</f>
        <v>14.589285714285714</v>
      </c>
      <c r="F22" s="124">
        <f ca="1">'ROLLS LS'!K24</f>
        <v>26.442142857142951</v>
      </c>
      <c r="G22" s="125">
        <f ca="1">'ROLLS HS'!L27</f>
        <v>12.5</v>
      </c>
      <c r="H22" s="124">
        <f ca="1">'ROLLS LS'!K27</f>
        <v>28.210000000000093</v>
      </c>
      <c r="I22" s="125">
        <f ca="1">'ROLLS HS'!L30</f>
        <v>12.5</v>
      </c>
      <c r="J22" s="124">
        <f ca="1">'ROLLS LS'!K30</f>
        <v>28.567142857142951</v>
      </c>
      <c r="L22" s="5" t="s">
        <v>101</v>
      </c>
      <c r="M22" s="106"/>
      <c r="N22" s="6"/>
      <c r="O22" s="6"/>
      <c r="P22" s="125">
        <f t="shared" ref="P22:U22" ca="1" si="2">E22</f>
        <v>14.589285714285714</v>
      </c>
      <c r="Q22" s="124">
        <f t="shared" ca="1" si="2"/>
        <v>26.442142857142951</v>
      </c>
      <c r="R22" s="125">
        <f t="shared" ca="1" si="2"/>
        <v>12.5</v>
      </c>
      <c r="S22" s="124">
        <f t="shared" ca="1" si="2"/>
        <v>28.210000000000093</v>
      </c>
      <c r="T22" s="125">
        <f t="shared" ca="1" si="2"/>
        <v>12.5</v>
      </c>
      <c r="U22" s="124">
        <f t="shared" ca="1" si="2"/>
        <v>28.567142857142951</v>
      </c>
    </row>
    <row r="23" spans="1:21" ht="16.5" customHeight="1" thickBot="1" x14ac:dyDescent="0.3">
      <c r="A23" s="8" t="s">
        <v>113</v>
      </c>
      <c r="B23" s="110"/>
      <c r="C23" s="9"/>
      <c r="D23" s="9"/>
      <c r="E23" s="126">
        <f t="shared" ref="E23:J23" ca="1" si="3">E22-E21</f>
        <v>-25.621969708088713</v>
      </c>
      <c r="F23" s="127">
        <f t="shared" ca="1" si="3"/>
        <v>-14.44739126516448</v>
      </c>
      <c r="G23" s="126">
        <f t="shared" ca="1" si="3"/>
        <v>-27.682318778538807</v>
      </c>
      <c r="H23" s="127">
        <f t="shared" ca="1" si="3"/>
        <v>-12.628567512718284</v>
      </c>
      <c r="I23" s="126">
        <f t="shared" ca="1" si="3"/>
        <v>-27.682318778538807</v>
      </c>
      <c r="J23" s="127">
        <f t="shared" ca="1" si="3"/>
        <v>-12.271424655575426</v>
      </c>
      <c r="L23" s="8" t="s">
        <v>113</v>
      </c>
      <c r="M23" s="110"/>
      <c r="N23" s="9"/>
      <c r="O23" s="9"/>
      <c r="P23" s="126">
        <f t="shared" ref="P23:U23" ca="1" si="4">P22-P21</f>
        <v>-36.348636374755387</v>
      </c>
      <c r="Q23" s="127">
        <f t="shared" ca="1" si="4"/>
        <v>-25.174057931831147</v>
      </c>
      <c r="R23" s="126">
        <f t="shared" ca="1" si="4"/>
        <v>-38.408985445205481</v>
      </c>
      <c r="S23" s="127">
        <f t="shared" ca="1" si="4"/>
        <v>-23.355234179384958</v>
      </c>
      <c r="T23" s="126">
        <f t="shared" ca="1" si="4"/>
        <v>-38.408985445205481</v>
      </c>
      <c r="U23" s="127">
        <f t="shared" ca="1" si="4"/>
        <v>-22.9980913222421</v>
      </c>
    </row>
    <row r="24" spans="1:21" x14ac:dyDescent="0.25">
      <c r="A24" s="5" t="s">
        <v>84</v>
      </c>
      <c r="B24" s="107"/>
      <c r="C24" s="6"/>
      <c r="D24" s="6"/>
      <c r="E24" s="128">
        <f ca="1">'Loading Arrival'!B17</f>
        <v>45956</v>
      </c>
      <c r="F24" s="129">
        <f ca="1">'Loading Arrival'!B17</f>
        <v>45956</v>
      </c>
      <c r="G24" s="128">
        <f ca="1">'Loading Arrival'!C17</f>
        <v>45970</v>
      </c>
      <c r="H24" s="129">
        <f ca="1">'Loading Arrival'!C17</f>
        <v>45970</v>
      </c>
      <c r="I24" s="128">
        <f ca="1">'Loading Arrival'!D17</f>
        <v>45984</v>
      </c>
      <c r="J24" s="129">
        <f ca="1">'Loading Arrival'!D17</f>
        <v>45984</v>
      </c>
      <c r="L24" s="5" t="s">
        <v>84</v>
      </c>
      <c r="M24" s="107"/>
      <c r="N24" s="6"/>
      <c r="O24" s="6"/>
      <c r="P24" s="128">
        <f t="shared" ref="P24:U24" ca="1" si="5">E24</f>
        <v>45956</v>
      </c>
      <c r="Q24" s="129">
        <f t="shared" ca="1" si="5"/>
        <v>45956</v>
      </c>
      <c r="R24" s="128">
        <f t="shared" ca="1" si="5"/>
        <v>45970</v>
      </c>
      <c r="S24" s="129">
        <f t="shared" ca="1" si="5"/>
        <v>45970</v>
      </c>
      <c r="T24" s="128">
        <f t="shared" ca="1" si="5"/>
        <v>45984</v>
      </c>
      <c r="U24" s="129">
        <f t="shared" ca="1" si="5"/>
        <v>45984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Arrival'!B26</f>
        <v>45937</v>
      </c>
      <c r="F25" s="611"/>
      <c r="G25" s="610">
        <f ca="1">'Loading Arrival'!C26</f>
        <v>45951</v>
      </c>
      <c r="H25" s="611"/>
      <c r="I25" s="610">
        <f ca="1">'Loading Arrival'!D26</f>
        <v>45965</v>
      </c>
      <c r="J25" s="611"/>
      <c r="L25" s="7" t="s">
        <v>99</v>
      </c>
      <c r="M25" s="108"/>
      <c r="N25" s="105"/>
      <c r="O25" s="105"/>
      <c r="P25" s="610">
        <f ca="1">E25</f>
        <v>45937</v>
      </c>
      <c r="Q25" s="611"/>
      <c r="R25" s="612">
        <f ca="1">G25</f>
        <v>45951</v>
      </c>
      <c r="S25" s="613"/>
      <c r="T25" s="614">
        <f ca="1">I25</f>
        <v>45965</v>
      </c>
      <c r="U25" s="611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>
    <tabColor theme="8" tint="0.39997558519241921"/>
  </sheetPr>
  <dimension ref="A3:U25"/>
  <sheetViews>
    <sheetView workbookViewId="0">
      <selection activeCell="Y22" sqref="Y2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615" t="s">
        <v>45</v>
      </c>
      <c r="F3" s="616"/>
      <c r="G3" s="615" t="s">
        <v>46</v>
      </c>
      <c r="H3" s="616"/>
      <c r="I3" s="615" t="s">
        <v>47</v>
      </c>
      <c r="J3" s="616"/>
      <c r="P3" s="615" t="s">
        <v>45</v>
      </c>
      <c r="Q3" s="616"/>
      <c r="R3" s="615" t="s">
        <v>46</v>
      </c>
      <c r="S3" s="616"/>
      <c r="T3" s="615" t="s">
        <v>47</v>
      </c>
      <c r="U3" s="616"/>
    </row>
    <row r="4" spans="1:21" x14ac:dyDescent="0.25">
      <c r="A4" s="606" t="s">
        <v>71</v>
      </c>
      <c r="B4" s="607"/>
      <c r="C4" s="607"/>
      <c r="D4" s="607"/>
      <c r="E4" s="608">
        <f ca="1">'Loading Arrival'!B11</f>
        <v>45918</v>
      </c>
      <c r="F4" s="609"/>
      <c r="G4" s="617">
        <f ca="1">'Loading Arrival'!C11</f>
        <v>45932</v>
      </c>
      <c r="H4" s="609"/>
      <c r="I4" s="617">
        <f ca="1">'Loading Arrival'!D11</f>
        <v>45946</v>
      </c>
      <c r="J4" s="609"/>
      <c r="L4" s="606" t="s">
        <v>74</v>
      </c>
      <c r="M4" s="607"/>
      <c r="N4" s="607"/>
      <c r="O4" s="607"/>
      <c r="P4" s="608">
        <f ca="1">E4</f>
        <v>45918</v>
      </c>
      <c r="Q4" s="609"/>
      <c r="R4" s="617">
        <f ca="1">G4</f>
        <v>45932</v>
      </c>
      <c r="S4" s="609"/>
      <c r="T4" s="617">
        <f ca="1">I4</f>
        <v>45946</v>
      </c>
      <c r="U4" s="609"/>
    </row>
    <row r="5" spans="1:21" x14ac:dyDescent="0.25">
      <c r="A5" s="131"/>
      <c r="B5" s="130"/>
      <c r="C5" s="10"/>
      <c r="D5" s="10"/>
      <c r="E5" s="132" t="s">
        <v>85</v>
      </c>
      <c r="F5" s="133" t="s">
        <v>86</v>
      </c>
      <c r="G5" s="132" t="s">
        <v>85</v>
      </c>
      <c r="H5" s="133" t="s">
        <v>86</v>
      </c>
      <c r="I5" s="132" t="s">
        <v>85</v>
      </c>
      <c r="J5" s="133" t="s">
        <v>86</v>
      </c>
      <c r="L5" s="131"/>
      <c r="M5" s="130"/>
      <c r="N5" s="10"/>
      <c r="O5" s="10"/>
      <c r="P5" s="132" t="s">
        <v>85</v>
      </c>
      <c r="Q5" s="133" t="s">
        <v>86</v>
      </c>
      <c r="R5" s="132" t="s">
        <v>85</v>
      </c>
      <c r="S5" s="133" t="s">
        <v>86</v>
      </c>
      <c r="T5" s="132" t="s">
        <v>85</v>
      </c>
      <c r="U5" s="133" t="s">
        <v>86</v>
      </c>
    </row>
    <row r="6" spans="1:21" ht="15.75" thickBot="1" x14ac:dyDescent="0.3">
      <c r="A6" s="5" t="s">
        <v>53</v>
      </c>
      <c r="B6" s="106">
        <f>VLOOKUP(A4,Freight!$A$2:$G$11,2,0)</f>
        <v>4600000</v>
      </c>
      <c r="C6" s="6"/>
      <c r="D6" s="6"/>
      <c r="E6" s="120">
        <f>B6/B$7</f>
        <v>31.724137931034484</v>
      </c>
      <c r="F6" s="121">
        <f>B6/B$7</f>
        <v>31.724137931034484</v>
      </c>
      <c r="G6" s="120">
        <f>B6/B$7</f>
        <v>31.724137931034484</v>
      </c>
      <c r="H6" s="121">
        <f>B6/B$7</f>
        <v>31.724137931034484</v>
      </c>
      <c r="I6" s="120">
        <f>B6/B$7</f>
        <v>31.724137931034484</v>
      </c>
      <c r="J6" s="121">
        <f>B6/B$7</f>
        <v>31.724137931034484</v>
      </c>
      <c r="L6" s="5" t="s">
        <v>53</v>
      </c>
      <c r="M6" s="106">
        <f>VLOOKUP(L4,Freight!$A$2:$G$11,2,0)</f>
        <v>4200000</v>
      </c>
      <c r="N6" s="6"/>
      <c r="O6" s="6"/>
      <c r="P6" s="120">
        <f>M6/M$7</f>
        <v>42</v>
      </c>
      <c r="Q6" s="121">
        <f>M6/M$7</f>
        <v>42</v>
      </c>
      <c r="R6" s="120">
        <f>M6/M$7</f>
        <v>42</v>
      </c>
      <c r="S6" s="121">
        <f>M6/M$7</f>
        <v>42</v>
      </c>
      <c r="T6" s="120">
        <f>M6/M$7</f>
        <v>42</v>
      </c>
      <c r="U6" s="121">
        <f>M6/M$7</f>
        <v>42</v>
      </c>
    </row>
    <row r="7" spans="1:21" x14ac:dyDescent="0.25">
      <c r="A7" s="5" t="s">
        <v>54</v>
      </c>
      <c r="B7" s="106">
        <v>145000</v>
      </c>
      <c r="C7" s="3" t="s">
        <v>79</v>
      </c>
      <c r="D7" s="4" t="s">
        <v>80</v>
      </c>
      <c r="E7" s="122"/>
      <c r="F7" s="123"/>
      <c r="G7" s="122"/>
      <c r="H7" s="123"/>
      <c r="I7" s="122"/>
      <c r="J7" s="123"/>
      <c r="L7" s="5" t="s">
        <v>54</v>
      </c>
      <c r="M7" s="106">
        <v>100000</v>
      </c>
      <c r="N7" s="3" t="s">
        <v>79</v>
      </c>
      <c r="O7" s="4" t="s">
        <v>80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55</v>
      </c>
      <c r="B8" s="106">
        <f>C8*D8</f>
        <v>399000</v>
      </c>
      <c r="C8" s="7">
        <f>VLOOKUP(A$4,Freight!$A$2:$G$11,5,0)</f>
        <v>57000</v>
      </c>
      <c r="D8" s="105">
        <v>7</v>
      </c>
      <c r="E8" s="120">
        <f>B$8/B$7</f>
        <v>2.7517241379310344</v>
      </c>
      <c r="F8" s="121">
        <f>B$8/B$7</f>
        <v>2.7517241379310344</v>
      </c>
      <c r="G8" s="120">
        <f>B8/B$7</f>
        <v>2.7517241379310344</v>
      </c>
      <c r="H8" s="121">
        <f>B8/B$7</f>
        <v>2.7517241379310344</v>
      </c>
      <c r="I8" s="120">
        <f>B8/B$7</f>
        <v>2.7517241379310344</v>
      </c>
      <c r="J8" s="121">
        <f>B8/B$7</f>
        <v>2.7517241379310344</v>
      </c>
      <c r="L8" s="5" t="s">
        <v>55</v>
      </c>
      <c r="M8" s="106">
        <f>N8*O8</f>
        <v>425000</v>
      </c>
      <c r="N8" s="7">
        <f>VLOOKUP(L$4,Freight!$A$2:$G$11,5,0)</f>
        <v>42500</v>
      </c>
      <c r="O8" s="105">
        <v>10</v>
      </c>
      <c r="P8" s="120">
        <f>M$8/M$7</f>
        <v>4.25</v>
      </c>
      <c r="Q8" s="121">
        <f>M$8/M$7</f>
        <v>4.25</v>
      </c>
      <c r="R8" s="120">
        <f>M8/M$7</f>
        <v>4.25</v>
      </c>
      <c r="S8" s="121">
        <f>M8/M$7</f>
        <v>4.25</v>
      </c>
      <c r="T8" s="120">
        <f>M8/M$7</f>
        <v>4.25</v>
      </c>
      <c r="U8" s="121">
        <f>M8/M$7</f>
        <v>4.25</v>
      </c>
    </row>
    <row r="9" spans="1:21" x14ac:dyDescent="0.25">
      <c r="A9" s="5" t="s">
        <v>56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56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124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124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125</v>
      </c>
      <c r="B11" s="106">
        <v>25000</v>
      </c>
      <c r="C11" s="3" t="s">
        <v>79</v>
      </c>
      <c r="D11" s="4" t="s">
        <v>80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125</v>
      </c>
      <c r="M11" s="106">
        <v>25000</v>
      </c>
      <c r="N11" s="3" t="s">
        <v>79</v>
      </c>
      <c r="O11" s="4" t="s">
        <v>80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81</v>
      </c>
      <c r="B12" s="106">
        <f ca="1">(D12*((C12)/365)*VLOOKUP(EOMONTH(E4,-1)+1,Tullet!$A$4:$S$27,2,0))*B7</f>
        <v>489970.89041095891</v>
      </c>
      <c r="C12" s="103">
        <v>5.5E-2</v>
      </c>
      <c r="D12" s="105">
        <v>60</v>
      </c>
      <c r="E12" s="120">
        <f ca="1">(D12*((C12)/365)*VLOOKUP(EOMONTH(E4,-1)+1,Tullet!$A$4:$S$27,2,0))</f>
        <v>3.379109589041096</v>
      </c>
      <c r="F12" s="124">
        <f ca="1">(D12*((C12)/365)*VLOOKUP(EOMONTH(E4,-1)+1,Tullet!$N$4:$S$27,3,0))</f>
        <v>4.005431998213222</v>
      </c>
      <c r="G12" s="120">
        <f ca="1">(D$12*((C$12)/365)*VLOOKUP(EOMONTH(G4,-1)+1,Tullet!$A$4:$S$27,2,0))</f>
        <v>3.3655479452054795</v>
      </c>
      <c r="H12" s="124">
        <f ca="1">(D$12*((C$12)/365)*VLOOKUP(EOMONTH(G4,-1)+1,Tullet!$N$4:$S$27,3,0))</f>
        <v>3.9715278886241805</v>
      </c>
      <c r="I12" s="120">
        <f ca="1">(D$12*((C$12)/365)*VLOOKUP(EOMONTH(I4,-1)+1,Tullet!$A$4:$S$27,2,0))</f>
        <v>3.3655479452054795</v>
      </c>
      <c r="J12" s="124">
        <f ca="1">(D$12*((C$12)/365)*VLOOKUP(EOMONTH(I4,-1)+1,Tullet!$N$4:$S$27,3,0))</f>
        <v>3.9715278886241805</v>
      </c>
      <c r="L12" s="5" t="s">
        <v>81</v>
      </c>
      <c r="M12" s="109">
        <f ca="1">(O12*((N12)/365)*VLOOKUP(EOMONTH(P4,-1)+1,Tullet!$A$4:$S$27,2,0))*M7</f>
        <v>337910.9589041096</v>
      </c>
      <c r="N12" s="103">
        <v>5.5E-2</v>
      </c>
      <c r="O12" s="105">
        <v>60</v>
      </c>
      <c r="P12" s="120">
        <f ca="1">(O12*((N12)/365)*VLOOKUP(EOMONTH(P4,-1)+1,Tullet!$A$4:$S$27,2,0))</f>
        <v>3.379109589041096</v>
      </c>
      <c r="Q12" s="124">
        <f ca="1">(O12*((N12)/365)*VLOOKUP(EOMONTH(P4,-1)+1,Tullet!$N$4:$S$27,3,0))</f>
        <v>4.005431998213222</v>
      </c>
      <c r="R12" s="120">
        <f ca="1">(O$12*((N$12)/365)*VLOOKUP(EOMONTH(R4,-1)+1,Tullet!$A$4:$S$27,2,0))</f>
        <v>3.3655479452054795</v>
      </c>
      <c r="S12" s="124">
        <f ca="1">(O$12*((N$12)/365)*VLOOKUP(EOMONTH(R4,-1)+1,Tullet!$N$4:$S$27,3,0))</f>
        <v>3.9715278886241805</v>
      </c>
      <c r="T12" s="120">
        <f ca="1">(O$12*((N$12)/365)*VLOOKUP(EOMONTH(T4,-1)+1,Tullet!$A$4:$S$27,2,0))</f>
        <v>3.3655479452054795</v>
      </c>
      <c r="U12" s="124">
        <f ca="1">(O$12*((N$12)/365)*VLOOKUP(EOMONTH(T4,-1)+1,Tullet!$N$4:$S$27,3,0))</f>
        <v>3.9715278886241805</v>
      </c>
    </row>
    <row r="13" spans="1:21" ht="15.75" thickBot="1" x14ac:dyDescent="0.3">
      <c r="A13" s="5" t="s">
        <v>57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57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58</v>
      </c>
      <c r="B14" s="106">
        <f ca="1">B7*VLOOKUP(EOMONTH(E4,-1)+1,Tullet!$A$4:$S$27,2,0)*0.1%</f>
        <v>54193.75</v>
      </c>
      <c r="C14" s="3" t="s">
        <v>79</v>
      </c>
      <c r="D14" s="4" t="s">
        <v>82</v>
      </c>
      <c r="E14" s="120">
        <f ca="1">VLOOKUP(EOMONTH(E4,-1)+1,Tullet!$A$4:$S$27,2,0)*0.00075</f>
        <v>0.28031250000000002</v>
      </c>
      <c r="F14" s="121">
        <f ca="1">VLOOKUP(EOMONTH(E4,-1)+1,Tullet!$N$3:$S$27,3,0)*0.00075</f>
        <v>0.33226879076086951</v>
      </c>
      <c r="G14" s="120">
        <f ca="1">VLOOKUP(EOMONTH(G4,-1)+1,Tullet!$A$4:$S$27,2,0)*0.00075</f>
        <v>0.27918750000000003</v>
      </c>
      <c r="H14" s="121">
        <f ca="1">VLOOKUP(EOMONTH(G4,-1)+1,Tullet!$N$3:$S$27,3,0)*0.00075</f>
        <v>0.32945629076086952</v>
      </c>
      <c r="I14" s="120">
        <f ca="1">VLOOKUP(EOMONTH(I4,-1)+1,Tullet!$A$4:$S$27,2,0)*0.00075</f>
        <v>0.27918750000000003</v>
      </c>
      <c r="J14" s="121">
        <f ca="1">VLOOKUP(EOMONTH(I4,-1)+1,Tullet!$N$3:$S$27,3,0)*0.00075</f>
        <v>0.32945629076086952</v>
      </c>
      <c r="L14" s="5" t="s">
        <v>58</v>
      </c>
      <c r="M14" s="106">
        <f ca="1">M7*VLOOKUP(EOMONTH(P4,-1)+1,Tullet!$A$4:$S$27,2,0)*0.1%</f>
        <v>37375</v>
      </c>
      <c r="N14" s="3" t="s">
        <v>79</v>
      </c>
      <c r="O14" s="4" t="s">
        <v>82</v>
      </c>
      <c r="P14" s="120">
        <f ca="1">VLOOKUP(EOMONTH(P4,-1)+1,Tullet!$A$4:$S$27,2,0)*0.00075</f>
        <v>0.28031250000000002</v>
      </c>
      <c r="Q14" s="121">
        <f ca="1">VLOOKUP(EOMONTH(P4,-1)+1,Tullet!$N$3:$S$27,3,0)*0.00075</f>
        <v>0.33226879076086951</v>
      </c>
      <c r="R14" s="120">
        <f ca="1">VLOOKUP(EOMONTH(R4,-1)+1,Tullet!$A$4:$S$27,2,0)*0.00075</f>
        <v>0.27918750000000003</v>
      </c>
      <c r="S14" s="121">
        <f ca="1">VLOOKUP(EOMONTH(R4,-1)+1,Tullet!$N$3:$S$27,3,0)*0.00075</f>
        <v>0.32945629076086952</v>
      </c>
      <c r="T14" s="120">
        <f ca="1">VLOOKUP(EOMONTH(T4,-1)+1,Tullet!$A$4:$S$27,2,0)*0.00075</f>
        <v>0.27918750000000003</v>
      </c>
      <c r="U14" s="121">
        <f ca="1">VLOOKUP(EOMONTH(T4,-1)+1,Tullet!$N$3:$S$27,3,0)*0.00075</f>
        <v>0.32945629076086952</v>
      </c>
    </row>
    <row r="15" spans="1:21" ht="15.75" thickBot="1" x14ac:dyDescent="0.3">
      <c r="A15" s="5" t="s">
        <v>59</v>
      </c>
      <c r="B15" s="106">
        <f ca="1">C15*$B$7*VLOOKUP(EOMONTH(E24,-1)+1,Tullet!$E$35:$I$63,4,0)</f>
        <v>169432.5</v>
      </c>
      <c r="C15" s="104">
        <v>3.0000000000000001E-3</v>
      </c>
      <c r="D15" s="105" t="s">
        <v>83</v>
      </c>
      <c r="E15" s="148">
        <f ca="1">C$15*VLOOKUP(EOMONTH(E24,-1)+1,Tullet!$E$35:$I$63,4,0)</f>
        <v>1.1685000000000001</v>
      </c>
      <c r="F15" s="149">
        <f ca="1">C$15*VLOOKUP(EOMONTH(F24,-1)+1,Tullet!$N$35:$S$63,3,0)</f>
        <v>1.4054551630434784</v>
      </c>
      <c r="G15" s="148">
        <f ca="1">C$15*VLOOKUP(EOMONTH(G24,-1)+1,Tullet!$E$35:$I$63,4,0)</f>
        <v>137.886</v>
      </c>
      <c r="H15" s="149">
        <f ca="1">C$15*VLOOKUP(EOMONTH(H24,-1)+1,Tullet!$N$35:$S$63,3,0)</f>
        <v>1.23675</v>
      </c>
      <c r="I15" s="148">
        <f ca="1">C$15*VLOOKUP(EOMONTH(I24,-1)+1,Tullet!$E$35:$I$63,4,0)</f>
        <v>137.886</v>
      </c>
      <c r="J15" s="149">
        <f ca="1">C$15*VLOOKUP(EOMONTH(J24,-1)+1,Tullet!$N$35:$S$63,3,0)</f>
        <v>1.23675</v>
      </c>
      <c r="L15" s="5" t="s">
        <v>59</v>
      </c>
      <c r="M15" s="106">
        <f ca="1">N15*$B$7*VLOOKUP(EOMONTH(P24,-1)+1,Tullet!$E$35:$I$63,4,0)</f>
        <v>169432.5</v>
      </c>
      <c r="N15" s="104">
        <v>3.0000000000000001E-3</v>
      </c>
      <c r="O15" s="105" t="s">
        <v>83</v>
      </c>
      <c r="P15" s="148">
        <f ca="1">N$15*VLOOKUP(EOMONTH(P24,-1)+1,Tullet!$E$35:$I$63,4,0)</f>
        <v>1.1685000000000001</v>
      </c>
      <c r="Q15" s="149">
        <f ca="1">N$15*VLOOKUP(EOMONTH(Q24,-1)+1,Tullet!$N$35:$S$63,3,0)</f>
        <v>1.4054551630434784</v>
      </c>
      <c r="R15" s="148">
        <f ca="1">N$15*VLOOKUP(EOMONTH(R24,-1)+1,Tullet!$E$35:$I$63,4,0)</f>
        <v>137.886</v>
      </c>
      <c r="S15" s="149">
        <f ca="1">N$15*VLOOKUP(EOMONTH(S24,-1)+1,Tullet!$N$35:$S$63,3,0)</f>
        <v>1.23675</v>
      </c>
      <c r="T15" s="148">
        <f ca="1">N$15*VLOOKUP(EOMONTH(T24,-1)+1,Tullet!$E$35:$I$63,4,0)</f>
        <v>137.886</v>
      </c>
      <c r="U15" s="149">
        <f ca="1">N$15*VLOOKUP(EOMONTH(U24,-1)+1,Tullet!$N$35:$S$63,3,0)</f>
        <v>1.23675</v>
      </c>
    </row>
    <row r="16" spans="1:21" x14ac:dyDescent="0.25">
      <c r="A16" s="5" t="s">
        <v>60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60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61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61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62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62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63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63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64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64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100</v>
      </c>
      <c r="B21" s="134">
        <f ca="1">SUM(B6:B20)</f>
        <v>5962597.1404109588</v>
      </c>
      <c r="C21" s="9"/>
      <c r="D21" s="9"/>
      <c r="E21" s="126">
        <f t="shared" ref="E21:J21" ca="1" si="0">SUM(E6:E20)</f>
        <v>40.027922089041098</v>
      </c>
      <c r="F21" s="127">
        <f t="shared" ca="1" si="0"/>
        <v>40.943155952017577</v>
      </c>
      <c r="G21" s="126">
        <f t="shared" ca="1" si="0"/>
        <v>176.73073544520545</v>
      </c>
      <c r="H21" s="127">
        <f t="shared" ca="1" si="0"/>
        <v>40.73773417938505</v>
      </c>
      <c r="I21" s="126">
        <f t="shared" ca="1" si="0"/>
        <v>176.73073544520545</v>
      </c>
      <c r="J21" s="127">
        <f t="shared" ca="1" si="0"/>
        <v>40.73773417938505</v>
      </c>
      <c r="L21" s="8" t="s">
        <v>100</v>
      </c>
      <c r="M21" s="134">
        <f ca="1">SUM(M6:M20)</f>
        <v>5368218.4589041099</v>
      </c>
      <c r="N21" s="9"/>
      <c r="O21" s="9"/>
      <c r="P21" s="126">
        <f t="shared" ref="P21:U21" ca="1" si="1">SUM(P6:P20)</f>
        <v>52.062922089041102</v>
      </c>
      <c r="Q21" s="127">
        <f t="shared" ca="1" si="1"/>
        <v>52.978155952017573</v>
      </c>
      <c r="R21" s="126">
        <f t="shared" ca="1" si="1"/>
        <v>188.76573544520545</v>
      </c>
      <c r="S21" s="127">
        <f t="shared" ca="1" si="1"/>
        <v>52.772734179385054</v>
      </c>
      <c r="T21" s="126">
        <f t="shared" ca="1" si="1"/>
        <v>188.76573544520545</v>
      </c>
      <c r="U21" s="127">
        <f t="shared" ca="1" si="1"/>
        <v>52.772734179385054</v>
      </c>
    </row>
    <row r="22" spans="1:21" ht="16.5" customHeight="1" thickBot="1" x14ac:dyDescent="0.3">
      <c r="A22" s="5" t="s">
        <v>101</v>
      </c>
      <c r="B22" s="106"/>
      <c r="C22" s="6"/>
      <c r="D22" s="6"/>
      <c r="E22" s="125">
        <f ca="1">'ROLLS HS'!L24</f>
        <v>14.589285714285714</v>
      </c>
      <c r="F22" s="124">
        <f ca="1">'ROLLS LS'!K24</f>
        <v>26.442142857142951</v>
      </c>
      <c r="G22" s="125">
        <f ca="1">'ROLLS HS'!L27</f>
        <v>12.5</v>
      </c>
      <c r="H22" s="124">
        <f ca="1">'ROLLS LS'!K27</f>
        <v>28.210000000000093</v>
      </c>
      <c r="I22" s="125">
        <f ca="1">'ROLLS HS'!L30</f>
        <v>12.5</v>
      </c>
      <c r="J22" s="124">
        <f ca="1">'ROLLS LS'!K30</f>
        <v>28.567142857142951</v>
      </c>
      <c r="L22" s="5" t="s">
        <v>101</v>
      </c>
      <c r="M22" s="106"/>
      <c r="N22" s="6"/>
      <c r="O22" s="6"/>
      <c r="P22" s="125">
        <f t="shared" ref="P22:U22" ca="1" si="2">E22</f>
        <v>14.589285714285714</v>
      </c>
      <c r="Q22" s="124">
        <f t="shared" ca="1" si="2"/>
        <v>26.442142857142951</v>
      </c>
      <c r="R22" s="125">
        <f t="shared" ca="1" si="2"/>
        <v>12.5</v>
      </c>
      <c r="S22" s="124">
        <f t="shared" ca="1" si="2"/>
        <v>28.210000000000093</v>
      </c>
      <c r="T22" s="125">
        <f t="shared" ca="1" si="2"/>
        <v>12.5</v>
      </c>
      <c r="U22" s="124">
        <f t="shared" ca="1" si="2"/>
        <v>28.567142857142951</v>
      </c>
    </row>
    <row r="23" spans="1:21" ht="16.5" customHeight="1" thickBot="1" x14ac:dyDescent="0.3">
      <c r="A23" s="8" t="s">
        <v>113</v>
      </c>
      <c r="B23" s="110"/>
      <c r="C23" s="9"/>
      <c r="D23" s="9"/>
      <c r="E23" s="126">
        <f t="shared" ref="E23:J23" ca="1" si="3">E22-E21</f>
        <v>-25.438636374755383</v>
      </c>
      <c r="F23" s="127">
        <f t="shared" ca="1" si="3"/>
        <v>-14.501013094874626</v>
      </c>
      <c r="G23" s="126">
        <f t="shared" ca="1" si="3"/>
        <v>-164.23073544520545</v>
      </c>
      <c r="H23" s="127">
        <f t="shared" ca="1" si="3"/>
        <v>-12.527734179384957</v>
      </c>
      <c r="I23" s="126">
        <f t="shared" ca="1" si="3"/>
        <v>-164.23073544520545</v>
      </c>
      <c r="J23" s="127">
        <f t="shared" ca="1" si="3"/>
        <v>-12.1705913222421</v>
      </c>
      <c r="L23" s="8" t="s">
        <v>113</v>
      </c>
      <c r="M23" s="110"/>
      <c r="N23" s="9"/>
      <c r="O23" s="9"/>
      <c r="P23" s="126">
        <f t="shared" ref="P23:U23" ca="1" si="4">P22-P21</f>
        <v>-37.473636374755387</v>
      </c>
      <c r="Q23" s="127">
        <f t="shared" ca="1" si="4"/>
        <v>-26.536013094874622</v>
      </c>
      <c r="R23" s="126">
        <f t="shared" ca="1" si="4"/>
        <v>-176.26573544520545</v>
      </c>
      <c r="S23" s="127">
        <f t="shared" ca="1" si="4"/>
        <v>-24.562734179384961</v>
      </c>
      <c r="T23" s="126">
        <f t="shared" ca="1" si="4"/>
        <v>-176.26573544520545</v>
      </c>
      <c r="U23" s="127">
        <f t="shared" ca="1" si="4"/>
        <v>-24.205591322242103</v>
      </c>
    </row>
    <row r="24" spans="1:21" x14ac:dyDescent="0.25">
      <c r="A24" s="5" t="s">
        <v>84</v>
      </c>
      <c r="B24" s="107"/>
      <c r="C24" s="6"/>
      <c r="D24" s="6"/>
      <c r="E24" s="128">
        <f ca="1">'Loading Arrival'!B17</f>
        <v>45956</v>
      </c>
      <c r="F24" s="129">
        <f ca="1">'Loading Arrival'!B17</f>
        <v>45956</v>
      </c>
      <c r="G24" s="128">
        <f ca="1">'Loading Arrival'!C17</f>
        <v>45970</v>
      </c>
      <c r="H24" s="129">
        <f ca="1">'Loading Arrival'!C17</f>
        <v>45970</v>
      </c>
      <c r="I24" s="128">
        <f ca="1">'Loading Arrival'!D17</f>
        <v>45984</v>
      </c>
      <c r="J24" s="129">
        <f ca="1">'Loading Arrival'!D17</f>
        <v>45984</v>
      </c>
      <c r="L24" s="5" t="s">
        <v>84</v>
      </c>
      <c r="M24" s="107"/>
      <c r="N24" s="6"/>
      <c r="O24" s="6"/>
      <c r="P24" s="128">
        <f t="shared" ref="P24:U24" ca="1" si="5">E24</f>
        <v>45956</v>
      </c>
      <c r="Q24" s="129">
        <f t="shared" ca="1" si="5"/>
        <v>45956</v>
      </c>
      <c r="R24" s="128">
        <f t="shared" ca="1" si="5"/>
        <v>45970</v>
      </c>
      <c r="S24" s="129">
        <f t="shared" ca="1" si="5"/>
        <v>45970</v>
      </c>
      <c r="T24" s="128">
        <f t="shared" ca="1" si="5"/>
        <v>45984</v>
      </c>
      <c r="U24" s="129">
        <f t="shared" ca="1" si="5"/>
        <v>45984</v>
      </c>
    </row>
    <row r="25" spans="1:21" ht="15.75" thickBot="1" x14ac:dyDescent="0.3">
      <c r="A25" s="7" t="s">
        <v>99</v>
      </c>
      <c r="B25" s="108"/>
      <c r="C25" s="105"/>
      <c r="D25" s="105"/>
      <c r="E25" s="610">
        <f ca="1">'Loading Arrival'!B44</f>
        <v>45930</v>
      </c>
      <c r="F25" s="611"/>
      <c r="G25" s="610">
        <f ca="1">'Loading Arrival'!C44</f>
        <v>45944</v>
      </c>
      <c r="H25" s="611"/>
      <c r="I25" s="610">
        <f ca="1">'Loading Arrival'!D44</f>
        <v>45958</v>
      </c>
      <c r="J25" s="611"/>
      <c r="L25" s="7" t="s">
        <v>99</v>
      </c>
      <c r="M25" s="108"/>
      <c r="N25" s="105"/>
      <c r="O25" s="105"/>
      <c r="P25" s="610">
        <f ca="1">E25</f>
        <v>45930</v>
      </c>
      <c r="Q25" s="611"/>
      <c r="R25" s="612">
        <f ca="1">G25</f>
        <v>45944</v>
      </c>
      <c r="S25" s="613"/>
      <c r="T25" s="614">
        <f ca="1">I25</f>
        <v>45958</v>
      </c>
      <c r="U25" s="611"/>
    </row>
  </sheetData>
  <mergeCells count="20">
    <mergeCell ref="T3:U3"/>
    <mergeCell ref="E3:F3"/>
    <mergeCell ref="G3:H3"/>
    <mergeCell ref="I3:J3"/>
    <mergeCell ref="P3:Q3"/>
    <mergeCell ref="R3:S3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</mergeCells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130"/>
  <sheetViews>
    <sheetView topLeftCell="A102" workbookViewId="0">
      <selection activeCell="M113" sqref="M113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102</v>
      </c>
      <c r="C1">
        <v>380</v>
      </c>
      <c r="D1" t="s">
        <v>217</v>
      </c>
      <c r="E1" t="s">
        <v>214</v>
      </c>
      <c r="F1" t="s">
        <v>216</v>
      </c>
    </row>
    <row r="2" spans="1:18" ht="15" customHeight="1" x14ac:dyDescent="0.25">
      <c r="A2" s="2">
        <f ca="1">'Loading Arrival'!B11</f>
        <v>45918</v>
      </c>
      <c r="B2">
        <f ca="1">VLOOKUP(EOMONTH(A2,-1)+1,Tullet!$A$4:$D$22,2,0)</f>
        <v>373.75</v>
      </c>
      <c r="C2">
        <f ca="1">VLOOKUP(EOMONTH(A2,0)+1,Tullet!$E$58:$I$76,4,0)</f>
        <v>389.5</v>
      </c>
      <c r="D2">
        <f ca="1">C2-B2</f>
        <v>15.75</v>
      </c>
      <c r="E2" s="433">
        <f ca="1">VLOOKUP(DATE(YEAR(A2), MONTH(A2), 1), 'Tullet US'!$A$24:$C$32, 3, FALSE)*6.35</f>
        <v>377.18999999999994</v>
      </c>
      <c r="F2" s="433">
        <f ca="1">E2-B2</f>
        <v>3.4399999999999409</v>
      </c>
      <c r="I2" s="622" t="s">
        <v>50</v>
      </c>
      <c r="J2" s="623" t="s">
        <v>44</v>
      </c>
      <c r="K2" s="3" t="s">
        <v>103</v>
      </c>
      <c r="L2" s="112">
        <f ca="1">'Loading Arrival'!B3</f>
        <v>45925</v>
      </c>
    </row>
    <row r="3" spans="1:18" x14ac:dyDescent="0.25">
      <c r="A3" s="2">
        <f ca="1">WORKDAY(A2,1)</f>
        <v>45919</v>
      </c>
      <c r="B3">
        <f ca="1">VLOOKUP(EOMONTH(A3,-1)+1,Tullet!$A$4:$D$23,2,0)</f>
        <v>373.75</v>
      </c>
      <c r="C3">
        <f ca="1">VLOOKUP(EOMONTH(A3,0)+1,Tullet!$E$58:$I$76,4,0)</f>
        <v>389.5</v>
      </c>
      <c r="D3">
        <f t="shared" ref="D3:D66" ca="1" si="0">C3-B3</f>
        <v>15.75</v>
      </c>
      <c r="E3" s="433">
        <f ca="1">VLOOKUP(DATE(YEAR(A3), MONTH(A3), 1), 'Tullet US'!$A$24:$C$32, 3, FALSE)*6.35</f>
        <v>377.18999999999994</v>
      </c>
      <c r="F3" s="433">
        <f t="shared" ref="F3:F66" ca="1" si="1">E3-B3</f>
        <v>3.4399999999999409</v>
      </c>
      <c r="I3" s="622"/>
      <c r="J3" s="624"/>
      <c r="K3" s="5" t="s">
        <v>104</v>
      </c>
      <c r="L3" s="113">
        <f ca="1">'Loading Arrival'!B9</f>
        <v>45964</v>
      </c>
    </row>
    <row r="4" spans="1:18" ht="15.75" thickBot="1" x14ac:dyDescent="0.3">
      <c r="A4" s="2">
        <f t="shared" ref="A4:A66" ca="1" si="2">WORKDAY(A3,1)</f>
        <v>45922</v>
      </c>
      <c r="B4">
        <f ca="1">VLOOKUP(EOMONTH(A4,-1)+1,Tullet!$A$4:$D$23,2,0)</f>
        <v>373.75</v>
      </c>
      <c r="C4">
        <f ca="1">VLOOKUP(EOMONTH(A4,0)+1,Tullet!$E$58:$I$76,4,0)</f>
        <v>389.5</v>
      </c>
      <c r="D4">
        <f t="shared" ca="1" si="0"/>
        <v>15.75</v>
      </c>
      <c r="E4" s="433">
        <f ca="1">VLOOKUP(DATE(YEAR(A4), MONTH(A4), 1), 'Tullet US'!$A$24:$C$32, 3, FALSE)*6.35</f>
        <v>377.18999999999994</v>
      </c>
      <c r="F4" s="433">
        <f t="shared" ca="1" si="1"/>
        <v>3.4399999999999409</v>
      </c>
      <c r="I4" s="622"/>
      <c r="J4" s="624"/>
      <c r="K4" s="114" t="s">
        <v>105</v>
      </c>
      <c r="L4" s="115">
        <f ca="1">SUMPRODUCT(--($A$2:$A$66&gt;=L2),--($A$2:$A$66&lt;=L3),$D$2:$D$66)/SUMPRODUCT(--($A$2:$A$66&gt;=L2),--($A$2:$A$66&lt;=L3))</f>
        <v>12.964285714285714</v>
      </c>
    </row>
    <row r="5" spans="1:18" x14ac:dyDescent="0.25">
      <c r="A5" s="2">
        <f t="shared" ca="1" si="2"/>
        <v>45923</v>
      </c>
      <c r="B5">
        <f ca="1">VLOOKUP(EOMONTH(A5,-1)+1,Tullet!$A$4:$D$23,2,0)</f>
        <v>373.75</v>
      </c>
      <c r="C5">
        <f ca="1">VLOOKUP(EOMONTH(A5,0)+1,Tullet!$E$58:$I$76,4,0)</f>
        <v>389.5</v>
      </c>
      <c r="D5">
        <f t="shared" ca="1" si="0"/>
        <v>15.75</v>
      </c>
      <c r="E5" s="433">
        <f ca="1">VLOOKUP(DATE(YEAR(A5), MONTH(A5), 1), 'Tullet US'!$A$24:$C$32, 3, FALSE)*6.35</f>
        <v>377.18999999999994</v>
      </c>
      <c r="F5" s="433">
        <f t="shared" ca="1" si="1"/>
        <v>3.4399999999999409</v>
      </c>
      <c r="I5" s="622"/>
      <c r="J5" s="624"/>
      <c r="K5" s="3" t="s">
        <v>106</v>
      </c>
      <c r="L5" s="116">
        <f ca="1">'Loading Arrival'!C3</f>
        <v>45939</v>
      </c>
    </row>
    <row r="6" spans="1:18" x14ac:dyDescent="0.25">
      <c r="A6" s="2">
        <f t="shared" ca="1" si="2"/>
        <v>45924</v>
      </c>
      <c r="B6">
        <f ca="1">VLOOKUP(EOMONTH(A6,-1)+1,Tullet!$A$4:$D$23,2,0)</f>
        <v>373.75</v>
      </c>
      <c r="C6">
        <f ca="1">VLOOKUP(EOMONTH(A6,0)+1,Tullet!$E$58:$I$76,4,0)</f>
        <v>389.5</v>
      </c>
      <c r="D6">
        <f t="shared" ca="1" si="0"/>
        <v>15.75</v>
      </c>
      <c r="E6" s="433">
        <f ca="1">VLOOKUP(DATE(YEAR(A6), MONTH(A6), 1), 'Tullet US'!$A$24:$C$32, 3, FALSE)*6.35</f>
        <v>377.18999999999994</v>
      </c>
      <c r="F6" s="433">
        <f t="shared" ca="1" si="1"/>
        <v>3.4399999999999409</v>
      </c>
      <c r="I6" s="622"/>
      <c r="J6" s="624"/>
      <c r="K6" s="5" t="s">
        <v>104</v>
      </c>
      <c r="L6" s="117">
        <f ca="1">'Loading Arrival'!C9</f>
        <v>45978</v>
      </c>
    </row>
    <row r="7" spans="1:18" ht="15.75" thickBot="1" x14ac:dyDescent="0.3">
      <c r="A7" s="2">
        <f t="shared" ca="1" si="2"/>
        <v>45925</v>
      </c>
      <c r="B7">
        <f ca="1">VLOOKUP(EOMONTH(A7,-1)+1,Tullet!$A$4:$D$23,2,0)</f>
        <v>373.75</v>
      </c>
      <c r="C7">
        <f ca="1">VLOOKUP(EOMONTH(A7,0)+1,Tullet!$E$58:$I$76,4,0)</f>
        <v>389.5</v>
      </c>
      <c r="D7">
        <f t="shared" ca="1" si="0"/>
        <v>15.75</v>
      </c>
      <c r="E7" s="433">
        <f ca="1">VLOOKUP(DATE(YEAR(A7), MONTH(A7), 1), 'Tullet US'!$A$24:$C$32, 3, FALSE)*6.35</f>
        <v>377.18999999999994</v>
      </c>
      <c r="F7" s="433">
        <f t="shared" ca="1" si="1"/>
        <v>3.4399999999999409</v>
      </c>
      <c r="I7" s="622"/>
      <c r="J7" s="624"/>
      <c r="K7" s="7" t="s">
        <v>105</v>
      </c>
      <c r="L7" s="111">
        <f ca="1">SUMPRODUCT(--($A$2:$A$66&gt;=L5),--($A$2:$A$66&lt;=L6),$D$2:$D$66)/SUMPRODUCT(--($A$2:$A$66&gt;=L5),--($A$2:$A$66&lt;=L6))</f>
        <v>12.5</v>
      </c>
    </row>
    <row r="8" spans="1:18" x14ac:dyDescent="0.25">
      <c r="A8" s="2">
        <f t="shared" ca="1" si="2"/>
        <v>45926</v>
      </c>
      <c r="B8">
        <f ca="1">VLOOKUP(EOMONTH(A8,-1)+1,Tullet!$A$4:$D$23,2,0)</f>
        <v>373.75</v>
      </c>
      <c r="C8">
        <f ca="1">VLOOKUP(EOMONTH(A8,0)+1,Tullet!$E$58:$I$76,4,0)</f>
        <v>389.5</v>
      </c>
      <c r="D8">
        <f t="shared" ca="1" si="0"/>
        <v>15.75</v>
      </c>
      <c r="E8" s="433">
        <f ca="1">VLOOKUP(DATE(YEAR(A8), MONTH(A8), 1), 'Tullet US'!$A$24:$C$32, 3, FALSE)*6.35</f>
        <v>377.18999999999994</v>
      </c>
      <c r="F8" s="433">
        <f t="shared" ca="1" si="1"/>
        <v>3.4399999999999409</v>
      </c>
      <c r="I8" s="622"/>
      <c r="J8" s="624"/>
      <c r="K8" s="3" t="s">
        <v>107</v>
      </c>
      <c r="L8" s="116">
        <f ca="1">'Loading Arrival'!D3</f>
        <v>45953</v>
      </c>
    </row>
    <row r="9" spans="1:18" x14ac:dyDescent="0.25">
      <c r="A9" s="2">
        <f t="shared" ca="1" si="2"/>
        <v>45929</v>
      </c>
      <c r="B9">
        <f ca="1">VLOOKUP(EOMONTH(A9,-1)+1,Tullet!$A$4:$D$23,2,0)</f>
        <v>373.75</v>
      </c>
      <c r="C9">
        <f ca="1">VLOOKUP(EOMONTH(A9,0)+1,Tullet!$E$58:$I$76,4,0)</f>
        <v>389.5</v>
      </c>
      <c r="D9">
        <f t="shared" ca="1" si="0"/>
        <v>15.75</v>
      </c>
      <c r="E9" s="433">
        <f ca="1">VLOOKUP(DATE(YEAR(A9), MONTH(A9), 1), 'Tullet US'!$A$24:$C$32, 3, FALSE)*6.35</f>
        <v>377.18999999999994</v>
      </c>
      <c r="F9" s="433">
        <f t="shared" ca="1" si="1"/>
        <v>3.4399999999999409</v>
      </c>
      <c r="I9" s="622"/>
      <c r="J9" s="624"/>
      <c r="K9" s="5" t="s">
        <v>104</v>
      </c>
      <c r="L9" s="117">
        <f ca="1">'Loading Arrival'!D9</f>
        <v>45992</v>
      </c>
    </row>
    <row r="10" spans="1:18" ht="15.75" thickBot="1" x14ac:dyDescent="0.3">
      <c r="A10" s="2">
        <f t="shared" ca="1" si="2"/>
        <v>45930</v>
      </c>
      <c r="B10">
        <f ca="1">VLOOKUP(EOMONTH(A10,-1)+1,Tullet!$A$4:$D$23,2,0)</f>
        <v>373.75</v>
      </c>
      <c r="C10">
        <f ca="1">VLOOKUP(EOMONTH(A10,0)+1,Tullet!$E$58:$I$76,4,0)</f>
        <v>389.5</v>
      </c>
      <c r="D10">
        <f t="shared" ca="1" si="0"/>
        <v>15.75</v>
      </c>
      <c r="E10" s="433">
        <f ca="1">VLOOKUP(DATE(YEAR(A10), MONTH(A10), 1), 'Tullet US'!$A$24:$C$32, 3, FALSE)*6.35</f>
        <v>377.18999999999994</v>
      </c>
      <c r="F10" s="433">
        <f t="shared" ca="1" si="1"/>
        <v>3.4399999999999409</v>
      </c>
      <c r="I10" s="622"/>
      <c r="J10" s="625"/>
      <c r="K10" s="114" t="s">
        <v>105</v>
      </c>
      <c r="L10" s="115">
        <f ca="1">SUMPRODUCT(--($A$2:$A$66&gt;=L8),--($A$2:$A$66&lt;=L9),$D$2:$D$66)/SUMPRODUCT(--($A$2:$A$66&gt;=L8),--($A$2:$A$66&lt;=L9))</f>
        <v>12.526785714285714</v>
      </c>
    </row>
    <row r="11" spans="1:18" ht="15.75" thickBot="1" x14ac:dyDescent="0.3">
      <c r="A11" s="2">
        <f t="shared" ca="1" si="2"/>
        <v>45931</v>
      </c>
      <c r="B11">
        <f ca="1">VLOOKUP(EOMONTH(A11,-1)+1,Tullet!$A$4:$D$23,2,0)</f>
        <v>372.25</v>
      </c>
      <c r="C11">
        <f ca="1">VLOOKUP(EOMONTH(A11,0)+1,Tullet!$E$58:$I$76,4,0)</f>
        <v>384.75</v>
      </c>
      <c r="D11">
        <f t="shared" ca="1" si="0"/>
        <v>12.5</v>
      </c>
      <c r="E11" s="433">
        <f ca="1">VLOOKUP(DATE(YEAR(A11), MONTH(A11), 1), 'Tullet US'!$A$24:$C$32, 3, FALSE)*6.35</f>
        <v>366.71249999999992</v>
      </c>
      <c r="F11" s="433">
        <f t="shared" ca="1" si="1"/>
        <v>-5.5375000000000796</v>
      </c>
      <c r="I11" s="622"/>
    </row>
    <row r="12" spans="1:18" x14ac:dyDescent="0.25">
      <c r="A12" s="2">
        <f t="shared" ca="1" si="2"/>
        <v>45932</v>
      </c>
      <c r="B12">
        <f ca="1">VLOOKUP(EOMONTH(A12,-1)+1,Tullet!$A$4:$D$23,2,0)</f>
        <v>372.25</v>
      </c>
      <c r="C12">
        <f ca="1">VLOOKUP(EOMONTH(A12,0)+1,Tullet!$E$58:$I$76,4,0)</f>
        <v>384.75</v>
      </c>
      <c r="D12">
        <f t="shared" ca="1" si="0"/>
        <v>12.5</v>
      </c>
      <c r="E12" s="433">
        <f ca="1">VLOOKUP(DATE(YEAR(A12), MONTH(A12), 1), 'Tullet US'!$A$24:$C$32, 3, FALSE)*6.35</f>
        <v>366.71249999999992</v>
      </c>
      <c r="F12" s="433">
        <f t="shared" ca="1" si="1"/>
        <v>-5.5375000000000796</v>
      </c>
      <c r="I12" s="622"/>
      <c r="J12" s="619" t="s">
        <v>108</v>
      </c>
      <c r="K12" s="3" t="s">
        <v>103</v>
      </c>
      <c r="L12" s="112">
        <f ca="1">'Loading Arrival'!B11</f>
        <v>45918</v>
      </c>
    </row>
    <row r="13" spans="1:18" x14ac:dyDescent="0.25">
      <c r="A13" s="2">
        <f t="shared" ca="1" si="2"/>
        <v>45933</v>
      </c>
      <c r="B13">
        <f ca="1">VLOOKUP(EOMONTH(A13,-1)+1,Tullet!$A$4:$D$23,2,0)</f>
        <v>372.25</v>
      </c>
      <c r="C13">
        <f ca="1">VLOOKUP(EOMONTH(A13,0)+1,Tullet!$E$58:$I$76,4,0)</f>
        <v>384.75</v>
      </c>
      <c r="D13">
        <f t="shared" ca="1" si="0"/>
        <v>12.5</v>
      </c>
      <c r="E13" s="433">
        <f ca="1">VLOOKUP(DATE(YEAR(A13), MONTH(A13), 1), 'Tullet US'!$A$24:$C$32, 3, FALSE)*6.35</f>
        <v>366.71249999999992</v>
      </c>
      <c r="F13" s="433">
        <f t="shared" ca="1" si="1"/>
        <v>-5.5375000000000796</v>
      </c>
      <c r="I13" s="622"/>
      <c r="J13" s="620"/>
      <c r="K13" s="5" t="s">
        <v>104</v>
      </c>
      <c r="L13" s="113">
        <f ca="1">'Loading Arrival'!B17</f>
        <v>45956</v>
      </c>
    </row>
    <row r="14" spans="1:18" ht="15.75" thickBot="1" x14ac:dyDescent="0.3">
      <c r="A14" s="2">
        <f t="shared" ca="1" si="2"/>
        <v>45936</v>
      </c>
      <c r="B14">
        <f ca="1">VLOOKUP(EOMONTH(A14,-1)+1,Tullet!$A$4:$D$23,2,0)</f>
        <v>372.25</v>
      </c>
      <c r="C14">
        <f ca="1">VLOOKUP(EOMONTH(A14,0)+1,Tullet!$E$58:$I$76,4,0)</f>
        <v>384.75</v>
      </c>
      <c r="D14">
        <f t="shared" ca="1" si="0"/>
        <v>12.5</v>
      </c>
      <c r="E14" s="433">
        <f ca="1">VLOOKUP(DATE(YEAR(A14), MONTH(A14), 1), 'Tullet US'!$A$24:$C$32, 3, FALSE)*6.35</f>
        <v>366.71249999999992</v>
      </c>
      <c r="F14" s="433">
        <f t="shared" ca="1" si="1"/>
        <v>-5.5375000000000796</v>
      </c>
      <c r="I14" s="622"/>
      <c r="J14" s="620"/>
      <c r="K14" s="118" t="s">
        <v>105</v>
      </c>
      <c r="L14" s="119">
        <f ca="1">SUMPRODUCT(--($A$2:$A$66&gt;=L12),--($A$2:$A$66&lt;=L13),$D$2:$D$66)/SUMPRODUCT(--($A$2:$A$66&gt;=L12),--($A$2:$A$66&lt;=L13))</f>
        <v>13.583333333333334</v>
      </c>
    </row>
    <row r="15" spans="1:18" x14ac:dyDescent="0.25">
      <c r="A15" s="2">
        <f t="shared" ca="1" si="2"/>
        <v>45937</v>
      </c>
      <c r="B15">
        <f ca="1">VLOOKUP(EOMONTH(A15,-1)+1,Tullet!$A$4:$D$23,2,0)</f>
        <v>372.25</v>
      </c>
      <c r="C15">
        <f ca="1">VLOOKUP(EOMONTH(A15,0)+1,Tullet!$E$58:$I$76,4,0)</f>
        <v>384.75</v>
      </c>
      <c r="D15">
        <f t="shared" ca="1" si="0"/>
        <v>12.5</v>
      </c>
      <c r="E15" s="433">
        <f ca="1">VLOOKUP(DATE(YEAR(A15), MONTH(A15), 1), 'Tullet US'!$A$24:$C$32, 3, FALSE)*6.35</f>
        <v>366.71249999999992</v>
      </c>
      <c r="F15" s="433">
        <f t="shared" ca="1" si="1"/>
        <v>-5.5375000000000796</v>
      </c>
      <c r="I15" s="622"/>
      <c r="J15" s="620"/>
      <c r="K15" s="3" t="s">
        <v>106</v>
      </c>
      <c r="L15" s="116">
        <f ca="1">'Loading Arrival'!C11</f>
        <v>45932</v>
      </c>
      <c r="R15" t="s">
        <v>219</v>
      </c>
    </row>
    <row r="16" spans="1:18" x14ac:dyDescent="0.25">
      <c r="A16" s="2">
        <f t="shared" ca="1" si="2"/>
        <v>45938</v>
      </c>
      <c r="B16">
        <f ca="1">VLOOKUP(EOMONTH(A16,-1)+1,Tullet!$A$4:$D$23,2,0)</f>
        <v>372.25</v>
      </c>
      <c r="C16">
        <f ca="1">VLOOKUP(EOMONTH(A16,0)+1,Tullet!$E$58:$I$76,4,0)</f>
        <v>384.75</v>
      </c>
      <c r="D16">
        <f t="shared" ca="1" si="0"/>
        <v>12.5</v>
      </c>
      <c r="E16" s="433">
        <f ca="1">VLOOKUP(DATE(YEAR(A16), MONTH(A16), 1), 'Tullet US'!$A$24:$C$32, 3, FALSE)*6.35</f>
        <v>366.71249999999992</v>
      </c>
      <c r="F16" s="433">
        <f t="shared" ca="1" si="1"/>
        <v>-5.5375000000000796</v>
      </c>
      <c r="I16" s="622"/>
      <c r="J16" s="620"/>
      <c r="K16" s="5" t="s">
        <v>104</v>
      </c>
      <c r="L16" s="117">
        <f ca="1">'Loading Arrival'!C17</f>
        <v>45970</v>
      </c>
      <c r="R16" s="2">
        <f>DATE(YEAR(S16), MONTH(S16), 1)</f>
        <v>1</v>
      </c>
    </row>
    <row r="17" spans="1:18" ht="15.75" thickBot="1" x14ac:dyDescent="0.3">
      <c r="A17" s="2">
        <f t="shared" ca="1" si="2"/>
        <v>45939</v>
      </c>
      <c r="B17">
        <f ca="1">VLOOKUP(EOMONTH(A17,-1)+1,Tullet!$A$4:$D$23,2,0)</f>
        <v>372.25</v>
      </c>
      <c r="C17">
        <f ca="1">VLOOKUP(EOMONTH(A17,0)+1,Tullet!$E$58:$I$76,4,0)</f>
        <v>384.75</v>
      </c>
      <c r="D17">
        <f t="shared" ca="1" si="0"/>
        <v>12.5</v>
      </c>
      <c r="E17" s="433">
        <f ca="1">VLOOKUP(DATE(YEAR(A17), MONTH(A17), 1), 'Tullet US'!$A$24:$C$32, 3, FALSE)*6.35</f>
        <v>366.71249999999992</v>
      </c>
      <c r="F17" s="433">
        <f t="shared" ca="1" si="1"/>
        <v>-5.5375000000000796</v>
      </c>
      <c r="I17" s="622"/>
      <c r="J17" s="620"/>
      <c r="K17" s="114" t="s">
        <v>105</v>
      </c>
      <c r="L17" s="115">
        <f ca="1">SUMPRODUCT(--($A$2:$A$66&gt;=L15),--($A$2:$A$66&lt;=L16),$D$2:$D$66)/SUMPRODUCT(--($A$2:$A$66&gt;=L15),--($A$2:$A$66&lt;=L16))</f>
        <v>12.5</v>
      </c>
      <c r="R17" t="s">
        <v>215</v>
      </c>
    </row>
    <row r="18" spans="1:18" x14ac:dyDescent="0.25">
      <c r="A18" s="2">
        <f t="shared" ca="1" si="2"/>
        <v>45940</v>
      </c>
      <c r="B18">
        <f ca="1">VLOOKUP(EOMONTH(A18,-1)+1,Tullet!$A$4:$D$23,2,0)</f>
        <v>372.25</v>
      </c>
      <c r="C18">
        <f ca="1">VLOOKUP(EOMONTH(A18,0)+1,Tullet!$E$58:$I$76,4,0)</f>
        <v>384.75</v>
      </c>
      <c r="D18">
        <f t="shared" ca="1" si="0"/>
        <v>12.5</v>
      </c>
      <c r="E18" s="433">
        <f ca="1">VLOOKUP(DATE(YEAR(A18), MONTH(A18), 1), 'Tullet US'!$A$24:$C$32, 3, FALSE)*6.35</f>
        <v>366.71249999999992</v>
      </c>
      <c r="F18" s="433">
        <f t="shared" ca="1" si="1"/>
        <v>-5.5375000000000796</v>
      </c>
      <c r="I18" s="622"/>
      <c r="J18" s="620"/>
      <c r="K18" s="5" t="s">
        <v>107</v>
      </c>
      <c r="L18" s="117">
        <f ca="1">'Loading Arrival'!D11</f>
        <v>45946</v>
      </c>
    </row>
    <row r="19" spans="1:18" x14ac:dyDescent="0.25">
      <c r="A19" s="2">
        <f t="shared" ca="1" si="2"/>
        <v>45943</v>
      </c>
      <c r="B19">
        <f ca="1">VLOOKUP(EOMONTH(A19,-1)+1,Tullet!$A$4:$D$23,2,0)</f>
        <v>372.25</v>
      </c>
      <c r="C19">
        <f ca="1">VLOOKUP(EOMONTH(A19,0)+1,Tullet!$E$58:$I$76,4,0)</f>
        <v>384.75</v>
      </c>
      <c r="D19">
        <f t="shared" ca="1" si="0"/>
        <v>12.5</v>
      </c>
      <c r="E19" s="433">
        <f ca="1">VLOOKUP(DATE(YEAR(A19), MONTH(A19), 1), 'Tullet US'!$A$24:$C$32, 3, FALSE)*6.35</f>
        <v>366.71249999999992</v>
      </c>
      <c r="F19" s="433">
        <f t="shared" ca="1" si="1"/>
        <v>-5.5375000000000796</v>
      </c>
      <c r="I19" s="622"/>
      <c r="J19" s="620"/>
      <c r="K19" s="5" t="s">
        <v>104</v>
      </c>
      <c r="L19" s="117">
        <f ca="1">'Loading Arrival'!D17</f>
        <v>45984</v>
      </c>
    </row>
    <row r="20" spans="1:18" ht="15.75" thickBot="1" x14ac:dyDescent="0.3">
      <c r="A20" s="2">
        <f t="shared" ca="1" si="2"/>
        <v>45944</v>
      </c>
      <c r="B20">
        <f ca="1">VLOOKUP(EOMONTH(A20,-1)+1,Tullet!$A$4:$D$23,2,0)</f>
        <v>372.25</v>
      </c>
      <c r="C20">
        <f ca="1">VLOOKUP(EOMONTH(A20,0)+1,Tullet!$E$58:$I$76,4,0)</f>
        <v>384.75</v>
      </c>
      <c r="D20">
        <f t="shared" ca="1" si="0"/>
        <v>12.5</v>
      </c>
      <c r="E20" s="433">
        <f ca="1">VLOOKUP(DATE(YEAR(A20), MONTH(A20), 1), 'Tullet US'!$A$24:$C$32, 3, FALSE)*6.35</f>
        <v>366.71249999999992</v>
      </c>
      <c r="F20" s="433">
        <f t="shared" ca="1" si="1"/>
        <v>-5.5375000000000796</v>
      </c>
      <c r="I20" s="622"/>
      <c r="J20" s="621"/>
      <c r="K20" s="114" t="s">
        <v>105</v>
      </c>
      <c r="L20" s="115">
        <f ca="1">SUMPRODUCT(--($A$2:$A$66&gt;=L18),--($A$2:$A$66&lt;=L19),$D$2:$D$66)/SUMPRODUCT(--($A$2:$A$66&gt;=L18),--($A$2:$A$66&lt;=L19))</f>
        <v>12.5</v>
      </c>
    </row>
    <row r="21" spans="1:18" ht="15.75" thickBot="1" x14ac:dyDescent="0.3">
      <c r="A21" s="2">
        <f t="shared" ca="1" si="2"/>
        <v>45945</v>
      </c>
      <c r="B21">
        <f ca="1">VLOOKUP(EOMONTH(A21,-1)+1,Tullet!$A$4:$D$23,2,0)</f>
        <v>372.25</v>
      </c>
      <c r="C21">
        <f ca="1">VLOOKUP(EOMONTH(A21,0)+1,Tullet!$E$58:$I$76,4,0)</f>
        <v>384.75</v>
      </c>
      <c r="D21">
        <f t="shared" ca="1" si="0"/>
        <v>12.5</v>
      </c>
      <c r="E21" s="433">
        <f ca="1">VLOOKUP(DATE(YEAR(A21), MONTH(A21), 1), 'Tullet US'!$A$24:$C$32, 3, FALSE)*6.35</f>
        <v>366.71249999999992</v>
      </c>
      <c r="F21" s="433">
        <f t="shared" ca="1" si="1"/>
        <v>-5.5375000000000796</v>
      </c>
    </row>
    <row r="22" spans="1:18" x14ac:dyDescent="0.25">
      <c r="A22" s="2">
        <f t="shared" ca="1" si="2"/>
        <v>45946</v>
      </c>
      <c r="B22">
        <f ca="1">VLOOKUP(EOMONTH(A22,-1)+1,Tullet!$A$4:$D$23,2,0)</f>
        <v>372.25</v>
      </c>
      <c r="C22">
        <f ca="1">VLOOKUP(EOMONTH(A22,0)+1,Tullet!$E$58:$I$76,4,0)</f>
        <v>384.75</v>
      </c>
      <c r="D22">
        <f t="shared" ca="1" si="0"/>
        <v>12.5</v>
      </c>
      <c r="E22" s="433">
        <f ca="1">VLOOKUP(DATE(YEAR(A22), MONTH(A22), 1), 'Tullet US'!$A$24:$C$32, 3, FALSE)*6.35</f>
        <v>366.71249999999992</v>
      </c>
      <c r="F22" s="433">
        <f t="shared" ca="1" si="1"/>
        <v>-5.5375000000000796</v>
      </c>
      <c r="I22" s="618" t="s">
        <v>110</v>
      </c>
      <c r="J22" s="619" t="s">
        <v>108</v>
      </c>
      <c r="K22" s="3" t="s">
        <v>103</v>
      </c>
      <c r="L22" s="112">
        <f ca="1">'Loading Arrival'!B20</f>
        <v>45918</v>
      </c>
    </row>
    <row r="23" spans="1:18" x14ac:dyDescent="0.25">
      <c r="A23" s="2">
        <f t="shared" ca="1" si="2"/>
        <v>45947</v>
      </c>
      <c r="B23">
        <f ca="1">VLOOKUP(EOMONTH(A23,-1)+1,Tullet!$A$4:$D$23,2,0)</f>
        <v>372.25</v>
      </c>
      <c r="C23">
        <f ca="1">VLOOKUP(EOMONTH(A23,0)+1,Tullet!$E$58:$I$76,4,0)</f>
        <v>384.75</v>
      </c>
      <c r="D23">
        <f t="shared" ca="1" si="0"/>
        <v>12.5</v>
      </c>
      <c r="E23" s="433">
        <f ca="1">VLOOKUP(DATE(YEAR(A23), MONTH(A23), 1), 'Tullet US'!$A$24:$C$32, 3, FALSE)*6.35</f>
        <v>366.71249999999992</v>
      </c>
      <c r="F23" s="433">
        <f t="shared" ca="1" si="1"/>
        <v>-5.5375000000000796</v>
      </c>
      <c r="I23" s="618"/>
      <c r="J23" s="620"/>
      <c r="K23" s="5" t="s">
        <v>104</v>
      </c>
      <c r="L23" s="113">
        <f ca="1">'Loading Arrival'!B26</f>
        <v>45937</v>
      </c>
    </row>
    <row r="24" spans="1:18" ht="15.75" thickBot="1" x14ac:dyDescent="0.3">
      <c r="A24" s="2">
        <f t="shared" ca="1" si="2"/>
        <v>45950</v>
      </c>
      <c r="B24">
        <f ca="1">VLOOKUP(EOMONTH(A24,-1)+1,Tullet!$A$4:$D$23,2,0)</f>
        <v>372.25</v>
      </c>
      <c r="C24">
        <f ca="1">VLOOKUP(EOMONTH(A24,0)+1,Tullet!$E$58:$I$76,4,0)</f>
        <v>384.75</v>
      </c>
      <c r="D24">
        <f t="shared" ca="1" si="0"/>
        <v>12.5</v>
      </c>
      <c r="E24" s="433">
        <f ca="1">VLOOKUP(DATE(YEAR(A24), MONTH(A24), 1), 'Tullet US'!$A$24:$C$32, 3, FALSE)*6.35</f>
        <v>366.71249999999992</v>
      </c>
      <c r="F24" s="433">
        <f t="shared" ca="1" si="1"/>
        <v>-5.5375000000000796</v>
      </c>
      <c r="I24" s="618"/>
      <c r="J24" s="620"/>
      <c r="K24" s="118" t="s">
        <v>105</v>
      </c>
      <c r="L24" s="119">
        <f ca="1">SUMPRODUCT(--($A$2:$A$66&gt;=L22),--($A$2:$A$66&lt;=L23),$D$2:$D$66)/SUMPRODUCT(--($A$2:$A$66&gt;=L22),--($A$2:$A$66&lt;=L23))</f>
        <v>14.589285714285714</v>
      </c>
    </row>
    <row r="25" spans="1:18" x14ac:dyDescent="0.25">
      <c r="A25" s="2">
        <f t="shared" ca="1" si="2"/>
        <v>45951</v>
      </c>
      <c r="B25">
        <f ca="1">VLOOKUP(EOMONTH(A25,-1)+1,Tullet!$A$4:$D$23,2,0)</f>
        <v>372.25</v>
      </c>
      <c r="C25">
        <f ca="1">VLOOKUP(EOMONTH(A25,0)+1,Tullet!$E$58:$I$76,4,0)</f>
        <v>384.75</v>
      </c>
      <c r="D25">
        <f t="shared" ca="1" si="0"/>
        <v>12.5</v>
      </c>
      <c r="E25" s="433">
        <f ca="1">VLOOKUP(DATE(YEAR(A25), MONTH(A25), 1), 'Tullet US'!$A$24:$C$32, 3, FALSE)*6.35</f>
        <v>366.71249999999992</v>
      </c>
      <c r="F25" s="433">
        <f t="shared" ca="1" si="1"/>
        <v>-5.5375000000000796</v>
      </c>
      <c r="I25" s="618"/>
      <c r="J25" s="620"/>
      <c r="K25" s="3" t="s">
        <v>106</v>
      </c>
      <c r="L25" s="116">
        <f ca="1">'Loading Arrival'!C20</f>
        <v>45932</v>
      </c>
    </row>
    <row r="26" spans="1:18" x14ac:dyDescent="0.25">
      <c r="A26" s="2">
        <f t="shared" ca="1" si="2"/>
        <v>45952</v>
      </c>
      <c r="B26">
        <f ca="1">VLOOKUP(EOMONTH(A26,-1)+1,Tullet!$A$4:$D$23,2,0)</f>
        <v>372.25</v>
      </c>
      <c r="C26">
        <f ca="1">VLOOKUP(EOMONTH(A26,0)+1,Tullet!$E$58:$I$76,4,0)</f>
        <v>384.75</v>
      </c>
      <c r="D26">
        <f t="shared" ca="1" si="0"/>
        <v>12.5</v>
      </c>
      <c r="E26" s="433">
        <f ca="1">VLOOKUP(DATE(YEAR(A26), MONTH(A26), 1), 'Tullet US'!$A$24:$C$32, 3, FALSE)*6.35</f>
        <v>366.71249999999992</v>
      </c>
      <c r="F26" s="433">
        <f t="shared" ca="1" si="1"/>
        <v>-5.5375000000000796</v>
      </c>
      <c r="I26" s="618"/>
      <c r="J26" s="620"/>
      <c r="K26" s="5" t="s">
        <v>104</v>
      </c>
      <c r="L26" s="117">
        <f ca="1">'Loading Arrival'!C26</f>
        <v>45951</v>
      </c>
    </row>
    <row r="27" spans="1:18" ht="15.75" thickBot="1" x14ac:dyDescent="0.3">
      <c r="A27" s="2">
        <f t="shared" ca="1" si="2"/>
        <v>45953</v>
      </c>
      <c r="B27">
        <f ca="1">VLOOKUP(EOMONTH(A27,-1)+1,Tullet!$A$4:$D$23,2,0)</f>
        <v>372.25</v>
      </c>
      <c r="C27">
        <f ca="1">VLOOKUP(EOMONTH(A27,0)+1,Tullet!$E$58:$I$76,4,0)</f>
        <v>384.75</v>
      </c>
      <c r="D27">
        <f t="shared" ca="1" si="0"/>
        <v>12.5</v>
      </c>
      <c r="E27" s="433">
        <f ca="1">VLOOKUP(DATE(YEAR(A27), MONTH(A27), 1), 'Tullet US'!$A$24:$C$32, 3, FALSE)*6.35</f>
        <v>366.71249999999992</v>
      </c>
      <c r="F27" s="433">
        <f t="shared" ca="1" si="1"/>
        <v>-5.5375000000000796</v>
      </c>
      <c r="I27" s="618"/>
      <c r="J27" s="620"/>
      <c r="K27" s="114" t="s">
        <v>105</v>
      </c>
      <c r="L27" s="115">
        <f ca="1">SUMPRODUCT(--($A$2:$A$66&gt;=L25),--($A$2:$A$66&lt;=L26),$D$2:$D$66)/SUMPRODUCT(--($A$2:$A$66&gt;=L25),--($A$2:$A$66&lt;=L26))</f>
        <v>12.5</v>
      </c>
    </row>
    <row r="28" spans="1:18" x14ac:dyDescent="0.25">
      <c r="A28" s="2">
        <f t="shared" ca="1" si="2"/>
        <v>45954</v>
      </c>
      <c r="B28">
        <f ca="1">VLOOKUP(EOMONTH(A28,-1)+1,Tullet!$A$4:$D$23,2,0)</f>
        <v>372.25</v>
      </c>
      <c r="C28">
        <f ca="1">VLOOKUP(EOMONTH(A28,0)+1,Tullet!$E$58:$I$76,4,0)</f>
        <v>384.75</v>
      </c>
      <c r="D28">
        <f t="shared" ca="1" si="0"/>
        <v>12.5</v>
      </c>
      <c r="E28" s="433">
        <f ca="1">VLOOKUP(DATE(YEAR(A28), MONTH(A28), 1), 'Tullet US'!$A$24:$C$32, 3, FALSE)*6.35</f>
        <v>366.71249999999992</v>
      </c>
      <c r="F28" s="433">
        <f t="shared" ca="1" si="1"/>
        <v>-5.5375000000000796</v>
      </c>
      <c r="I28" s="618"/>
      <c r="J28" s="620"/>
      <c r="K28" s="5" t="s">
        <v>107</v>
      </c>
      <c r="L28" s="117">
        <f ca="1">'Loading Arrival'!D20</f>
        <v>45946</v>
      </c>
    </row>
    <row r="29" spans="1:18" x14ac:dyDescent="0.25">
      <c r="A29" s="2">
        <f t="shared" ca="1" si="2"/>
        <v>45957</v>
      </c>
      <c r="B29">
        <f ca="1">VLOOKUP(EOMONTH(A29,-1)+1,Tullet!$A$4:$D$23,2,0)</f>
        <v>372.25</v>
      </c>
      <c r="C29">
        <f ca="1">VLOOKUP(EOMONTH(A29,0)+1,Tullet!$E$58:$I$76,4,0)</f>
        <v>384.75</v>
      </c>
      <c r="D29">
        <f t="shared" ca="1" si="0"/>
        <v>12.5</v>
      </c>
      <c r="E29" s="433">
        <f ca="1">VLOOKUP(DATE(YEAR(A29), MONTH(A29), 1), 'Tullet US'!$A$24:$C$32, 3, FALSE)*6.35</f>
        <v>366.71249999999992</v>
      </c>
      <c r="F29" s="433">
        <f t="shared" ca="1" si="1"/>
        <v>-5.5375000000000796</v>
      </c>
      <c r="I29" s="618"/>
      <c r="J29" s="620"/>
      <c r="K29" s="5" t="s">
        <v>104</v>
      </c>
      <c r="L29" s="117">
        <f ca="1">'Loading Arrival'!D26</f>
        <v>45965</v>
      </c>
    </row>
    <row r="30" spans="1:18" ht="15.75" thickBot="1" x14ac:dyDescent="0.3">
      <c r="A30" s="2">
        <f t="shared" ca="1" si="2"/>
        <v>45958</v>
      </c>
      <c r="B30">
        <f ca="1">VLOOKUP(EOMONTH(A30,-1)+1,Tullet!$A$4:$D$23,2,0)</f>
        <v>372.25</v>
      </c>
      <c r="C30">
        <f ca="1">VLOOKUP(EOMONTH(A30,0)+1,Tullet!$E$58:$I$76,4,0)</f>
        <v>384.75</v>
      </c>
      <c r="D30">
        <f t="shared" ca="1" si="0"/>
        <v>12.5</v>
      </c>
      <c r="E30" s="433">
        <f ca="1">VLOOKUP(DATE(YEAR(A30), MONTH(A30), 1), 'Tullet US'!$A$24:$C$32, 3, FALSE)*6.35</f>
        <v>366.71249999999992</v>
      </c>
      <c r="F30" s="433">
        <f t="shared" ca="1" si="1"/>
        <v>-5.5375000000000796</v>
      </c>
      <c r="I30" s="618"/>
      <c r="J30" s="621"/>
      <c r="K30" s="114" t="s">
        <v>105</v>
      </c>
      <c r="L30" s="115">
        <f ca="1">SUMPRODUCT(--($A$2:$A$66&gt;=L28),--($A$2:$A$66&lt;=L29),$D$2:$D$66)/SUMPRODUCT(--($A$2:$A$66&gt;=L28),--($A$2:$A$66&lt;=L29))</f>
        <v>12.5</v>
      </c>
    </row>
    <row r="31" spans="1:18" ht="15.75" thickBot="1" x14ac:dyDescent="0.3">
      <c r="A31" s="2">
        <f t="shared" ca="1" si="2"/>
        <v>45959</v>
      </c>
      <c r="B31">
        <f ca="1">VLOOKUP(EOMONTH(A31,-1)+1,Tullet!$A$4:$D$23,2,0)</f>
        <v>372.25</v>
      </c>
      <c r="C31">
        <f ca="1">VLOOKUP(EOMONTH(A31,0)+1,Tullet!$E$58:$I$76,4,0)</f>
        <v>384.75</v>
      </c>
      <c r="D31">
        <f t="shared" ca="1" si="0"/>
        <v>12.5</v>
      </c>
      <c r="E31" s="433">
        <f ca="1">VLOOKUP(DATE(YEAR(A31), MONTH(A31), 1), 'Tullet US'!$A$24:$C$32, 3, FALSE)*6.35</f>
        <v>366.71249999999992</v>
      </c>
      <c r="F31" s="433">
        <f t="shared" ca="1" si="1"/>
        <v>-5.5375000000000796</v>
      </c>
    </row>
    <row r="32" spans="1:18" x14ac:dyDescent="0.25">
      <c r="A32" s="2">
        <f t="shared" ca="1" si="2"/>
        <v>45960</v>
      </c>
      <c r="B32">
        <f ca="1">VLOOKUP(EOMONTH(A32,-1)+1,Tullet!$A$4:$D$23,2,0)</f>
        <v>372.25</v>
      </c>
      <c r="C32">
        <f ca="1">VLOOKUP(EOMONTH(A32,0)+1,Tullet!$E$58:$I$76,4,0)</f>
        <v>384.75</v>
      </c>
      <c r="D32">
        <f t="shared" ca="1" si="0"/>
        <v>12.5</v>
      </c>
      <c r="E32" s="433">
        <f ca="1">VLOOKUP(DATE(YEAR(A32), MONTH(A32), 1), 'Tullet US'!$A$24:$C$32, 3, FALSE)*6.35</f>
        <v>366.71249999999992</v>
      </c>
      <c r="F32" s="433">
        <f t="shared" ca="1" si="1"/>
        <v>-5.5375000000000796</v>
      </c>
      <c r="I32" s="618" t="s">
        <v>111</v>
      </c>
      <c r="J32" s="619" t="s">
        <v>108</v>
      </c>
      <c r="K32" s="3" t="s">
        <v>103</v>
      </c>
      <c r="L32" s="112">
        <f ca="1">'Loading Arrival'!B29</f>
        <v>45918</v>
      </c>
    </row>
    <row r="33" spans="1:12" x14ac:dyDescent="0.25">
      <c r="A33" s="2">
        <f ca="1">WORKDAY(A32,1)</f>
        <v>45961</v>
      </c>
      <c r="B33">
        <f ca="1">VLOOKUP(EOMONTH(A33,-1)+1,Tullet!$A$4:$D$23,2,0)</f>
        <v>372.25</v>
      </c>
      <c r="C33">
        <f ca="1">VLOOKUP(EOMONTH(A33,0)+1,Tullet!$E$58:$I$76,4,0)</f>
        <v>384.75</v>
      </c>
      <c r="D33">
        <f t="shared" ca="1" si="0"/>
        <v>12.5</v>
      </c>
      <c r="E33" s="433">
        <f ca="1">VLOOKUP(DATE(YEAR(A33), MONTH(A33), 1), 'Tullet US'!$A$24:$C$32, 3, FALSE)*6.35</f>
        <v>366.71249999999992</v>
      </c>
      <c r="F33" s="433">
        <f t="shared" ca="1" si="1"/>
        <v>-5.5375000000000796</v>
      </c>
      <c r="I33" s="618"/>
      <c r="J33" s="620"/>
      <c r="K33" s="5" t="s">
        <v>104</v>
      </c>
      <c r="L33" s="113">
        <f ca="1">'Loading Arrival'!B35</f>
        <v>45953</v>
      </c>
    </row>
    <row r="34" spans="1:12" ht="15.75" thickBot="1" x14ac:dyDescent="0.3">
      <c r="A34" s="2">
        <f t="shared" ca="1" si="2"/>
        <v>45964</v>
      </c>
      <c r="B34">
        <f ca="1">VLOOKUP(EOMONTH(A34,-1)+1,Tullet!$A$4:$D$23,2,0)</f>
        <v>368.75</v>
      </c>
      <c r="C34">
        <f ca="1">VLOOKUP(EOMONTH(A34,0)+1,Tullet!$E$58:$I$76,4,0)</f>
        <v>381.25</v>
      </c>
      <c r="D34">
        <f t="shared" ca="1" si="0"/>
        <v>12.5</v>
      </c>
      <c r="E34" s="433">
        <f ca="1">VLOOKUP(DATE(YEAR(A34), MONTH(A34), 1), 'Tullet US'!$A$24:$C$32, 3, FALSE)*6.35</f>
        <v>360.67999999999989</v>
      </c>
      <c r="F34" s="433">
        <f t="shared" ca="1" si="1"/>
        <v>-8.0700000000001069</v>
      </c>
      <c r="I34" s="618"/>
      <c r="J34" s="620"/>
      <c r="K34" s="118" t="s">
        <v>105</v>
      </c>
      <c r="L34" s="119">
        <f ca="1">SUMPRODUCT(--($A$2:$A$66&gt;=L32),--($A$2:$A$66&lt;=L33),$D$2:$D$66)/SUMPRODUCT(--($A$2:$A$66&gt;=L32),--($A$2:$A$66&lt;=L33))</f>
        <v>13.625</v>
      </c>
    </row>
    <row r="35" spans="1:12" x14ac:dyDescent="0.25">
      <c r="A35" s="2">
        <f t="shared" ca="1" si="2"/>
        <v>45965</v>
      </c>
      <c r="B35">
        <f ca="1">VLOOKUP(EOMONTH(A35,-1)+1,Tullet!$A$4:$D$23,2,0)</f>
        <v>368.75</v>
      </c>
      <c r="C35">
        <f ca="1">VLOOKUP(EOMONTH(A35,0)+1,Tullet!$E$58:$I$76,4,0)</f>
        <v>381.25</v>
      </c>
      <c r="D35">
        <f t="shared" ca="1" si="0"/>
        <v>12.5</v>
      </c>
      <c r="E35" s="433">
        <f ca="1">VLOOKUP(DATE(YEAR(A35), MONTH(A35), 1), 'Tullet US'!$A$24:$C$32, 3, FALSE)*6.35</f>
        <v>360.67999999999989</v>
      </c>
      <c r="F35" s="433">
        <f t="shared" ca="1" si="1"/>
        <v>-8.0700000000001069</v>
      </c>
      <c r="I35" s="618"/>
      <c r="J35" s="620"/>
      <c r="K35" s="3" t="s">
        <v>106</v>
      </c>
      <c r="L35" s="116">
        <f ca="1">'Loading Arrival'!C29</f>
        <v>45932</v>
      </c>
    </row>
    <row r="36" spans="1:12" x14ac:dyDescent="0.25">
      <c r="A36" s="2">
        <f t="shared" ca="1" si="2"/>
        <v>45966</v>
      </c>
      <c r="B36">
        <f ca="1">VLOOKUP(EOMONTH(A36,-1)+1,Tullet!$A$4:$D$23,2,0)</f>
        <v>368.75</v>
      </c>
      <c r="C36">
        <f ca="1">VLOOKUP(EOMONTH(A36,0)+1,Tullet!$E$58:$I$76,4,0)</f>
        <v>381.25</v>
      </c>
      <c r="D36">
        <f t="shared" ca="1" si="0"/>
        <v>12.5</v>
      </c>
      <c r="E36" s="433">
        <f ca="1">VLOOKUP(DATE(YEAR(A36), MONTH(A36), 1), 'Tullet US'!$A$24:$C$32, 3, FALSE)*6.35</f>
        <v>360.67999999999989</v>
      </c>
      <c r="F36" s="433">
        <f t="shared" ca="1" si="1"/>
        <v>-8.0700000000001069</v>
      </c>
      <c r="I36" s="618"/>
      <c r="J36" s="620"/>
      <c r="K36" s="5" t="s">
        <v>104</v>
      </c>
      <c r="L36" s="117">
        <f ca="1">'Loading Arrival'!C35</f>
        <v>45967</v>
      </c>
    </row>
    <row r="37" spans="1:12" ht="15.75" thickBot="1" x14ac:dyDescent="0.3">
      <c r="A37" s="2">
        <f t="shared" ca="1" si="2"/>
        <v>45967</v>
      </c>
      <c r="B37">
        <f ca="1">VLOOKUP(EOMONTH(A37,-1)+1,Tullet!$A$4:$D$23,2,0)</f>
        <v>368.75</v>
      </c>
      <c r="C37">
        <f ca="1">VLOOKUP(EOMONTH(A37,0)+1,Tullet!$E$58:$I$76,4,0)</f>
        <v>381.25</v>
      </c>
      <c r="D37">
        <f t="shared" ca="1" si="0"/>
        <v>12.5</v>
      </c>
      <c r="E37" s="433">
        <f ca="1">VLOOKUP(DATE(YEAR(A37), MONTH(A37), 1), 'Tullet US'!$A$24:$C$32, 3, FALSE)*6.35</f>
        <v>360.67999999999989</v>
      </c>
      <c r="F37" s="433">
        <f t="shared" ca="1" si="1"/>
        <v>-8.0700000000001069</v>
      </c>
      <c r="I37" s="618"/>
      <c r="J37" s="620"/>
      <c r="K37" s="114" t="s">
        <v>105</v>
      </c>
      <c r="L37" s="115">
        <f ca="1">SUMPRODUCT(--($A$2:$A$66&gt;=L35),--($A$2:$A$66&lt;=L36),$D$2:$D$66)/SUMPRODUCT(--($A$2:$A$66&gt;=L35),--($A$2:$A$66&lt;=L36))</f>
        <v>12.5</v>
      </c>
    </row>
    <row r="38" spans="1:12" x14ac:dyDescent="0.25">
      <c r="A38" s="2">
        <f ca="1">WORKDAY(A37,1)</f>
        <v>45968</v>
      </c>
      <c r="B38">
        <f ca="1">VLOOKUP(EOMONTH(A38,-1)+1,Tullet!$A$4:$D$23,2,0)</f>
        <v>368.75</v>
      </c>
      <c r="C38">
        <f ca="1">VLOOKUP(EOMONTH(A38,0)+1,Tullet!$E$58:$I$76,4,0)</f>
        <v>381.25</v>
      </c>
      <c r="D38">
        <f t="shared" ca="1" si="0"/>
        <v>12.5</v>
      </c>
      <c r="E38" s="433">
        <f ca="1">VLOOKUP(DATE(YEAR(A38), MONTH(A38), 1), 'Tullet US'!$A$24:$C$32, 3, FALSE)*6.35</f>
        <v>360.67999999999989</v>
      </c>
      <c r="F38" s="433">
        <f t="shared" ca="1" si="1"/>
        <v>-8.0700000000001069</v>
      </c>
      <c r="I38" s="618"/>
      <c r="J38" s="620"/>
      <c r="K38" s="5" t="s">
        <v>107</v>
      </c>
      <c r="L38" s="117">
        <f ca="1">'Loading Arrival'!D29</f>
        <v>45946</v>
      </c>
    </row>
    <row r="39" spans="1:12" x14ac:dyDescent="0.25">
      <c r="A39" s="2">
        <f t="shared" ca="1" si="2"/>
        <v>45971</v>
      </c>
      <c r="B39">
        <f ca="1">VLOOKUP(EOMONTH(A39,-1)+1,Tullet!$A$4:$D$23,2,0)</f>
        <v>368.75</v>
      </c>
      <c r="C39">
        <f ca="1">VLOOKUP(EOMONTH(A39,0)+1,Tullet!$E$58:$I$76,4,0)</f>
        <v>381.25</v>
      </c>
      <c r="D39">
        <f t="shared" ca="1" si="0"/>
        <v>12.5</v>
      </c>
      <c r="E39" s="433">
        <f ca="1">VLOOKUP(DATE(YEAR(A39), MONTH(A39), 1), 'Tullet US'!$A$24:$C$32, 3, FALSE)*6.35</f>
        <v>360.67999999999989</v>
      </c>
      <c r="F39" s="433">
        <f t="shared" ca="1" si="1"/>
        <v>-8.0700000000001069</v>
      </c>
      <c r="I39" s="618"/>
      <c r="J39" s="620"/>
      <c r="K39" s="5" t="s">
        <v>104</v>
      </c>
      <c r="L39" s="117">
        <f ca="1">'Loading Arrival'!D35</f>
        <v>45981</v>
      </c>
    </row>
    <row r="40" spans="1:12" ht="15.75" thickBot="1" x14ac:dyDescent="0.3">
      <c r="A40" s="2">
        <f t="shared" ca="1" si="2"/>
        <v>45972</v>
      </c>
      <c r="B40">
        <f ca="1">VLOOKUP(EOMONTH(A40,-1)+1,Tullet!$A$4:$D$23,2,0)</f>
        <v>368.75</v>
      </c>
      <c r="C40">
        <f ca="1">VLOOKUP(EOMONTH(A40,0)+1,Tullet!$E$58:$I$76,4,0)</f>
        <v>381.25</v>
      </c>
      <c r="D40">
        <f t="shared" ca="1" si="0"/>
        <v>12.5</v>
      </c>
      <c r="E40" s="433">
        <f ca="1">VLOOKUP(DATE(YEAR(A40), MONTH(A40), 1), 'Tullet US'!$A$24:$C$32, 3, FALSE)*6.35</f>
        <v>360.67999999999989</v>
      </c>
      <c r="F40" s="433">
        <f t="shared" ca="1" si="1"/>
        <v>-8.0700000000001069</v>
      </c>
      <c r="I40" s="618"/>
      <c r="J40" s="621"/>
      <c r="K40" s="114" t="s">
        <v>105</v>
      </c>
      <c r="L40" s="115">
        <f ca="1">SUMPRODUCT(--($A$2:$A$66&gt;=L38),--($A$2:$A$66&lt;=L39),$D$2:$D$66)/SUMPRODUCT(--($A$2:$A$66&gt;=L38),--($A$2:$A$66&lt;=L39))</f>
        <v>12.5</v>
      </c>
    </row>
    <row r="41" spans="1:12" ht="15.75" thickBot="1" x14ac:dyDescent="0.3">
      <c r="A41" s="2">
        <f t="shared" ca="1" si="2"/>
        <v>45973</v>
      </c>
      <c r="B41">
        <f ca="1">VLOOKUP(EOMONTH(A41,-1)+1,Tullet!$A$4:$D$23,2,0)</f>
        <v>368.75</v>
      </c>
      <c r="C41">
        <f ca="1">VLOOKUP(EOMONTH(A41,0)+1,Tullet!$E$58:$I$76,4,0)</f>
        <v>381.25</v>
      </c>
      <c r="D41">
        <f t="shared" ca="1" si="0"/>
        <v>12.5</v>
      </c>
      <c r="E41" s="433">
        <f ca="1">VLOOKUP(DATE(YEAR(A41), MONTH(A41), 1), 'Tullet US'!$A$24:$C$32, 3, FALSE)*6.35</f>
        <v>360.67999999999989</v>
      </c>
      <c r="F41" s="433">
        <f t="shared" ca="1" si="1"/>
        <v>-8.0700000000001069</v>
      </c>
    </row>
    <row r="42" spans="1:12" x14ac:dyDescent="0.25">
      <c r="A42" s="2">
        <f t="shared" ca="1" si="2"/>
        <v>45974</v>
      </c>
      <c r="B42">
        <f ca="1">VLOOKUP(EOMONTH(A42,-1)+1,Tullet!$A$4:$D$23,2,0)</f>
        <v>368.75</v>
      </c>
      <c r="C42">
        <f ca="1">VLOOKUP(EOMONTH(A42,0)+1,Tullet!$E$58:$I$76,4,0)</f>
        <v>381.25</v>
      </c>
      <c r="D42">
        <f t="shared" ca="1" si="0"/>
        <v>12.5</v>
      </c>
      <c r="E42" s="433">
        <f ca="1">VLOOKUP(DATE(YEAR(A42), MONTH(A42), 1), 'Tullet US'!$A$24:$C$32, 3, FALSE)*6.35</f>
        <v>360.67999999999989</v>
      </c>
      <c r="F42" s="433">
        <f t="shared" ca="1" si="1"/>
        <v>-8.0700000000001069</v>
      </c>
      <c r="I42" s="618" t="s">
        <v>112</v>
      </c>
      <c r="J42" s="619" t="s">
        <v>108</v>
      </c>
      <c r="K42" s="3" t="s">
        <v>103</v>
      </c>
      <c r="L42" s="112">
        <f ca="1">'Loading Arrival'!B38</f>
        <v>45918</v>
      </c>
    </row>
    <row r="43" spans="1:12" x14ac:dyDescent="0.25">
      <c r="A43" s="2">
        <f t="shared" ca="1" si="2"/>
        <v>45975</v>
      </c>
      <c r="B43">
        <f ca="1">VLOOKUP(EOMONTH(A43,-1)+1,Tullet!$A$4:$D$23,2,0)</f>
        <v>368.75</v>
      </c>
      <c r="C43">
        <f ca="1">VLOOKUP(EOMONTH(A43,0)+1,Tullet!$E$58:$I$76,4,0)</f>
        <v>381.25</v>
      </c>
      <c r="D43">
        <f t="shared" ca="1" si="0"/>
        <v>12.5</v>
      </c>
      <c r="E43" s="433">
        <f ca="1">VLOOKUP(DATE(YEAR(A43), MONTH(A43), 1), 'Tullet US'!$A$24:$C$32, 3, FALSE)*6.35</f>
        <v>360.67999999999989</v>
      </c>
      <c r="F43" s="433">
        <f t="shared" ca="1" si="1"/>
        <v>-8.0700000000001069</v>
      </c>
      <c r="I43" s="618"/>
      <c r="J43" s="620"/>
      <c r="K43" s="5" t="s">
        <v>104</v>
      </c>
      <c r="L43" s="113">
        <f ca="1">'Loading Arrival'!B44</f>
        <v>45930</v>
      </c>
    </row>
    <row r="44" spans="1:12" ht="15.75" thickBot="1" x14ac:dyDescent="0.3">
      <c r="A44" s="2">
        <f t="shared" ca="1" si="2"/>
        <v>45978</v>
      </c>
      <c r="B44">
        <f ca="1">VLOOKUP(EOMONTH(A44,-1)+1,Tullet!$A$4:$D$23,2,0)</f>
        <v>368.75</v>
      </c>
      <c r="C44">
        <f ca="1">VLOOKUP(EOMONTH(A44,0)+1,Tullet!$E$58:$I$76,4,0)</f>
        <v>381.25</v>
      </c>
      <c r="D44">
        <f t="shared" ca="1" si="0"/>
        <v>12.5</v>
      </c>
      <c r="E44" s="433">
        <f ca="1">VLOOKUP(DATE(YEAR(A44), MONTH(A44), 1), 'Tullet US'!$A$24:$C$32, 3, FALSE)*6.35</f>
        <v>360.67999999999989</v>
      </c>
      <c r="F44" s="433">
        <f t="shared" ca="1" si="1"/>
        <v>-8.0700000000001069</v>
      </c>
      <c r="I44" s="618"/>
      <c r="J44" s="620"/>
      <c r="K44" s="118" t="s">
        <v>105</v>
      </c>
      <c r="L44" s="119">
        <f ca="1">SUMPRODUCT(--($A$2:$A$66&gt;=L42),--($A$2:$A$66&lt;=L43),$D$2:$D$66)/SUMPRODUCT(--($A$2:$A$66&gt;=L42),--($A$2:$A$66&lt;=L43))</f>
        <v>15.75</v>
      </c>
    </row>
    <row r="45" spans="1:12" x14ac:dyDescent="0.25">
      <c r="A45" s="2">
        <f t="shared" ca="1" si="2"/>
        <v>45979</v>
      </c>
      <c r="B45">
        <f ca="1">VLOOKUP(EOMONTH(A45,-1)+1,Tullet!$A$4:$D$23,2,0)</f>
        <v>368.75</v>
      </c>
      <c r="C45">
        <f ca="1">VLOOKUP(EOMONTH(A45,0)+1,Tullet!$E$58:$I$76,4,0)</f>
        <v>381.25</v>
      </c>
      <c r="D45">
        <f t="shared" ca="1" si="0"/>
        <v>12.5</v>
      </c>
      <c r="E45" s="433">
        <f ca="1">VLOOKUP(DATE(YEAR(A45), MONTH(A45), 1), 'Tullet US'!$A$24:$C$32, 3, FALSE)*6.35</f>
        <v>360.67999999999989</v>
      </c>
      <c r="F45" s="433">
        <f t="shared" ca="1" si="1"/>
        <v>-8.0700000000001069</v>
      </c>
      <c r="I45" s="618"/>
      <c r="J45" s="620"/>
      <c r="K45" s="3" t="s">
        <v>106</v>
      </c>
      <c r="L45" s="116">
        <f ca="1">'Loading Arrival'!C38</f>
        <v>45932</v>
      </c>
    </row>
    <row r="46" spans="1:12" x14ac:dyDescent="0.25">
      <c r="A46" s="2">
        <f t="shared" ca="1" si="2"/>
        <v>45980</v>
      </c>
      <c r="B46">
        <f ca="1">VLOOKUP(EOMONTH(A46,-1)+1,Tullet!$A$4:$D$23,2,0)</f>
        <v>368.75</v>
      </c>
      <c r="C46">
        <f ca="1">VLOOKUP(EOMONTH(A46,0)+1,Tullet!$E$58:$I$76,4,0)</f>
        <v>381.25</v>
      </c>
      <c r="D46">
        <f t="shared" ca="1" si="0"/>
        <v>12.5</v>
      </c>
      <c r="E46" s="433">
        <f ca="1">VLOOKUP(DATE(YEAR(A46), MONTH(A46), 1), 'Tullet US'!$A$24:$C$32, 3, FALSE)*6.35</f>
        <v>360.67999999999989</v>
      </c>
      <c r="F46" s="433">
        <f t="shared" ca="1" si="1"/>
        <v>-8.0700000000001069</v>
      </c>
      <c r="I46" s="618"/>
      <c r="J46" s="620"/>
      <c r="K46" s="5" t="s">
        <v>104</v>
      </c>
      <c r="L46" s="117">
        <f ca="1">'Loading Arrival'!C44</f>
        <v>45944</v>
      </c>
    </row>
    <row r="47" spans="1:12" ht="15.75" thickBot="1" x14ac:dyDescent="0.3">
      <c r="A47" s="2">
        <f t="shared" ca="1" si="2"/>
        <v>45981</v>
      </c>
      <c r="B47">
        <f ca="1">VLOOKUP(EOMONTH(A47,-1)+1,Tullet!$A$4:$D$23,2,0)</f>
        <v>368.75</v>
      </c>
      <c r="C47">
        <f ca="1">VLOOKUP(EOMONTH(A47,0)+1,Tullet!$E$58:$I$76,4,0)</f>
        <v>381.25</v>
      </c>
      <c r="D47">
        <f t="shared" ca="1" si="0"/>
        <v>12.5</v>
      </c>
      <c r="E47" s="433">
        <f ca="1">VLOOKUP(DATE(YEAR(A47), MONTH(A47), 1), 'Tullet US'!$A$24:$C$32, 3, FALSE)*6.35</f>
        <v>360.67999999999989</v>
      </c>
      <c r="F47" s="433">
        <f t="shared" ca="1" si="1"/>
        <v>-8.0700000000001069</v>
      </c>
      <c r="I47" s="618"/>
      <c r="J47" s="620"/>
      <c r="K47" s="114" t="s">
        <v>105</v>
      </c>
      <c r="L47" s="115" cm="1">
        <f t="array" aca="1" ref="L47" ca="1">SUMPRODUCT(--($A$2:$A$66&gt;=L45),--($A$2:$A$66&lt;=L46),$D$2:$D$66)/SUMPRODUCT(--($A$2:$A$66&gt;=L45),--($A$2:$A$66&lt;=L46))</f>
        <v>12.5</v>
      </c>
    </row>
    <row r="48" spans="1:12" x14ac:dyDescent="0.25">
      <c r="A48" s="2">
        <f t="shared" ca="1" si="2"/>
        <v>45982</v>
      </c>
      <c r="B48">
        <f ca="1">VLOOKUP(EOMONTH(A48,-1)+1,Tullet!$A$4:$D$23,2,0)</f>
        <v>368.75</v>
      </c>
      <c r="C48">
        <f ca="1">VLOOKUP(EOMONTH(A48,0)+1,Tullet!$E$58:$I$76,4,0)</f>
        <v>381.25</v>
      </c>
      <c r="D48">
        <f t="shared" ca="1" si="0"/>
        <v>12.5</v>
      </c>
      <c r="E48" s="433">
        <f ca="1">VLOOKUP(DATE(YEAR(A48), MONTH(A48), 1), 'Tullet US'!$A$24:$C$32, 3, FALSE)*6.35</f>
        <v>360.67999999999989</v>
      </c>
      <c r="F48" s="433">
        <f t="shared" ca="1" si="1"/>
        <v>-8.0700000000001069</v>
      </c>
      <c r="I48" s="618"/>
      <c r="J48" s="620"/>
      <c r="K48" s="5" t="s">
        <v>107</v>
      </c>
      <c r="L48" s="117">
        <f ca="1">'Loading Arrival'!D38</f>
        <v>45946</v>
      </c>
    </row>
    <row r="49" spans="1:12" x14ac:dyDescent="0.25">
      <c r="A49" s="2">
        <f t="shared" ca="1" si="2"/>
        <v>45985</v>
      </c>
      <c r="B49">
        <f ca="1">VLOOKUP(EOMONTH(A49,-1)+1,Tullet!$A$4:$D$23,2,0)</f>
        <v>368.75</v>
      </c>
      <c r="C49">
        <f ca="1">VLOOKUP(EOMONTH(A49,0)+1,Tullet!$E$58:$I$76,4,0)</f>
        <v>381.25</v>
      </c>
      <c r="D49">
        <f t="shared" ca="1" si="0"/>
        <v>12.5</v>
      </c>
      <c r="E49" s="433">
        <f ca="1">VLOOKUP(DATE(YEAR(A49), MONTH(A49), 1), 'Tullet US'!$A$24:$C$32, 3, FALSE)*6.35</f>
        <v>360.67999999999989</v>
      </c>
      <c r="F49" s="433">
        <f t="shared" ca="1" si="1"/>
        <v>-8.0700000000001069</v>
      </c>
      <c r="I49" s="618"/>
      <c r="J49" s="620"/>
      <c r="K49" s="5" t="s">
        <v>104</v>
      </c>
      <c r="L49" s="117">
        <f ca="1">'Loading Arrival'!D44</f>
        <v>45958</v>
      </c>
    </row>
    <row r="50" spans="1:12" ht="15.75" thickBot="1" x14ac:dyDescent="0.3">
      <c r="A50" s="2">
        <f t="shared" ca="1" si="2"/>
        <v>45986</v>
      </c>
      <c r="B50">
        <f ca="1">VLOOKUP(EOMONTH(A50,-1)+1,Tullet!$A$4:$D$23,2,0)</f>
        <v>368.75</v>
      </c>
      <c r="C50">
        <f ca="1">VLOOKUP(EOMONTH(A50,0)+1,Tullet!$E$58:$I$76,4,0)</f>
        <v>381.25</v>
      </c>
      <c r="D50">
        <f t="shared" ca="1" si="0"/>
        <v>12.5</v>
      </c>
      <c r="E50" s="433">
        <f ca="1">VLOOKUP(DATE(YEAR(A50), MONTH(A50), 1), 'Tullet US'!$A$24:$C$32, 3, FALSE)*6.35</f>
        <v>360.67999999999989</v>
      </c>
      <c r="F50" s="433">
        <f t="shared" ca="1" si="1"/>
        <v>-8.0700000000001069</v>
      </c>
      <c r="I50" s="618"/>
      <c r="J50" s="621"/>
      <c r="K50" s="114" t="s">
        <v>105</v>
      </c>
      <c r="L50" s="115">
        <f ca="1">SUMPRODUCT(--($A$2:$A$66&gt;=L48),--($A$2:$A$66&lt;=L49),$D$2:$D$66)/SUMPRODUCT(--($A$2:$A$66&gt;=L48),--($A$2:$A$66&lt;=L49))</f>
        <v>12.5</v>
      </c>
    </row>
    <row r="51" spans="1:12" ht="15.75" thickBot="1" x14ac:dyDescent="0.3">
      <c r="A51" s="2">
        <f t="shared" ca="1" si="2"/>
        <v>45987</v>
      </c>
      <c r="B51">
        <f ca="1">VLOOKUP(EOMONTH(A51,-1)+1,Tullet!$A$4:$D$23,2,0)</f>
        <v>368.75</v>
      </c>
      <c r="C51">
        <f ca="1">VLOOKUP(EOMONTH(A51,0)+1,Tullet!$E$58:$I$76,4,0)</f>
        <v>381.25</v>
      </c>
      <c r="D51">
        <f t="shared" ca="1" si="0"/>
        <v>12.5</v>
      </c>
      <c r="E51" s="433">
        <f ca="1">VLOOKUP(DATE(YEAR(A51), MONTH(A51), 1), 'Tullet US'!$A$24:$C$32, 3, FALSE)*6.35</f>
        <v>360.67999999999989</v>
      </c>
      <c r="F51" s="433">
        <f t="shared" ca="1" si="1"/>
        <v>-8.0700000000001069</v>
      </c>
    </row>
    <row r="52" spans="1:12" x14ac:dyDescent="0.25">
      <c r="A52" s="2">
        <f t="shared" ca="1" si="2"/>
        <v>45988</v>
      </c>
      <c r="B52">
        <f ca="1">VLOOKUP(EOMONTH(A52,-1)+1,Tullet!$A$4:$D$23,2,0)</f>
        <v>368.75</v>
      </c>
      <c r="C52">
        <f ca="1">VLOOKUP(EOMONTH(A52,0)+1,Tullet!$E$58:$I$76,4,0)</f>
        <v>381.25</v>
      </c>
      <c r="D52">
        <f t="shared" ca="1" si="0"/>
        <v>12.5</v>
      </c>
      <c r="E52" s="433">
        <f ca="1">VLOOKUP(DATE(YEAR(A52), MONTH(A52), 1), 'Tullet US'!$A$24:$C$32, 3, FALSE)*6.35</f>
        <v>360.67999999999989</v>
      </c>
      <c r="F52" s="433">
        <f t="shared" ca="1" si="1"/>
        <v>-8.0700000000001069</v>
      </c>
      <c r="I52" s="618" t="s">
        <v>218</v>
      </c>
      <c r="J52" s="619" t="s">
        <v>108</v>
      </c>
      <c r="K52" s="3" t="s">
        <v>103</v>
      </c>
      <c r="L52" s="112">
        <f ca="1">'Loading Arrival'!G3</f>
        <v>45918</v>
      </c>
    </row>
    <row r="53" spans="1:12" x14ac:dyDescent="0.25">
      <c r="A53" s="2">
        <f t="shared" ca="1" si="2"/>
        <v>45989</v>
      </c>
      <c r="B53">
        <f ca="1">VLOOKUP(EOMONTH(A53,-1)+1,Tullet!$A$4:$D$23,2,0)</f>
        <v>368.75</v>
      </c>
      <c r="C53">
        <f ca="1">VLOOKUP(EOMONTH(A53,0)+1,Tullet!$E$58:$I$76,4,0)</f>
        <v>381.25</v>
      </c>
      <c r="D53">
        <f t="shared" ca="1" si="0"/>
        <v>12.5</v>
      </c>
      <c r="E53" s="433">
        <f ca="1">VLOOKUP(DATE(YEAR(A53), MONTH(A53), 1), 'Tullet US'!$A$24:$C$32, 3, FALSE)*6.35</f>
        <v>360.67999999999989</v>
      </c>
      <c r="F53" s="433">
        <f t="shared" ca="1" si="1"/>
        <v>-8.0700000000001069</v>
      </c>
      <c r="I53" s="618"/>
      <c r="J53" s="620"/>
      <c r="K53" s="5" t="s">
        <v>104</v>
      </c>
      <c r="L53" s="113">
        <f ca="1">'Loading Arrival'!G9</f>
        <v>45934</v>
      </c>
    </row>
    <row r="54" spans="1:12" ht="15.75" thickBot="1" x14ac:dyDescent="0.3">
      <c r="A54" s="2">
        <f t="shared" ca="1" si="2"/>
        <v>45992</v>
      </c>
      <c r="B54">
        <f ca="1">VLOOKUP(EOMONTH(A54,-1)+1,Tullet!$A$4:$D$23,2,0)</f>
        <v>366.5</v>
      </c>
      <c r="C54">
        <f ca="1">VLOOKUP(EOMONTH(A54,0)+1,Tullet!$E$58:$I$76,4,0)</f>
        <v>379.75</v>
      </c>
      <c r="D54">
        <f t="shared" ca="1" si="0"/>
        <v>13.25</v>
      </c>
      <c r="E54" s="433">
        <f ca="1">VLOOKUP(DATE(YEAR(A54), MONTH(A54), 1), 'Tullet US'!$A$24:$C$32, 3, FALSE)*6.35</f>
        <v>356.86999999999989</v>
      </c>
      <c r="F54" s="433">
        <f t="shared" ca="1" si="1"/>
        <v>-9.6300000000001091</v>
      </c>
      <c r="I54" s="618"/>
      <c r="J54" s="620"/>
      <c r="K54" s="118" t="s">
        <v>105</v>
      </c>
      <c r="L54" s="119" cm="1">
        <f t="array" aca="1" ref="L54" ca="1">SUMPRODUCT(--($A$2:$A$66&gt;=L52),--($A$2:$A$66&lt;=L53),$F$2:$F$66)/SUMPRODUCT(--($A$2:$A$66&gt;=L52),--($A$2:$A$66&lt;=L53))</f>
        <v>1.1956249999999358</v>
      </c>
    </row>
    <row r="55" spans="1:12" x14ac:dyDescent="0.25">
      <c r="A55" s="2">
        <f t="shared" ca="1" si="2"/>
        <v>45993</v>
      </c>
      <c r="B55">
        <f ca="1">VLOOKUP(EOMONTH(A55,-1)+1,Tullet!$A$4:$D$23,2,0)</f>
        <v>366.5</v>
      </c>
      <c r="C55">
        <f ca="1">VLOOKUP(EOMONTH(A55,0)+1,Tullet!$E$58:$I$76,4,0)</f>
        <v>379.75</v>
      </c>
      <c r="D55">
        <f t="shared" ca="1" si="0"/>
        <v>13.25</v>
      </c>
      <c r="E55" s="433">
        <f ca="1">VLOOKUP(DATE(YEAR(A55), MONTH(A55), 1), 'Tullet US'!$A$24:$C$32, 3, FALSE)*6.35</f>
        <v>356.86999999999989</v>
      </c>
      <c r="F55" s="433">
        <f t="shared" ca="1" si="1"/>
        <v>-9.6300000000001091</v>
      </c>
      <c r="I55" s="618"/>
      <c r="J55" s="620"/>
      <c r="K55" s="3" t="s">
        <v>106</v>
      </c>
      <c r="L55" s="116">
        <f ca="1">'Loading Arrival'!H3</f>
        <v>45932</v>
      </c>
    </row>
    <row r="56" spans="1:12" x14ac:dyDescent="0.25">
      <c r="A56" s="2">
        <f t="shared" ca="1" si="2"/>
        <v>45994</v>
      </c>
      <c r="B56">
        <f ca="1">VLOOKUP(EOMONTH(A56,-1)+1,Tullet!$A$4:$D$23,2,0)</f>
        <v>366.5</v>
      </c>
      <c r="C56">
        <f ca="1">VLOOKUP(EOMONTH(A56,0)+1,Tullet!$E$58:$I$76,4,0)</f>
        <v>379.75</v>
      </c>
      <c r="D56">
        <f t="shared" ca="1" si="0"/>
        <v>13.25</v>
      </c>
      <c r="E56" s="433">
        <f ca="1">VLOOKUP(DATE(YEAR(A56), MONTH(A56), 1), 'Tullet US'!$A$24:$C$32, 3, FALSE)*6.35</f>
        <v>356.86999999999989</v>
      </c>
      <c r="F56" s="433">
        <f t="shared" ca="1" si="1"/>
        <v>-9.6300000000001091</v>
      </c>
      <c r="I56" s="618"/>
      <c r="J56" s="620"/>
      <c r="K56" s="5" t="s">
        <v>104</v>
      </c>
      <c r="L56" s="117">
        <f ca="1">'Loading Arrival'!H9</f>
        <v>45948</v>
      </c>
    </row>
    <row r="57" spans="1:12" ht="15.75" thickBot="1" x14ac:dyDescent="0.3">
      <c r="A57" s="2">
        <f t="shared" ca="1" si="2"/>
        <v>45995</v>
      </c>
      <c r="B57">
        <f ca="1">VLOOKUP(EOMONTH(A57,-1)+1,Tullet!$A$4:$D$23,2,0)</f>
        <v>366.5</v>
      </c>
      <c r="C57">
        <f ca="1">VLOOKUP(EOMONTH(A57,0)+1,Tullet!$E$58:$I$76,4,0)</f>
        <v>379.75</v>
      </c>
      <c r="D57">
        <f t="shared" ca="1" si="0"/>
        <v>13.25</v>
      </c>
      <c r="E57" s="433">
        <f ca="1">VLOOKUP(DATE(YEAR(A57), MONTH(A57), 1), 'Tullet US'!$A$24:$C$32, 3, FALSE)*6.35</f>
        <v>356.86999999999989</v>
      </c>
      <c r="F57" s="433">
        <f t="shared" ca="1" si="1"/>
        <v>-9.6300000000001091</v>
      </c>
      <c r="I57" s="618"/>
      <c r="J57" s="620"/>
      <c r="K57" s="114" t="s">
        <v>105</v>
      </c>
      <c r="L57" s="115" cm="1">
        <f t="array" aca="1" ref="L57" ca="1">SUMPRODUCT(--($A$2:$A$66&gt;=L55),--($A$2:$A$66&lt;=L56),$F$2:$F$66)/SUMPRODUCT(--($A$2:$A$66&gt;=L55),--($A$2:$A$66&lt;=L56))</f>
        <v>-5.5375000000000796</v>
      </c>
    </row>
    <row r="58" spans="1:12" x14ac:dyDescent="0.25">
      <c r="A58" s="2">
        <f t="shared" ca="1" si="2"/>
        <v>45996</v>
      </c>
      <c r="B58">
        <f ca="1">VLOOKUP(EOMONTH(A58,-1)+1,Tullet!$A$4:$D$23,2,0)</f>
        <v>366.5</v>
      </c>
      <c r="C58">
        <f ca="1">VLOOKUP(EOMONTH(A58,0)+1,Tullet!$E$58:$I$76,4,0)</f>
        <v>379.75</v>
      </c>
      <c r="D58">
        <f t="shared" ca="1" si="0"/>
        <v>13.25</v>
      </c>
      <c r="E58" s="433">
        <f ca="1">VLOOKUP(DATE(YEAR(A58), MONTH(A58), 1), 'Tullet US'!$A$24:$C$32, 3, FALSE)*6.35</f>
        <v>356.86999999999989</v>
      </c>
      <c r="F58" s="433">
        <f t="shared" ca="1" si="1"/>
        <v>-9.6300000000001091</v>
      </c>
      <c r="I58" s="618"/>
      <c r="J58" s="620"/>
      <c r="K58" s="5" t="s">
        <v>107</v>
      </c>
      <c r="L58" s="117">
        <f ca="1">'Loading Arrival'!I3</f>
        <v>45946</v>
      </c>
    </row>
    <row r="59" spans="1:12" x14ac:dyDescent="0.25">
      <c r="A59" s="2">
        <f t="shared" ca="1" si="2"/>
        <v>45999</v>
      </c>
      <c r="B59">
        <f ca="1">VLOOKUP(EOMONTH(A59,-1)+1,Tullet!$A$4:$D$23,2,0)</f>
        <v>366.5</v>
      </c>
      <c r="C59">
        <f ca="1">VLOOKUP(EOMONTH(A59,0)+1,Tullet!$E$58:$I$76,4,0)</f>
        <v>379.75</v>
      </c>
      <c r="D59">
        <f t="shared" ca="1" si="0"/>
        <v>13.25</v>
      </c>
      <c r="E59" s="433">
        <f ca="1">VLOOKUP(DATE(YEAR(A59), MONTH(A59), 1), 'Tullet US'!$A$24:$C$32, 3, FALSE)*6.35</f>
        <v>356.86999999999989</v>
      </c>
      <c r="F59" s="433">
        <f t="shared" ca="1" si="1"/>
        <v>-9.6300000000001091</v>
      </c>
      <c r="I59" s="618"/>
      <c r="J59" s="620"/>
      <c r="K59" s="5" t="s">
        <v>104</v>
      </c>
      <c r="L59" s="117">
        <f ca="1">'Loading Arrival'!I9</f>
        <v>45962</v>
      </c>
    </row>
    <row r="60" spans="1:12" ht="15.75" thickBot="1" x14ac:dyDescent="0.3">
      <c r="A60" s="2">
        <f t="shared" ca="1" si="2"/>
        <v>46000</v>
      </c>
      <c r="B60">
        <f ca="1">VLOOKUP(EOMONTH(A60,-1)+1,Tullet!$A$4:$D$23,2,0)</f>
        <v>366.5</v>
      </c>
      <c r="C60">
        <f ca="1">VLOOKUP(EOMONTH(A60,0)+1,Tullet!$E$58:$I$76,4,0)</f>
        <v>379.75</v>
      </c>
      <c r="D60">
        <f t="shared" ca="1" si="0"/>
        <v>13.25</v>
      </c>
      <c r="E60" s="433">
        <f ca="1">VLOOKUP(DATE(YEAR(A60), MONTH(A60), 1), 'Tullet US'!$A$24:$C$32, 3, FALSE)*6.35</f>
        <v>356.86999999999989</v>
      </c>
      <c r="F60" s="433">
        <f t="shared" ca="1" si="1"/>
        <v>-9.6300000000001091</v>
      </c>
      <c r="I60" s="618"/>
      <c r="J60" s="621"/>
      <c r="K60" s="114" t="s">
        <v>105</v>
      </c>
      <c r="L60" s="115" cm="1">
        <f t="array" aca="1" ref="L60" ca="1">SUMPRODUCT(--($A$2:$A$66&gt;=L58),--($A$2:$A$66&lt;=L59),$F$2:$F$66)/SUMPRODUCT(--($A$2:$A$66&gt;=L58),--($A$2:$A$66&lt;=L59))</f>
        <v>-5.5375000000000796</v>
      </c>
    </row>
    <row r="61" spans="1:12" ht="15.75" thickBot="1" x14ac:dyDescent="0.3">
      <c r="A61" s="2">
        <f t="shared" ca="1" si="2"/>
        <v>46001</v>
      </c>
      <c r="B61">
        <f ca="1">VLOOKUP(EOMONTH(A61,-1)+1,Tullet!$A$4:$D$23,2,0)</f>
        <v>366.5</v>
      </c>
      <c r="C61">
        <f ca="1">VLOOKUP(EOMONTH(A61,0)+1,Tullet!$E$58:$I$76,4,0)</f>
        <v>379.75</v>
      </c>
      <c r="D61">
        <f t="shared" ca="1" si="0"/>
        <v>13.25</v>
      </c>
      <c r="E61" s="433">
        <f ca="1">VLOOKUP(DATE(YEAR(A61), MONTH(A61), 1), 'Tullet US'!$A$24:$C$32, 3, FALSE)*6.35</f>
        <v>356.86999999999989</v>
      </c>
      <c r="F61" s="433">
        <f t="shared" ca="1" si="1"/>
        <v>-9.6300000000001091</v>
      </c>
    </row>
    <row r="62" spans="1:12" ht="15" customHeight="1" x14ac:dyDescent="0.25">
      <c r="A62" s="2">
        <f t="shared" ca="1" si="2"/>
        <v>46002</v>
      </c>
      <c r="B62">
        <f ca="1">VLOOKUP(EOMONTH(A62,-1)+1,Tullet!$A$4:$D$23,2,0)</f>
        <v>366.5</v>
      </c>
      <c r="C62">
        <f ca="1">VLOOKUP(EOMONTH(A62,0)+1,Tullet!$E$58:$I$76,4,0)</f>
        <v>379.75</v>
      </c>
      <c r="D62">
        <f t="shared" ca="1" si="0"/>
        <v>13.25</v>
      </c>
      <c r="E62" s="433">
        <f ca="1">VLOOKUP(DATE(YEAR(A62), MONTH(A62), 1), 'Tullet US'!$A$24:$C$32, 3, FALSE)*6.35</f>
        <v>356.86999999999989</v>
      </c>
      <c r="F62" s="433">
        <f t="shared" ca="1" si="1"/>
        <v>-9.6300000000001091</v>
      </c>
      <c r="I62" s="618" t="s">
        <v>254</v>
      </c>
      <c r="J62" s="619" t="s">
        <v>108</v>
      </c>
      <c r="K62" s="3" t="s">
        <v>103</v>
      </c>
      <c r="L62" s="112">
        <f ca="1">'Loading Arrival'!$Q$3</f>
        <v>45918</v>
      </c>
    </row>
    <row r="63" spans="1:12" x14ac:dyDescent="0.25">
      <c r="A63" s="2">
        <f t="shared" ca="1" si="2"/>
        <v>46003</v>
      </c>
      <c r="B63">
        <f ca="1">VLOOKUP(EOMONTH(A63,-1)+1,Tullet!$A$4:$D$23,2,0)</f>
        <v>366.5</v>
      </c>
      <c r="C63">
        <f ca="1">VLOOKUP(EOMONTH(A63,0)+1,Tullet!$E$58:$I$76,4,0)</f>
        <v>379.75</v>
      </c>
      <c r="D63">
        <f t="shared" ca="1" si="0"/>
        <v>13.25</v>
      </c>
      <c r="E63" s="433">
        <f ca="1">VLOOKUP(DATE(YEAR(A63), MONTH(A63), 1), 'Tullet US'!$A$24:$C$32, 3, FALSE)*6.35</f>
        <v>356.86999999999989</v>
      </c>
      <c r="F63" s="433">
        <f t="shared" ca="1" si="1"/>
        <v>-9.6300000000001091</v>
      </c>
      <c r="I63" s="618"/>
      <c r="J63" s="620"/>
      <c r="K63" s="5" t="s">
        <v>104</v>
      </c>
      <c r="L63" s="113">
        <f ca="1">'Loading Arrival'!$Q$9</f>
        <v>45932</v>
      </c>
    </row>
    <row r="64" spans="1:12" ht="15.75" thickBot="1" x14ac:dyDescent="0.3">
      <c r="A64" s="2">
        <f t="shared" ca="1" si="2"/>
        <v>46006</v>
      </c>
      <c r="B64">
        <f ca="1">VLOOKUP(EOMONTH(A64,-1)+1,Tullet!$A$4:$D$23,2,0)</f>
        <v>366.5</v>
      </c>
      <c r="C64">
        <f ca="1">VLOOKUP(EOMONTH(A64,0)+1,Tullet!$E$58:$I$76,4,0)</f>
        <v>379.75</v>
      </c>
      <c r="D64">
        <f t="shared" ca="1" si="0"/>
        <v>13.25</v>
      </c>
      <c r="E64" s="433">
        <f ca="1">VLOOKUP(DATE(YEAR(A64), MONTH(A64), 1), 'Tullet US'!$A$24:$C$32, 3, FALSE)*6.35</f>
        <v>356.86999999999989</v>
      </c>
      <c r="F64" s="433">
        <f t="shared" ca="1" si="1"/>
        <v>-9.6300000000001091</v>
      </c>
      <c r="I64" s="618"/>
      <c r="J64" s="620"/>
      <c r="K64" s="118" t="s">
        <v>105</v>
      </c>
      <c r="L64" s="119" cm="1">
        <f t="array" aca="1" ref="L64" ca="1">SUMPRODUCT(--($A$2:$A$66&gt;=L62),--($A$2:$A$66&lt;=L63),$F$2:$F$66)/SUMPRODUCT(--($A$2:$A$66&gt;=L62),--($A$2:$A$66&lt;=L63))</f>
        <v>1.8077272727272098</v>
      </c>
    </row>
    <row r="65" spans="1:12" x14ac:dyDescent="0.25">
      <c r="A65" s="2">
        <f t="shared" ca="1" si="2"/>
        <v>46007</v>
      </c>
      <c r="B65">
        <f ca="1">VLOOKUP(EOMONTH(A65,-1)+1,Tullet!$A$4:$D$23,2,0)</f>
        <v>366.5</v>
      </c>
      <c r="C65">
        <f ca="1">VLOOKUP(EOMONTH(A65,0)+1,Tullet!$E$58:$I$76,4,0)</f>
        <v>379.75</v>
      </c>
      <c r="D65">
        <f t="shared" ca="1" si="0"/>
        <v>13.25</v>
      </c>
      <c r="E65" s="433">
        <f ca="1">VLOOKUP(DATE(YEAR(A65), MONTH(A65), 1), 'Tullet US'!$A$24:$C$32, 3, FALSE)*6.35</f>
        <v>356.86999999999989</v>
      </c>
      <c r="F65" s="433">
        <f t="shared" ca="1" si="1"/>
        <v>-9.6300000000001091</v>
      </c>
      <c r="I65" s="618"/>
      <c r="J65" s="620"/>
      <c r="K65" s="3" t="s">
        <v>106</v>
      </c>
      <c r="L65" s="116">
        <f ca="1">'Loading Arrival'!$R$3</f>
        <v>45932</v>
      </c>
    </row>
    <row r="66" spans="1:12" x14ac:dyDescent="0.25">
      <c r="A66" s="2">
        <f t="shared" ca="1" si="2"/>
        <v>46008</v>
      </c>
      <c r="B66">
        <f ca="1">VLOOKUP(EOMONTH(A66,-1)+1,Tullet!$A$4:$D$23,2,0)</f>
        <v>366.5</v>
      </c>
      <c r="C66">
        <f ca="1">VLOOKUP(EOMONTH(A66,0)+1,Tullet!$E$58:$I$76,4,0)</f>
        <v>379.75</v>
      </c>
      <c r="D66">
        <f t="shared" ca="1" si="0"/>
        <v>13.25</v>
      </c>
      <c r="E66" s="433">
        <f ca="1">VLOOKUP(DATE(YEAR(A66), MONTH(A66), 1), 'Tullet US'!$A$24:$C$32, 3, FALSE)*6.35</f>
        <v>356.86999999999989</v>
      </c>
      <c r="F66" s="433">
        <f t="shared" ca="1" si="1"/>
        <v>-9.6300000000001091</v>
      </c>
      <c r="I66" s="618"/>
      <c r="J66" s="620"/>
      <c r="K66" s="5" t="s">
        <v>104</v>
      </c>
      <c r="L66" s="117">
        <f ca="1">'Loading Arrival'!$R$9</f>
        <v>45946</v>
      </c>
    </row>
    <row r="67" spans="1:12" ht="15.75" thickBot="1" x14ac:dyDescent="0.3">
      <c r="I67" s="618"/>
      <c r="J67" s="620"/>
      <c r="K67" s="114" t="s">
        <v>105</v>
      </c>
      <c r="L67" s="115" cm="1">
        <f t="array" aca="1" ref="L67" ca="1">SUMPRODUCT(--($A$2:$A$66&gt;=L65),--($A$2:$A$66&lt;=L66),$F$2:$F$66)/SUMPRODUCT(--($A$2:$A$66&gt;=L65),--($A$2:$A$66&lt;=L66))</f>
        <v>-5.5375000000000796</v>
      </c>
    </row>
    <row r="68" spans="1:12" x14ac:dyDescent="0.25">
      <c r="I68" s="618"/>
      <c r="J68" s="620"/>
      <c r="K68" s="5" t="s">
        <v>107</v>
      </c>
      <c r="L68" s="117">
        <f ca="1">'Loading Arrival'!$S$3</f>
        <v>45946</v>
      </c>
    </row>
    <row r="69" spans="1:12" x14ac:dyDescent="0.25">
      <c r="I69" s="618"/>
      <c r="J69" s="620"/>
      <c r="K69" s="5" t="s">
        <v>104</v>
      </c>
      <c r="L69" s="117">
        <f ca="1">'Loading Arrival'!$S$9</f>
        <v>45960</v>
      </c>
    </row>
    <row r="70" spans="1:12" ht="15.75" thickBot="1" x14ac:dyDescent="0.3">
      <c r="I70" s="618"/>
      <c r="J70" s="621"/>
      <c r="K70" s="114" t="s">
        <v>105</v>
      </c>
      <c r="L70" s="115" cm="1">
        <f t="array" aca="1" ref="L70" ca="1">SUMPRODUCT(--($A$2:$A$66&gt;=L68),--($A$2:$A$66&lt;=L69),$F$2:$F$66)/SUMPRODUCT(--($A$2:$A$66&gt;=L68),--($A$2:$A$66&lt;=L69))</f>
        <v>-5.5375000000000796</v>
      </c>
    </row>
    <row r="71" spans="1:12" ht="15.75" thickBot="1" x14ac:dyDescent="0.3"/>
    <row r="72" spans="1:12" x14ac:dyDescent="0.25">
      <c r="I72" s="618" t="s">
        <v>255</v>
      </c>
      <c r="J72" s="619" t="s">
        <v>108</v>
      </c>
      <c r="K72" s="3" t="s">
        <v>103</v>
      </c>
      <c r="L72" s="112">
        <f ca="1">'Loading Arrival'!$Q$12</f>
        <v>45918</v>
      </c>
    </row>
    <row r="73" spans="1:12" x14ac:dyDescent="0.25">
      <c r="I73" s="618"/>
      <c r="J73" s="620"/>
      <c r="K73" s="5" t="s">
        <v>104</v>
      </c>
      <c r="L73" s="113">
        <f ca="1">'Loading Arrival'!$Q$18</f>
        <v>45955</v>
      </c>
    </row>
    <row r="74" spans="1:12" ht="15.75" thickBot="1" x14ac:dyDescent="0.3">
      <c r="I74" s="618"/>
      <c r="J74" s="620"/>
      <c r="K74" s="118" t="s">
        <v>105</v>
      </c>
      <c r="L74" s="119" cm="1">
        <f t="array" aca="1" ref="L74" ca="1">SUMPRODUCT(--($A$2:$A$66&gt;=L72),--($A$2:$A$66&lt;=L73),$F$2:$F$66)/SUMPRODUCT(--($A$2:$A$66&gt;=L72),--($A$2:$A$66&lt;=L73))</f>
        <v>-2.5450000000000728</v>
      </c>
    </row>
    <row r="75" spans="1:12" x14ac:dyDescent="0.25">
      <c r="I75" s="618"/>
      <c r="J75" s="620"/>
      <c r="K75" s="3" t="s">
        <v>106</v>
      </c>
      <c r="L75" s="116">
        <f ca="1">'Loading Arrival'!$R$12</f>
        <v>45932</v>
      </c>
    </row>
    <row r="76" spans="1:12" x14ac:dyDescent="0.25">
      <c r="I76" s="618"/>
      <c r="J76" s="620"/>
      <c r="K76" s="5" t="s">
        <v>104</v>
      </c>
      <c r="L76" s="117">
        <f ca="1">'Loading Arrival'!$R$18</f>
        <v>45969</v>
      </c>
    </row>
    <row r="77" spans="1:12" ht="15.75" thickBot="1" x14ac:dyDescent="0.3">
      <c r="I77" s="618"/>
      <c r="J77" s="620"/>
      <c r="K77" s="114" t="s">
        <v>105</v>
      </c>
      <c r="L77" s="115" cm="1">
        <f t="array" aca="1" ref="L77" ca="1">SUMPRODUCT(--($A$2:$A$66&gt;=L75),--($A$2:$A$66&lt;=L76),$F$2:$F$66)/SUMPRODUCT(--($A$2:$A$66&gt;=L75),--($A$2:$A$66&lt;=L76))</f>
        <v>-6.0064814814815657</v>
      </c>
    </row>
    <row r="78" spans="1:12" x14ac:dyDescent="0.25">
      <c r="I78" s="618"/>
      <c r="J78" s="620"/>
      <c r="K78" s="5" t="s">
        <v>107</v>
      </c>
      <c r="L78" s="117">
        <f ca="1">'Loading Arrival'!$S$12</f>
        <v>45946</v>
      </c>
    </row>
    <row r="79" spans="1:12" x14ac:dyDescent="0.25">
      <c r="I79" s="618"/>
      <c r="J79" s="620"/>
      <c r="K79" s="5" t="s">
        <v>104</v>
      </c>
      <c r="L79" s="117">
        <f ca="1">'Loading Arrival'!$S$18</f>
        <v>45983</v>
      </c>
    </row>
    <row r="80" spans="1:12" ht="15.75" thickBot="1" x14ac:dyDescent="0.3">
      <c r="I80" s="618"/>
      <c r="J80" s="621"/>
      <c r="K80" s="114" t="s">
        <v>105</v>
      </c>
      <c r="L80" s="115" cm="1">
        <f t="array" aca="1" ref="L80" ca="1">SUMPRODUCT(--($A$2:$A$66&gt;=L78),--($A$2:$A$66&lt;=L79),$F$2:$F$66)/SUMPRODUCT(--($A$2:$A$66&gt;=L78),--($A$2:$A$66&lt;=L79))</f>
        <v>-6.9444444444445388</v>
      </c>
    </row>
    <row r="81" spans="9:12" ht="15.75" thickBot="1" x14ac:dyDescent="0.3"/>
    <row r="82" spans="9:12" x14ac:dyDescent="0.25">
      <c r="I82" s="618" t="s">
        <v>256</v>
      </c>
      <c r="J82" s="619" t="s">
        <v>108</v>
      </c>
      <c r="K82" s="3" t="s">
        <v>103</v>
      </c>
      <c r="L82" s="112">
        <f ca="1">'Loading Arrival'!$Q$21</f>
        <v>45918</v>
      </c>
    </row>
    <row r="83" spans="9:12" x14ac:dyDescent="0.25">
      <c r="I83" s="618"/>
      <c r="J83" s="620"/>
      <c r="K83" s="5" t="s">
        <v>104</v>
      </c>
      <c r="L83" s="113">
        <f ca="1">'Loading Arrival'!$Q$27</f>
        <v>45959</v>
      </c>
    </row>
    <row r="84" spans="9:12" ht="15.75" thickBot="1" x14ac:dyDescent="0.3">
      <c r="I84" s="618"/>
      <c r="J84" s="620"/>
      <c r="K84" s="118" t="s">
        <v>105</v>
      </c>
      <c r="L84" s="119" cm="1">
        <f t="array" aca="1" ref="L84" ca="1">SUMPRODUCT(--($A$2:$A$66&gt;=L82),--($A$2:$A$66&lt;=L83),$F$2:$F$66)/SUMPRODUCT(--($A$2:$A$66&gt;=L82),--($A$2:$A$66&lt;=L83))</f>
        <v>-2.8442500000000734</v>
      </c>
    </row>
    <row r="85" spans="9:12" x14ac:dyDescent="0.25">
      <c r="I85" s="618"/>
      <c r="J85" s="620"/>
      <c r="K85" s="3" t="s">
        <v>106</v>
      </c>
      <c r="L85" s="116">
        <f ca="1">'Loading Arrival'!$R$21</f>
        <v>45932</v>
      </c>
    </row>
    <row r="86" spans="9:12" x14ac:dyDescent="0.25">
      <c r="I86" s="618"/>
      <c r="J86" s="620"/>
      <c r="K86" s="5" t="s">
        <v>104</v>
      </c>
      <c r="L86" s="117">
        <f ca="1">'Loading Arrival'!$S$27</f>
        <v>45987</v>
      </c>
    </row>
    <row r="87" spans="9:12" ht="15.75" thickBot="1" x14ac:dyDescent="0.3">
      <c r="I87" s="618"/>
      <c r="J87" s="620"/>
      <c r="K87" s="114" t="s">
        <v>105</v>
      </c>
      <c r="L87" s="115" cm="1">
        <f t="array" aca="1" ref="L87" ca="1">SUMPRODUCT(--($A$2:$A$66&gt;=L85),--($A$2:$A$66&lt;=L86),$F$2:$F$66)/SUMPRODUCT(--($A$2:$A$66&gt;=L85),--($A$2:$A$66&lt;=L86))</f>
        <v>-6.6771250000000917</v>
      </c>
    </row>
    <row r="88" spans="9:12" x14ac:dyDescent="0.25">
      <c r="I88" s="618"/>
      <c r="J88" s="620"/>
      <c r="K88" s="5" t="s">
        <v>107</v>
      </c>
      <c r="L88" s="117">
        <f ca="1">'Loading Arrival'!$S$21</f>
        <v>45946</v>
      </c>
    </row>
    <row r="89" spans="9:12" x14ac:dyDescent="0.25">
      <c r="I89" s="618"/>
      <c r="J89" s="620"/>
      <c r="K89" s="5" t="s">
        <v>104</v>
      </c>
      <c r="L89" s="117">
        <f ca="1">'Loading Arrival'!$S$27</f>
        <v>45987</v>
      </c>
    </row>
    <row r="90" spans="9:12" ht="15.75" thickBot="1" x14ac:dyDescent="0.3">
      <c r="I90" s="618"/>
      <c r="J90" s="621"/>
      <c r="K90" s="114" t="s">
        <v>105</v>
      </c>
      <c r="L90" s="115" cm="1">
        <f t="array" aca="1" ref="L90" ca="1">SUMPRODUCT(--($A$2:$A$66&gt;=L88),--($A$2:$A$66&lt;=L89),$F$2:$F$66)/SUMPRODUCT(--($A$2:$A$66&gt;=L88),--($A$2:$A$66&lt;=L89))</f>
        <v>-7.0570000000000963</v>
      </c>
    </row>
    <row r="91" spans="9:12" ht="15.75" thickBot="1" x14ac:dyDescent="0.3"/>
    <row r="92" spans="9:12" x14ac:dyDescent="0.25">
      <c r="I92" s="618" t="s">
        <v>269</v>
      </c>
      <c r="J92" s="619" t="s">
        <v>108</v>
      </c>
      <c r="K92" s="3" t="s">
        <v>103</v>
      </c>
      <c r="L92" s="112">
        <f ca="1">'Loading Arrival'!$L$21</f>
        <v>45918</v>
      </c>
    </row>
    <row r="93" spans="9:12" x14ac:dyDescent="0.25">
      <c r="I93" s="618"/>
      <c r="J93" s="620"/>
      <c r="K93" s="5" t="s">
        <v>104</v>
      </c>
      <c r="L93" s="113">
        <f ca="1">'Loading Arrival'!$L$27</f>
        <v>45934</v>
      </c>
    </row>
    <row r="94" spans="9:12" ht="15.75" thickBot="1" x14ac:dyDescent="0.3">
      <c r="I94" s="618"/>
      <c r="J94" s="620"/>
      <c r="K94" s="118" t="s">
        <v>105</v>
      </c>
      <c r="L94" s="119" cm="1">
        <f t="array" aca="1" ref="L94" ca="1">SUMPRODUCT(--($A$2:$A$66&gt;=L92),--($A$2:$A$66&lt;=L93),$F$2:$F$66)/SUMPRODUCT(--($A$2:$A$66&gt;=L92),--($A$2:$A$66&lt;=L93))</f>
        <v>1.1956249999999358</v>
      </c>
    </row>
    <row r="95" spans="9:12" x14ac:dyDescent="0.25">
      <c r="I95" s="618"/>
      <c r="J95" s="620"/>
      <c r="K95" s="3" t="s">
        <v>106</v>
      </c>
      <c r="L95" s="116">
        <f ca="1">'Loading Arrival'!$M$21</f>
        <v>45932</v>
      </c>
    </row>
    <row r="96" spans="9:12" x14ac:dyDescent="0.25">
      <c r="I96" s="618"/>
      <c r="J96" s="620"/>
      <c r="K96" s="5" t="s">
        <v>104</v>
      </c>
      <c r="L96" s="117">
        <f ca="1">'Loading Arrival'!$M$27</f>
        <v>45948</v>
      </c>
    </row>
    <row r="97" spans="9:12" ht="15.75" thickBot="1" x14ac:dyDescent="0.3">
      <c r="I97" s="618"/>
      <c r="J97" s="620"/>
      <c r="K97" s="114" t="s">
        <v>105</v>
      </c>
      <c r="L97" s="115" cm="1">
        <f t="array" aca="1" ref="L97" ca="1">SUMPRODUCT(--($A$2:$A$66&gt;=L95),--($A$2:$A$66&lt;=L96),$F$2:$F$66)/SUMPRODUCT(--($A$2:$A$66&gt;=L95),--($A$2:$A$66&lt;=L96))</f>
        <v>-5.5375000000000796</v>
      </c>
    </row>
    <row r="98" spans="9:12" x14ac:dyDescent="0.25">
      <c r="I98" s="618"/>
      <c r="J98" s="620"/>
      <c r="K98" s="5" t="s">
        <v>107</v>
      </c>
      <c r="L98" s="117">
        <f ca="1">'Loading Arrival'!$N$21</f>
        <v>45946</v>
      </c>
    </row>
    <row r="99" spans="9:12" x14ac:dyDescent="0.25">
      <c r="I99" s="618"/>
      <c r="J99" s="620"/>
      <c r="K99" s="5" t="s">
        <v>104</v>
      </c>
      <c r="L99" s="117">
        <f ca="1">'Loading Arrival'!$N$27</f>
        <v>45962</v>
      </c>
    </row>
    <row r="100" spans="9:12" ht="15.75" thickBot="1" x14ac:dyDescent="0.3">
      <c r="I100" s="618"/>
      <c r="J100" s="621"/>
      <c r="K100" s="114" t="s">
        <v>105</v>
      </c>
      <c r="L100" s="115" cm="1">
        <f t="array" aca="1" ref="L100" ca="1">SUMPRODUCT(--($A$2:$A$66&gt;=L98),--($A$2:$A$66&lt;=L99),$F$2:$F$66)/SUMPRODUCT(--($A$2:$A$66&gt;=L98),--($A$2:$A$66&lt;=L99))</f>
        <v>-5.5375000000000796</v>
      </c>
    </row>
    <row r="101" spans="9:12" ht="15.75" thickBot="1" x14ac:dyDescent="0.3"/>
    <row r="102" spans="9:12" x14ac:dyDescent="0.25">
      <c r="I102" s="618" t="s">
        <v>268</v>
      </c>
      <c r="J102" s="619" t="s">
        <v>108</v>
      </c>
      <c r="K102" s="3" t="s">
        <v>103</v>
      </c>
      <c r="L102" s="112">
        <f ca="1">'Loading Arrival'!$L$30</f>
        <v>45917</v>
      </c>
    </row>
    <row r="103" spans="9:12" x14ac:dyDescent="0.25">
      <c r="I103" s="618"/>
      <c r="J103" s="620"/>
      <c r="K103" s="5" t="s">
        <v>104</v>
      </c>
      <c r="L103" s="113">
        <f ca="1">'Loading Arrival'!$L$36</f>
        <v>45923</v>
      </c>
    </row>
    <row r="104" spans="9:12" ht="15.75" thickBot="1" x14ac:dyDescent="0.3">
      <c r="I104" s="618"/>
      <c r="J104" s="620"/>
      <c r="K104" s="118" t="s">
        <v>105</v>
      </c>
      <c r="L104" s="119" cm="1">
        <f t="array" aca="1" ref="L104" ca="1">SUMPRODUCT(--($A$2:$A$66&gt;=L102),--($A$2:$A$66&lt;=L103),$F$2:$F$66)/SUMPRODUCT(--($A$2:$A$66&gt;=L102),--($A$2:$A$66&lt;=L103))</f>
        <v>3.4399999999999409</v>
      </c>
    </row>
    <row r="105" spans="9:12" x14ac:dyDescent="0.25">
      <c r="I105" s="618"/>
      <c r="J105" s="620"/>
      <c r="K105" s="3" t="s">
        <v>106</v>
      </c>
      <c r="L105" s="116">
        <f ca="1">'Loading Arrival'!$M$30</f>
        <v>45931</v>
      </c>
    </row>
    <row r="106" spans="9:12" x14ac:dyDescent="0.25">
      <c r="I106" s="618"/>
      <c r="J106" s="620"/>
      <c r="K106" s="5" t="s">
        <v>104</v>
      </c>
      <c r="L106" s="117">
        <f ca="1">'Loading Arrival'!$M$36</f>
        <v>45937</v>
      </c>
    </row>
    <row r="107" spans="9:12" ht="15.75" thickBot="1" x14ac:dyDescent="0.3">
      <c r="I107" s="618"/>
      <c r="J107" s="620"/>
      <c r="K107" s="114" t="s">
        <v>105</v>
      </c>
      <c r="L107" s="115" cm="1">
        <f t="array" aca="1" ref="L107" ca="1">SUMPRODUCT(--($A$2:$A$66&gt;=L105),--($A$2:$A$66&lt;=L106),$F$2:$F$66)/SUMPRODUCT(--($A$2:$A$66&gt;=L105),--($A$2:$A$66&lt;=L106))</f>
        <v>-5.5375000000000796</v>
      </c>
    </row>
    <row r="108" spans="9:12" x14ac:dyDescent="0.25">
      <c r="I108" s="618"/>
      <c r="J108" s="620"/>
      <c r="K108" s="5" t="s">
        <v>107</v>
      </c>
      <c r="L108" s="117">
        <f ca="1">'Loading Arrival'!$N$30</f>
        <v>45945</v>
      </c>
    </row>
    <row r="109" spans="9:12" x14ac:dyDescent="0.25">
      <c r="I109" s="618"/>
      <c r="J109" s="620"/>
      <c r="K109" s="5" t="s">
        <v>104</v>
      </c>
      <c r="L109" s="117">
        <f ca="1">'Loading Arrival'!$N$36</f>
        <v>45951</v>
      </c>
    </row>
    <row r="110" spans="9:12" ht="15.75" thickBot="1" x14ac:dyDescent="0.3">
      <c r="I110" s="618"/>
      <c r="J110" s="621"/>
      <c r="K110" s="114" t="s">
        <v>105</v>
      </c>
      <c r="L110" s="115" cm="1">
        <f t="array" aca="1" ref="L110" ca="1">SUMPRODUCT(--($A$2:$A$66&gt;=L108),--($A$2:$A$66&lt;=L109),$F$2:$F$66)/SUMPRODUCT(--($A$2:$A$66&gt;=L108),--($A$2:$A$66&lt;=L109))</f>
        <v>-5.5375000000000796</v>
      </c>
    </row>
    <row r="111" spans="9:12" ht="15.75" thickBot="1" x14ac:dyDescent="0.3"/>
    <row r="112" spans="9:12" x14ac:dyDescent="0.25">
      <c r="I112" s="618" t="s">
        <v>266</v>
      </c>
      <c r="J112" s="619" t="s">
        <v>108</v>
      </c>
      <c r="K112" s="3" t="s">
        <v>103</v>
      </c>
      <c r="L112" s="112">
        <f ca="1">'Loading Arrival'!$L$3</f>
        <v>45918</v>
      </c>
    </row>
    <row r="113" spans="9:12" x14ac:dyDescent="0.25">
      <c r="I113" s="618"/>
      <c r="J113" s="620"/>
      <c r="K113" s="5" t="s">
        <v>104</v>
      </c>
      <c r="L113" s="113">
        <f ca="1">'Loading Arrival'!$L$9</f>
        <v>45935</v>
      </c>
    </row>
    <row r="114" spans="9:12" ht="15.75" thickBot="1" x14ac:dyDescent="0.3">
      <c r="I114" s="618"/>
      <c r="J114" s="620"/>
      <c r="K114" s="118" t="s">
        <v>105</v>
      </c>
      <c r="L114" s="119" cm="1">
        <f t="array" aca="1" ref="L114" ca="1">SUMPRODUCT(--($A$2:$A$66&gt;=L112),--($A$2:$A$66&lt;=L113),$F$2:$F$66)/SUMPRODUCT(--($A$2:$A$66&gt;=L112),--($A$2:$A$66&lt;=L113))</f>
        <v>1.1956249999999358</v>
      </c>
    </row>
    <row r="115" spans="9:12" x14ac:dyDescent="0.25">
      <c r="I115" s="618"/>
      <c r="J115" s="620"/>
      <c r="K115" s="3" t="s">
        <v>106</v>
      </c>
      <c r="L115" s="116">
        <f ca="1">'Loading Arrival'!$M$3</f>
        <v>45932</v>
      </c>
    </row>
    <row r="116" spans="9:12" x14ac:dyDescent="0.25">
      <c r="I116" s="618"/>
      <c r="J116" s="620"/>
      <c r="K116" s="5" t="s">
        <v>104</v>
      </c>
      <c r="L116" s="117">
        <f ca="1">'Loading Arrival'!$M$9</f>
        <v>45949</v>
      </c>
    </row>
    <row r="117" spans="9:12" ht="15.75" thickBot="1" x14ac:dyDescent="0.3">
      <c r="I117" s="618"/>
      <c r="J117" s="620"/>
      <c r="K117" s="114" t="s">
        <v>105</v>
      </c>
      <c r="L117" s="115" cm="1">
        <f t="array" aca="1" ref="L117" ca="1">SUMPRODUCT(--($A$2:$A$66&gt;=L115),--($A$2:$A$66&lt;=L116),$F$2:$F$66)/SUMPRODUCT(--($A$2:$A$66&gt;=L115),--($A$2:$A$66&lt;=L116))</f>
        <v>-5.5375000000000796</v>
      </c>
    </row>
    <row r="118" spans="9:12" x14ac:dyDescent="0.25">
      <c r="I118" s="618"/>
      <c r="J118" s="620"/>
      <c r="K118" s="5" t="s">
        <v>107</v>
      </c>
      <c r="L118" s="117">
        <f ca="1">'Loading Arrival'!$N$3</f>
        <v>45946</v>
      </c>
    </row>
    <row r="119" spans="9:12" x14ac:dyDescent="0.25">
      <c r="I119" s="618"/>
      <c r="J119" s="620"/>
      <c r="K119" s="5" t="s">
        <v>104</v>
      </c>
      <c r="L119" s="117">
        <f ca="1">'Loading Arrival'!$N$9</f>
        <v>45963</v>
      </c>
    </row>
    <row r="120" spans="9:12" ht="15.75" thickBot="1" x14ac:dyDescent="0.3">
      <c r="I120" s="618"/>
      <c r="J120" s="621"/>
      <c r="K120" s="114" t="s">
        <v>105</v>
      </c>
      <c r="L120" s="115" cm="1">
        <f t="array" aca="1" ref="L120" ca="1">SUMPRODUCT(--($A$2:$A$66&gt;=L118),--($A$2:$A$66&lt;=L119),$F$2:$F$66)/SUMPRODUCT(--($A$2:$A$66&gt;=L118),--($A$2:$A$66&lt;=L119))</f>
        <v>-5.5375000000000796</v>
      </c>
    </row>
    <row r="121" spans="9:12" ht="15.75" thickBot="1" x14ac:dyDescent="0.3"/>
    <row r="122" spans="9:12" x14ac:dyDescent="0.25">
      <c r="I122" s="618" t="s">
        <v>267</v>
      </c>
      <c r="J122" s="619" t="s">
        <v>108</v>
      </c>
      <c r="K122" s="3" t="s">
        <v>103</v>
      </c>
      <c r="L122" s="112">
        <f ca="1">'Loading Arrival'!$L$12</f>
        <v>45918</v>
      </c>
    </row>
    <row r="123" spans="9:12" x14ac:dyDescent="0.25">
      <c r="I123" s="618"/>
      <c r="J123" s="620"/>
      <c r="K123" s="5" t="s">
        <v>104</v>
      </c>
      <c r="L123" s="113">
        <f ca="1">'Loading Arrival'!$L$18</f>
        <v>45925</v>
      </c>
    </row>
    <row r="124" spans="9:12" ht="15.75" thickBot="1" x14ac:dyDescent="0.3">
      <c r="I124" s="618"/>
      <c r="J124" s="620"/>
      <c r="K124" s="118" t="s">
        <v>105</v>
      </c>
      <c r="L124" s="119" cm="1">
        <f t="array" aca="1" ref="L124" ca="1">SUMPRODUCT(--($A$2:$A$66&gt;=L122),--($A$2:$A$66&lt;=L123),$F$2:$F$66)/SUMPRODUCT(--($A$2:$A$66&gt;=L122),--($A$2:$A$66&lt;=L123))</f>
        <v>3.4399999999999409</v>
      </c>
    </row>
    <row r="125" spans="9:12" x14ac:dyDescent="0.25">
      <c r="I125" s="618"/>
      <c r="J125" s="620"/>
      <c r="K125" s="3" t="s">
        <v>106</v>
      </c>
      <c r="L125" s="116">
        <f ca="1">'Loading Arrival'!$M$12</f>
        <v>45932</v>
      </c>
    </row>
    <row r="126" spans="9:12" x14ac:dyDescent="0.25">
      <c r="I126" s="618"/>
      <c r="J126" s="620"/>
      <c r="K126" s="5" t="s">
        <v>104</v>
      </c>
      <c r="L126" s="117">
        <f ca="1">'Loading Arrival'!$M$18</f>
        <v>45939</v>
      </c>
    </row>
    <row r="127" spans="9:12" ht="15.75" thickBot="1" x14ac:dyDescent="0.3">
      <c r="I127" s="618"/>
      <c r="J127" s="620"/>
      <c r="K127" s="114" t="s">
        <v>105</v>
      </c>
      <c r="L127" s="115" cm="1">
        <f t="array" aca="1" ref="L127" ca="1">SUMPRODUCT(--($A$2:$A$66&gt;=L125),--($A$2:$A$66&lt;=L126),$F$2:$F$66)/SUMPRODUCT(--($A$2:$A$66&gt;=L125),--($A$2:$A$66&lt;=L126))</f>
        <v>-5.5375000000000796</v>
      </c>
    </row>
    <row r="128" spans="9:12" x14ac:dyDescent="0.25">
      <c r="I128" s="618"/>
      <c r="J128" s="620"/>
      <c r="K128" s="5" t="s">
        <v>107</v>
      </c>
      <c r="L128" s="117">
        <f ca="1">'Loading Arrival'!$N$12</f>
        <v>45946</v>
      </c>
    </row>
    <row r="129" spans="9:12" x14ac:dyDescent="0.25">
      <c r="I129" s="618"/>
      <c r="J129" s="620"/>
      <c r="K129" s="5" t="s">
        <v>104</v>
      </c>
      <c r="L129" s="117">
        <f ca="1">'Loading Arrival'!$N$18</f>
        <v>45953</v>
      </c>
    </row>
    <row r="130" spans="9:12" ht="15.75" thickBot="1" x14ac:dyDescent="0.3">
      <c r="I130" s="618"/>
      <c r="J130" s="621"/>
      <c r="K130" s="114" t="s">
        <v>105</v>
      </c>
      <c r="L130" s="115" cm="1">
        <f t="array" aca="1" ref="L130" ca="1">SUMPRODUCT(--($A$2:$A$66&gt;=L128),--($A$2:$A$66&lt;=L129),$F$2:$F$66)/SUMPRODUCT(--($A$2:$A$66&gt;=L128),--($A$2:$A$66&lt;=L129))</f>
        <v>-5.5375000000000796</v>
      </c>
    </row>
  </sheetData>
  <mergeCells count="25">
    <mergeCell ref="I122:I130"/>
    <mergeCell ref="J122:J130"/>
    <mergeCell ref="I92:I100"/>
    <mergeCell ref="J92:J100"/>
    <mergeCell ref="I102:I110"/>
    <mergeCell ref="J102:J110"/>
    <mergeCell ref="I112:I120"/>
    <mergeCell ref="J112:J120"/>
    <mergeCell ref="I62:I70"/>
    <mergeCell ref="J62:J70"/>
    <mergeCell ref="I72:I80"/>
    <mergeCell ref="J72:J80"/>
    <mergeCell ref="I82:I90"/>
    <mergeCell ref="J82:J90"/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130"/>
  <sheetViews>
    <sheetView workbookViewId="0">
      <selection activeCell="O30" sqref="O30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165</v>
      </c>
      <c r="C1" t="s">
        <v>164</v>
      </c>
      <c r="D1" t="s">
        <v>109</v>
      </c>
      <c r="E1" t="s">
        <v>221</v>
      </c>
    </row>
    <row r="2" spans="1:17" ht="15" customHeight="1" x14ac:dyDescent="0.25">
      <c r="A2" s="2">
        <f ca="1">'Loading Arrival'!B11</f>
        <v>45918</v>
      </c>
      <c r="B2">
        <f ca="1">VLOOKUP(EOMONTH(A2,-1)+1,Tullet!$N$4:$S$22,3,0)</f>
        <v>443.02505434782603</v>
      </c>
      <c r="C2">
        <f ca="1">VLOOKUP(EOMONTH(A2,0)+1,Tullet!$N$58:$S$76,3,0)</f>
        <v>468.48505434782612</v>
      </c>
      <c r="D2">
        <f ca="1">C2-B2</f>
        <v>25.460000000000093</v>
      </c>
      <c r="E2" s="433">
        <f ca="1">VLOOKUP(DATE(YEAR(A2), MONTH(A2), 1), 'Tullet US'!$V$24:$X$32, 3, FALSE)*6.35</f>
        <v>23.241</v>
      </c>
      <c r="H2" s="622" t="s">
        <v>50</v>
      </c>
      <c r="I2" s="623" t="s">
        <v>44</v>
      </c>
      <c r="J2" s="3" t="s">
        <v>103</v>
      </c>
      <c r="K2" s="112">
        <f ca="1">'Loading Arrival'!B3</f>
        <v>45925</v>
      </c>
    </row>
    <row r="3" spans="1:17" x14ac:dyDescent="0.25">
      <c r="A3" s="2">
        <f ca="1">WORKDAY(A2,1)</f>
        <v>45919</v>
      </c>
      <c r="B3">
        <f ca="1">VLOOKUP(EOMONTH(A3,-1)+1,Tullet!$N$4:$S$22,3,0)</f>
        <v>443.02505434782603</v>
      </c>
      <c r="C3">
        <f ca="1">VLOOKUP(EOMONTH(A3,0)+1,Tullet!$N$58:$S$76,3,0)</f>
        <v>468.48505434782612</v>
      </c>
      <c r="D3">
        <f t="shared" ref="D3:D66" ca="1" si="0">C3-B3</f>
        <v>25.460000000000093</v>
      </c>
      <c r="E3" s="433">
        <f ca="1">VLOOKUP(DATE(YEAR(A3), MONTH(A3), 1), 'Tullet US'!$V$24:$X$32, 3, FALSE)*6.35</f>
        <v>23.241</v>
      </c>
      <c r="H3" s="622"/>
      <c r="I3" s="624"/>
      <c r="J3" s="5" t="s">
        <v>104</v>
      </c>
      <c r="K3" s="113">
        <f ca="1">'Loading Arrival'!B9</f>
        <v>45964</v>
      </c>
    </row>
    <row r="4" spans="1:17" ht="15.75" thickBot="1" x14ac:dyDescent="0.3">
      <c r="A4" s="2">
        <f t="shared" ref="A4:A66" ca="1" si="1">WORKDAY(A3,1)</f>
        <v>45922</v>
      </c>
      <c r="B4">
        <f ca="1">VLOOKUP(EOMONTH(A4,-1)+1,Tullet!$N$4:$S$22,3,0)</f>
        <v>443.02505434782603</v>
      </c>
      <c r="C4">
        <f ca="1">VLOOKUP(EOMONTH(A4,0)+1,Tullet!$N$58:$S$76,3,0)</f>
        <v>468.48505434782612</v>
      </c>
      <c r="D4">
        <f t="shared" ca="1" si="0"/>
        <v>25.460000000000093</v>
      </c>
      <c r="E4" s="433">
        <f ca="1">VLOOKUP(DATE(YEAR(A4), MONTH(A4), 1), 'Tullet US'!$V$24:$X$32, 3, FALSE)*6.35</f>
        <v>23.241</v>
      </c>
      <c r="H4" s="622"/>
      <c r="I4" s="624"/>
      <c r="J4" s="114" t="s">
        <v>105</v>
      </c>
      <c r="K4" s="115">
        <f ca="1">SUMPRODUCT(--($A$2:$A$66&gt;=K2),--($A$2:$A$66&lt;=K3),$D$2:$D$66)/SUMPRODUCT(--($A$2:$A$66&gt;=K2),--($A$2:$A$66&lt;=K3))</f>
        <v>27.906428571428648</v>
      </c>
    </row>
    <row r="5" spans="1:17" x14ac:dyDescent="0.25">
      <c r="A5" s="2">
        <f t="shared" ca="1" si="1"/>
        <v>45923</v>
      </c>
      <c r="B5">
        <f ca="1">VLOOKUP(EOMONTH(A5,-1)+1,Tullet!$N$4:$S$22,3,0)</f>
        <v>443.02505434782603</v>
      </c>
      <c r="C5">
        <f ca="1">VLOOKUP(EOMONTH(A5,0)+1,Tullet!$N$58:$S$76,3,0)</f>
        <v>468.48505434782612</v>
      </c>
      <c r="D5">
        <f t="shared" ca="1" si="0"/>
        <v>25.460000000000093</v>
      </c>
      <c r="E5" s="433">
        <f ca="1">VLOOKUP(DATE(YEAR(A5), MONTH(A5), 1), 'Tullet US'!$V$24:$X$32, 3, FALSE)*6.35</f>
        <v>23.241</v>
      </c>
      <c r="H5" s="622"/>
      <c r="I5" s="624"/>
      <c r="J5" s="3" t="s">
        <v>106</v>
      </c>
      <c r="K5" s="116">
        <f ca="1">'Loading Arrival'!C3</f>
        <v>45939</v>
      </c>
    </row>
    <row r="6" spans="1:17" x14ac:dyDescent="0.25">
      <c r="A6" s="2">
        <f t="shared" ca="1" si="1"/>
        <v>45924</v>
      </c>
      <c r="B6">
        <f ca="1">VLOOKUP(EOMONTH(A6,-1)+1,Tullet!$N$4:$S$22,3,0)</f>
        <v>443.02505434782603</v>
      </c>
      <c r="C6">
        <f ca="1">VLOOKUP(EOMONTH(A6,0)+1,Tullet!$N$58:$S$76,3,0)</f>
        <v>468.48505434782612</v>
      </c>
      <c r="D6">
        <f t="shared" ca="1" si="0"/>
        <v>25.460000000000093</v>
      </c>
      <c r="E6" s="433">
        <f ca="1">VLOOKUP(DATE(YEAR(A6), MONTH(A6), 1), 'Tullet US'!$V$24:$X$32, 3, FALSE)*6.35</f>
        <v>23.241</v>
      </c>
      <c r="H6" s="622"/>
      <c r="I6" s="624"/>
      <c r="J6" s="5" t="s">
        <v>104</v>
      </c>
      <c r="K6" s="117">
        <f ca="1">'Loading Arrival'!C9</f>
        <v>45978</v>
      </c>
    </row>
    <row r="7" spans="1:17" ht="15.75" thickBot="1" x14ac:dyDescent="0.3">
      <c r="A7" s="2">
        <f t="shared" ca="1" si="1"/>
        <v>45925</v>
      </c>
      <c r="B7">
        <f ca="1">VLOOKUP(EOMONTH(A7,-1)+1,Tullet!$N$4:$S$22,3,0)</f>
        <v>443.02505434782603</v>
      </c>
      <c r="C7">
        <f ca="1">VLOOKUP(EOMONTH(A7,0)+1,Tullet!$N$58:$S$76,3,0)</f>
        <v>468.48505434782612</v>
      </c>
      <c r="D7">
        <f t="shared" ca="1" si="0"/>
        <v>25.460000000000093</v>
      </c>
      <c r="E7" s="433">
        <f ca="1">VLOOKUP(DATE(YEAR(A7), MONTH(A7), 1), 'Tullet US'!$V$24:$X$32, 3, FALSE)*6.35</f>
        <v>23.241</v>
      </c>
      <c r="H7" s="622"/>
      <c r="I7" s="624"/>
      <c r="J7" s="7" t="s">
        <v>105</v>
      </c>
      <c r="K7" s="111">
        <f ca="1">SUMPRODUCT(--($A$2:$A$66&gt;=K5),--($A$2:$A$66&lt;=K6),$D$2:$D$66)/SUMPRODUCT(--($A$2:$A$66&gt;=K5),--($A$2:$A$66&lt;=K6))</f>
        <v>29.192142857142933</v>
      </c>
    </row>
    <row r="8" spans="1:17" x14ac:dyDescent="0.25">
      <c r="A8" s="2">
        <f t="shared" ca="1" si="1"/>
        <v>45926</v>
      </c>
      <c r="B8">
        <f ca="1">VLOOKUP(EOMONTH(A8,-1)+1,Tullet!$N$4:$S$22,3,0)</f>
        <v>443.02505434782603</v>
      </c>
      <c r="C8">
        <f ca="1">VLOOKUP(EOMONTH(A8,0)+1,Tullet!$N$58:$S$76,3,0)</f>
        <v>468.48505434782612</v>
      </c>
      <c r="D8">
        <f t="shared" ca="1" si="0"/>
        <v>25.460000000000093</v>
      </c>
      <c r="E8" s="433">
        <f ca="1">VLOOKUP(DATE(YEAR(A8), MONTH(A8), 1), 'Tullet US'!$V$24:$X$32, 3, FALSE)*6.35</f>
        <v>23.241</v>
      </c>
      <c r="H8" s="622"/>
      <c r="I8" s="624"/>
      <c r="J8" s="3" t="s">
        <v>107</v>
      </c>
      <c r="K8" s="116">
        <f ca="1">'Loading Arrival'!D3</f>
        <v>45953</v>
      </c>
    </row>
    <row r="9" spans="1:17" x14ac:dyDescent="0.25">
      <c r="A9" s="2">
        <f t="shared" ca="1" si="1"/>
        <v>45929</v>
      </c>
      <c r="B9">
        <f ca="1">VLOOKUP(EOMONTH(A9,-1)+1,Tullet!$N$4:$S$22,3,0)</f>
        <v>443.02505434782603</v>
      </c>
      <c r="C9">
        <f ca="1">VLOOKUP(EOMONTH(A9,0)+1,Tullet!$N$58:$S$76,3,0)</f>
        <v>468.48505434782612</v>
      </c>
      <c r="D9">
        <f t="shared" ca="1" si="0"/>
        <v>25.460000000000093</v>
      </c>
      <c r="E9" s="433">
        <f ca="1">VLOOKUP(DATE(YEAR(A9), MONTH(A9), 1), 'Tullet US'!$V$24:$X$32, 3, FALSE)*6.35</f>
        <v>23.241</v>
      </c>
      <c r="H9" s="622"/>
      <c r="I9" s="624"/>
      <c r="J9" s="5" t="s">
        <v>104</v>
      </c>
      <c r="K9" s="117">
        <f ca="1">'Loading Arrival'!D9</f>
        <v>45992</v>
      </c>
    </row>
    <row r="10" spans="1:17" ht="15.75" thickBot="1" x14ac:dyDescent="0.3">
      <c r="A10" s="2">
        <f t="shared" ca="1" si="1"/>
        <v>45930</v>
      </c>
      <c r="B10">
        <f ca="1">VLOOKUP(EOMONTH(A10,-1)+1,Tullet!$N$4:$S$22,3,0)</f>
        <v>443.02505434782603</v>
      </c>
      <c r="C10">
        <f ca="1">VLOOKUP(EOMONTH(A10,0)+1,Tullet!$N$58:$S$76,3,0)</f>
        <v>468.48505434782612</v>
      </c>
      <c r="D10">
        <f t="shared" ca="1" si="0"/>
        <v>25.460000000000093</v>
      </c>
      <c r="E10" s="433">
        <f ca="1">VLOOKUP(DATE(YEAR(A10), MONTH(A10), 1), 'Tullet US'!$V$24:$X$32, 3, FALSE)*6.35</f>
        <v>23.241</v>
      </c>
      <c r="H10" s="622"/>
      <c r="I10" s="625"/>
      <c r="J10" s="114" t="s">
        <v>105</v>
      </c>
      <c r="K10" s="115">
        <f ca="1">SUMPRODUCT(--($A$2:$A$66&gt;=K8),--($A$2:$A$66&lt;=K9),$D$2:$D$66)/SUMPRODUCT(--($A$2:$A$66&gt;=K8),--($A$2:$A$66&lt;=K9))</f>
        <v>30.120714285714364</v>
      </c>
    </row>
    <row r="11" spans="1:17" ht="15.75" thickBot="1" x14ac:dyDescent="0.3">
      <c r="A11" s="2">
        <f t="shared" ca="1" si="1"/>
        <v>45931</v>
      </c>
      <c r="B11">
        <f ca="1">VLOOKUP(EOMONTH(A11,-1)+1,Tullet!$N$4:$S$22,3,0)</f>
        <v>439.27505434782603</v>
      </c>
      <c r="C11">
        <f ca="1">VLOOKUP(EOMONTH(A11,0)+1,Tullet!$N$58:$S$76,3,0)</f>
        <v>467.48505434782612</v>
      </c>
      <c r="D11">
        <f t="shared" ca="1" si="0"/>
        <v>28.210000000000093</v>
      </c>
      <c r="E11" s="433">
        <f ca="1">VLOOKUP(DATE(YEAR(A11), MONTH(A11), 1), 'Tullet US'!$V$24:$X$32, 3, FALSE)*6.35</f>
        <v>16.509999999999998</v>
      </c>
      <c r="H11" s="622"/>
      <c r="Q11" t="s">
        <v>150</v>
      </c>
    </row>
    <row r="12" spans="1:17" x14ac:dyDescent="0.25">
      <c r="A12" s="2">
        <f t="shared" ca="1" si="1"/>
        <v>45932</v>
      </c>
      <c r="B12">
        <f ca="1">VLOOKUP(EOMONTH(A12,-1)+1,Tullet!$N$4:$S$22,3,0)</f>
        <v>439.27505434782603</v>
      </c>
      <c r="C12">
        <f ca="1">VLOOKUP(EOMONTH(A12,0)+1,Tullet!$N$58:$S$76,3,0)</f>
        <v>467.48505434782612</v>
      </c>
      <c r="D12">
        <f t="shared" ca="1" si="0"/>
        <v>28.210000000000093</v>
      </c>
      <c r="E12" s="433">
        <f ca="1">VLOOKUP(DATE(YEAR(A12), MONTH(A12), 1), 'Tullet US'!$V$24:$X$32, 3, FALSE)*6.35</f>
        <v>16.509999999999998</v>
      </c>
      <c r="H12" s="622"/>
      <c r="I12" s="619" t="s">
        <v>108</v>
      </c>
      <c r="J12" s="3" t="s">
        <v>103</v>
      </c>
      <c r="K12" s="112">
        <f ca="1">'Loading Arrival'!B11</f>
        <v>45918</v>
      </c>
      <c r="P12" t="s">
        <v>149</v>
      </c>
      <c r="Q12">
        <v>-106</v>
      </c>
    </row>
    <row r="13" spans="1:17" x14ac:dyDescent="0.25">
      <c r="A13" s="2">
        <f t="shared" ca="1" si="1"/>
        <v>45933</v>
      </c>
      <c r="B13">
        <f ca="1">VLOOKUP(EOMONTH(A13,-1)+1,Tullet!$N$4:$S$22,3,0)</f>
        <v>439.27505434782603</v>
      </c>
      <c r="C13">
        <f ca="1">VLOOKUP(EOMONTH(A13,0)+1,Tullet!$N$58:$S$76,3,0)</f>
        <v>467.48505434782612</v>
      </c>
      <c r="D13">
        <f t="shared" ca="1" si="0"/>
        <v>28.210000000000093</v>
      </c>
      <c r="E13" s="433">
        <f ca="1">VLOOKUP(DATE(YEAR(A13), MONTH(A13), 1), 'Tullet US'!$V$24:$X$32, 3, FALSE)*6.35</f>
        <v>16.509999999999998</v>
      </c>
      <c r="H13" s="622"/>
      <c r="I13" s="620"/>
      <c r="J13" s="5" t="s">
        <v>104</v>
      </c>
      <c r="K13" s="113">
        <f ca="1">'Loading Arrival'!B17</f>
        <v>45956</v>
      </c>
      <c r="P13" t="s">
        <v>151</v>
      </c>
    </row>
    <row r="14" spans="1:17" ht="15.75" thickBot="1" x14ac:dyDescent="0.3">
      <c r="A14" s="2">
        <f t="shared" ca="1" si="1"/>
        <v>45936</v>
      </c>
      <c r="B14">
        <f ca="1">VLOOKUP(EOMONTH(A14,-1)+1,Tullet!$N$4:$S$22,3,0)</f>
        <v>439.27505434782603</v>
      </c>
      <c r="C14">
        <f ca="1">VLOOKUP(EOMONTH(A14,0)+1,Tullet!$N$58:$S$76,3,0)</f>
        <v>467.48505434782612</v>
      </c>
      <c r="D14">
        <f t="shared" ca="1" si="0"/>
        <v>28.210000000000093</v>
      </c>
      <c r="E14" s="433">
        <f ca="1">VLOOKUP(DATE(YEAR(A14), MONTH(A14), 1), 'Tullet US'!$V$24:$X$32, 3, FALSE)*6.35</f>
        <v>16.509999999999998</v>
      </c>
      <c r="H14" s="622"/>
      <c r="I14" s="620"/>
      <c r="J14" s="118" t="s">
        <v>105</v>
      </c>
      <c r="K14" s="119">
        <f ca="1">SUMPRODUCT(--($A$2:$A$66&gt;=K12),--($A$2:$A$66&lt;=K13),$D$2:$D$66)/SUMPRODUCT(--($A$2:$A$66&gt;=K12),--($A$2:$A$66&lt;=K13))</f>
        <v>27.293333333333411</v>
      </c>
    </row>
    <row r="15" spans="1:17" x14ac:dyDescent="0.25">
      <c r="A15" s="2">
        <f t="shared" ca="1" si="1"/>
        <v>45937</v>
      </c>
      <c r="B15">
        <f ca="1">VLOOKUP(EOMONTH(A15,-1)+1,Tullet!$N$4:$S$22,3,0)</f>
        <v>439.27505434782603</v>
      </c>
      <c r="C15">
        <f ca="1">VLOOKUP(EOMONTH(A15,0)+1,Tullet!$N$58:$S$76,3,0)</f>
        <v>467.48505434782612</v>
      </c>
      <c r="D15">
        <f t="shared" ca="1" si="0"/>
        <v>28.210000000000093</v>
      </c>
      <c r="E15" s="433">
        <f ca="1">VLOOKUP(DATE(YEAR(A15), MONTH(A15), 1), 'Tullet US'!$V$24:$X$32, 3, FALSE)*6.35</f>
        <v>16.509999999999998</v>
      </c>
      <c r="H15" s="622"/>
      <c r="I15" s="620"/>
      <c r="J15" s="3" t="s">
        <v>106</v>
      </c>
      <c r="K15" s="116">
        <f ca="1">'Loading Arrival'!C11</f>
        <v>45932</v>
      </c>
    </row>
    <row r="16" spans="1:17" x14ac:dyDescent="0.25">
      <c r="A16" s="2">
        <f t="shared" ca="1" si="1"/>
        <v>45938</v>
      </c>
      <c r="B16">
        <f ca="1">VLOOKUP(EOMONTH(A16,-1)+1,Tullet!$N$4:$S$22,3,0)</f>
        <v>439.27505434782603</v>
      </c>
      <c r="C16">
        <f ca="1">VLOOKUP(EOMONTH(A16,0)+1,Tullet!$N$58:$S$76,3,0)</f>
        <v>467.48505434782612</v>
      </c>
      <c r="D16">
        <f t="shared" ca="1" si="0"/>
        <v>28.210000000000093</v>
      </c>
      <c r="E16" s="433">
        <f ca="1">VLOOKUP(DATE(YEAR(A16), MONTH(A16), 1), 'Tullet US'!$V$24:$X$32, 3, FALSE)*6.35</f>
        <v>16.509999999999998</v>
      </c>
      <c r="H16" s="622"/>
      <c r="I16" s="620"/>
      <c r="J16" s="5" t="s">
        <v>104</v>
      </c>
      <c r="K16" s="117">
        <f ca="1">'Loading Arrival'!C17</f>
        <v>45970</v>
      </c>
    </row>
    <row r="17" spans="1:16" ht="15.75" thickBot="1" x14ac:dyDescent="0.3">
      <c r="A17" s="2">
        <f t="shared" ca="1" si="1"/>
        <v>45939</v>
      </c>
      <c r="B17">
        <f ca="1">VLOOKUP(EOMONTH(A17,-1)+1,Tullet!$N$4:$S$22,3,0)</f>
        <v>439.27505434782603</v>
      </c>
      <c r="C17">
        <f ca="1">VLOOKUP(EOMONTH(A17,0)+1,Tullet!$N$58:$S$76,3,0)</f>
        <v>467.48505434782612</v>
      </c>
      <c r="D17">
        <f t="shared" ca="1" si="0"/>
        <v>28.210000000000093</v>
      </c>
      <c r="E17" s="433">
        <f ca="1">VLOOKUP(DATE(YEAR(A17), MONTH(A17), 1), 'Tullet US'!$V$24:$X$32, 3, FALSE)*6.35</f>
        <v>16.509999999999998</v>
      </c>
      <c r="H17" s="622"/>
      <c r="I17" s="620"/>
      <c r="J17" s="114" t="s">
        <v>105</v>
      </c>
      <c r="K17" s="115">
        <f ca="1">SUMPRODUCT(--($A$2:$A$66&gt;=K15),--($A$2:$A$66&lt;=K16),$D$2:$D$66)/SUMPRODUCT(--($A$2:$A$66&gt;=K15),--($A$2:$A$66&lt;=K16))</f>
        <v>28.672962962963041</v>
      </c>
      <c r="P17" t="s">
        <v>220</v>
      </c>
    </row>
    <row r="18" spans="1:16" x14ac:dyDescent="0.25">
      <c r="A18" s="2">
        <f t="shared" ca="1" si="1"/>
        <v>45940</v>
      </c>
      <c r="B18">
        <f ca="1">VLOOKUP(EOMONTH(A18,-1)+1,Tullet!$N$4:$S$22,3,0)</f>
        <v>439.27505434782603</v>
      </c>
      <c r="C18">
        <f ca="1">VLOOKUP(EOMONTH(A18,0)+1,Tullet!$N$58:$S$76,3,0)</f>
        <v>467.48505434782612</v>
      </c>
      <c r="D18">
        <f t="shared" ca="1" si="0"/>
        <v>28.210000000000093</v>
      </c>
      <c r="E18" s="433">
        <f ca="1">VLOOKUP(DATE(YEAR(A18), MONTH(A18), 1), 'Tullet US'!$V$24:$X$32, 3, FALSE)*6.35</f>
        <v>16.509999999999998</v>
      </c>
      <c r="H18" s="622"/>
      <c r="I18" s="620"/>
      <c r="J18" s="5" t="s">
        <v>107</v>
      </c>
      <c r="K18" s="117">
        <f ca="1">'Loading Arrival'!D11</f>
        <v>45946</v>
      </c>
    </row>
    <row r="19" spans="1:16" x14ac:dyDescent="0.25">
      <c r="A19" s="2">
        <f t="shared" ca="1" si="1"/>
        <v>45943</v>
      </c>
      <c r="B19">
        <f ca="1">VLOOKUP(EOMONTH(A19,-1)+1,Tullet!$N$4:$S$22,3,0)</f>
        <v>439.27505434782603</v>
      </c>
      <c r="C19">
        <f ca="1">VLOOKUP(EOMONTH(A19,0)+1,Tullet!$N$58:$S$76,3,0)</f>
        <v>467.48505434782612</v>
      </c>
      <c r="D19">
        <f t="shared" ca="1" si="0"/>
        <v>28.210000000000093</v>
      </c>
      <c r="E19" s="433">
        <f ca="1">VLOOKUP(DATE(YEAR(A19), MONTH(A19), 1), 'Tullet US'!$V$24:$X$32, 3, FALSE)*6.35</f>
        <v>16.509999999999998</v>
      </c>
      <c r="H19" s="622"/>
      <c r="I19" s="620"/>
      <c r="J19" s="5" t="s">
        <v>104</v>
      </c>
      <c r="K19" s="117">
        <f ca="1">'Loading Arrival'!D17</f>
        <v>45984</v>
      </c>
    </row>
    <row r="20" spans="1:16" ht="15.75" thickBot="1" x14ac:dyDescent="0.3">
      <c r="A20" s="2">
        <f t="shared" ca="1" si="1"/>
        <v>45944</v>
      </c>
      <c r="B20">
        <f ca="1">VLOOKUP(EOMONTH(A20,-1)+1,Tullet!$N$4:$S$22,3,0)</f>
        <v>439.27505434782603</v>
      </c>
      <c r="C20">
        <f ca="1">VLOOKUP(EOMONTH(A20,0)+1,Tullet!$N$58:$S$76,3,0)</f>
        <v>467.48505434782612</v>
      </c>
      <c r="D20">
        <f t="shared" ca="1" si="0"/>
        <v>28.210000000000093</v>
      </c>
      <c r="E20" s="433">
        <f ca="1">VLOOKUP(DATE(YEAR(A20), MONTH(A20), 1), 'Tullet US'!$V$24:$X$32, 3, FALSE)*6.35</f>
        <v>16.509999999999998</v>
      </c>
      <c r="H20" s="622"/>
      <c r="I20" s="621"/>
      <c r="J20" s="114" t="s">
        <v>105</v>
      </c>
      <c r="K20" s="115">
        <f ca="1">SUMPRODUCT(--($A$2:$A$66&gt;=K18),--($A$2:$A$66&lt;=K19),$D$2:$D$66)/SUMPRODUCT(--($A$2:$A$66&gt;=K18),--($A$2:$A$66&lt;=K19))</f>
        <v>29.598888888888968</v>
      </c>
    </row>
    <row r="21" spans="1:16" ht="15.75" thickBot="1" x14ac:dyDescent="0.3">
      <c r="A21" s="2">
        <f t="shared" ca="1" si="1"/>
        <v>45945</v>
      </c>
      <c r="B21">
        <f ca="1">VLOOKUP(EOMONTH(A21,-1)+1,Tullet!$N$4:$S$22,3,0)</f>
        <v>439.27505434782603</v>
      </c>
      <c r="C21">
        <f ca="1">VLOOKUP(EOMONTH(A21,0)+1,Tullet!$N$58:$S$76,3,0)</f>
        <v>467.48505434782612</v>
      </c>
      <c r="D21">
        <f t="shared" ca="1" si="0"/>
        <v>28.210000000000093</v>
      </c>
      <c r="E21" s="433">
        <f ca="1">VLOOKUP(DATE(YEAR(A21), MONTH(A21), 1), 'Tullet US'!$V$24:$X$32, 3, FALSE)*6.35</f>
        <v>16.509999999999998</v>
      </c>
    </row>
    <row r="22" spans="1:16" x14ac:dyDescent="0.25">
      <c r="A22" s="2">
        <f t="shared" ca="1" si="1"/>
        <v>45946</v>
      </c>
      <c r="B22">
        <f ca="1">VLOOKUP(EOMONTH(A22,-1)+1,Tullet!$N$4:$S$22,3,0)</f>
        <v>439.27505434782603</v>
      </c>
      <c r="C22">
        <f ca="1">VLOOKUP(EOMONTH(A22,0)+1,Tullet!$N$58:$S$76,3,0)</f>
        <v>467.48505434782612</v>
      </c>
      <c r="D22">
        <f t="shared" ca="1" si="0"/>
        <v>28.210000000000093</v>
      </c>
      <c r="E22" s="433">
        <f ca="1">VLOOKUP(DATE(YEAR(A22), MONTH(A22), 1), 'Tullet US'!$V$24:$X$32, 3, FALSE)*6.35</f>
        <v>16.509999999999998</v>
      </c>
      <c r="H22" s="618" t="s">
        <v>110</v>
      </c>
      <c r="I22" s="619" t="s">
        <v>108</v>
      </c>
      <c r="J22" s="3" t="s">
        <v>103</v>
      </c>
      <c r="K22" s="112">
        <f ca="1">'Loading Arrival'!B20</f>
        <v>45918</v>
      </c>
    </row>
    <row r="23" spans="1:16" x14ac:dyDescent="0.25">
      <c r="A23" s="2">
        <f t="shared" ca="1" si="1"/>
        <v>45947</v>
      </c>
      <c r="B23">
        <f ca="1">VLOOKUP(EOMONTH(A23,-1)+1,Tullet!$N$4:$S$22,3,0)</f>
        <v>439.27505434782603</v>
      </c>
      <c r="C23">
        <f ca="1">VLOOKUP(EOMONTH(A23,0)+1,Tullet!$N$58:$S$76,3,0)</f>
        <v>467.48505434782612</v>
      </c>
      <c r="D23">
        <f t="shared" ca="1" si="0"/>
        <v>28.210000000000093</v>
      </c>
      <c r="E23" s="433">
        <f ca="1">VLOOKUP(DATE(YEAR(A23), MONTH(A23), 1), 'Tullet US'!$V$24:$X$32, 3, FALSE)*6.35</f>
        <v>16.509999999999998</v>
      </c>
      <c r="H23" s="618"/>
      <c r="I23" s="620"/>
      <c r="J23" s="5" t="s">
        <v>104</v>
      </c>
      <c r="K23" s="113">
        <f ca="1">'Loading Arrival'!B26</f>
        <v>45937</v>
      </c>
    </row>
    <row r="24" spans="1:16" ht="15.75" thickBot="1" x14ac:dyDescent="0.3">
      <c r="A24" s="2">
        <f t="shared" ca="1" si="1"/>
        <v>45950</v>
      </c>
      <c r="B24">
        <f ca="1">VLOOKUP(EOMONTH(A24,-1)+1,Tullet!$N$4:$S$22,3,0)</f>
        <v>439.27505434782603</v>
      </c>
      <c r="C24">
        <f ca="1">VLOOKUP(EOMONTH(A24,0)+1,Tullet!$N$58:$S$76,3,0)</f>
        <v>467.48505434782612</v>
      </c>
      <c r="D24">
        <f t="shared" ca="1" si="0"/>
        <v>28.210000000000093</v>
      </c>
      <c r="E24" s="433">
        <f ca="1">VLOOKUP(DATE(YEAR(A24), MONTH(A24), 1), 'Tullet US'!$V$24:$X$32, 3, FALSE)*6.35</f>
        <v>16.509999999999998</v>
      </c>
      <c r="H24" s="618"/>
      <c r="I24" s="620"/>
      <c r="J24" s="118" t="s">
        <v>105</v>
      </c>
      <c r="K24" s="119">
        <f ca="1">SUMPRODUCT(--($A$2:$A$66&gt;=K22),--($A$2:$A$66&lt;=K23),$D$2:$D$66)/SUMPRODUCT(--($A$2:$A$66&gt;=K22),--($A$2:$A$66&lt;=K23))</f>
        <v>26.442142857142951</v>
      </c>
    </row>
    <row r="25" spans="1:16" x14ac:dyDescent="0.25">
      <c r="A25" s="2">
        <f t="shared" ca="1" si="1"/>
        <v>45951</v>
      </c>
      <c r="B25">
        <f ca="1">VLOOKUP(EOMONTH(A25,-1)+1,Tullet!$N$4:$S$22,3,0)</f>
        <v>439.27505434782603</v>
      </c>
      <c r="C25">
        <f ca="1">VLOOKUP(EOMONTH(A25,0)+1,Tullet!$N$58:$S$76,3,0)</f>
        <v>467.48505434782612</v>
      </c>
      <c r="D25">
        <f t="shared" ca="1" si="0"/>
        <v>28.210000000000093</v>
      </c>
      <c r="E25" s="433">
        <f ca="1">VLOOKUP(DATE(YEAR(A25), MONTH(A25), 1), 'Tullet US'!$V$24:$X$32, 3, FALSE)*6.35</f>
        <v>16.509999999999998</v>
      </c>
      <c r="H25" s="618"/>
      <c r="I25" s="620"/>
      <c r="J25" s="3" t="s">
        <v>106</v>
      </c>
      <c r="K25" s="116">
        <f ca="1">'Loading Arrival'!C20</f>
        <v>45932</v>
      </c>
    </row>
    <row r="26" spans="1:16" x14ac:dyDescent="0.25">
      <c r="A26" s="2">
        <f t="shared" ca="1" si="1"/>
        <v>45952</v>
      </c>
      <c r="B26">
        <f ca="1">VLOOKUP(EOMONTH(A26,-1)+1,Tullet!$N$4:$S$22,3,0)</f>
        <v>439.27505434782603</v>
      </c>
      <c r="C26">
        <f ca="1">VLOOKUP(EOMONTH(A26,0)+1,Tullet!$N$58:$S$76,3,0)</f>
        <v>467.48505434782612</v>
      </c>
      <c r="D26">
        <f t="shared" ca="1" si="0"/>
        <v>28.210000000000093</v>
      </c>
      <c r="E26" s="433">
        <f ca="1">VLOOKUP(DATE(YEAR(A26), MONTH(A26), 1), 'Tullet US'!$V$24:$X$32, 3, FALSE)*6.35</f>
        <v>16.509999999999998</v>
      </c>
      <c r="H26" s="618"/>
      <c r="I26" s="620"/>
      <c r="J26" s="5" t="s">
        <v>104</v>
      </c>
      <c r="K26" s="117">
        <f ca="1">'Loading Arrival'!C26</f>
        <v>45951</v>
      </c>
    </row>
    <row r="27" spans="1:16" ht="15.75" thickBot="1" x14ac:dyDescent="0.3">
      <c r="A27" s="2">
        <f t="shared" ca="1" si="1"/>
        <v>45953</v>
      </c>
      <c r="B27">
        <f ca="1">VLOOKUP(EOMONTH(A27,-1)+1,Tullet!$N$4:$S$22,3,0)</f>
        <v>439.27505434782603</v>
      </c>
      <c r="C27">
        <f ca="1">VLOOKUP(EOMONTH(A27,0)+1,Tullet!$N$58:$S$76,3,0)</f>
        <v>467.48505434782612</v>
      </c>
      <c r="D27">
        <f t="shared" ca="1" si="0"/>
        <v>28.210000000000093</v>
      </c>
      <c r="E27" s="433">
        <f ca="1">VLOOKUP(DATE(YEAR(A27), MONTH(A27), 1), 'Tullet US'!$V$24:$X$32, 3, FALSE)*6.35</f>
        <v>16.509999999999998</v>
      </c>
      <c r="H27" s="618"/>
      <c r="I27" s="620"/>
      <c r="J27" s="114" t="s">
        <v>105</v>
      </c>
      <c r="K27" s="115">
        <f ca="1">SUMPRODUCT(--($A$2:$A$66&gt;=K25),--($A$2:$A$66&lt;=K26),$D$2:$D$66)/SUMPRODUCT(--($A$2:$A$66&gt;=K25),--($A$2:$A$66&lt;=K26))</f>
        <v>28.210000000000093</v>
      </c>
    </row>
    <row r="28" spans="1:16" x14ac:dyDescent="0.25">
      <c r="A28" s="2">
        <f t="shared" ca="1" si="1"/>
        <v>45954</v>
      </c>
      <c r="B28">
        <f ca="1">VLOOKUP(EOMONTH(A28,-1)+1,Tullet!$N$4:$S$22,3,0)</f>
        <v>439.27505434782603</v>
      </c>
      <c r="C28">
        <f ca="1">VLOOKUP(EOMONTH(A28,0)+1,Tullet!$N$58:$S$76,3,0)</f>
        <v>467.48505434782612</v>
      </c>
      <c r="D28">
        <f t="shared" ca="1" si="0"/>
        <v>28.210000000000093</v>
      </c>
      <c r="E28" s="433">
        <f ca="1">VLOOKUP(DATE(YEAR(A28), MONTH(A28), 1), 'Tullet US'!$V$24:$X$32, 3, FALSE)*6.35</f>
        <v>16.509999999999998</v>
      </c>
      <c r="H28" s="618"/>
      <c r="I28" s="620"/>
      <c r="J28" s="5" t="s">
        <v>107</v>
      </c>
      <c r="K28" s="117">
        <f ca="1">'Loading Arrival'!D20</f>
        <v>45946</v>
      </c>
    </row>
    <row r="29" spans="1:16" x14ac:dyDescent="0.25">
      <c r="A29" s="2">
        <f t="shared" ca="1" si="1"/>
        <v>45957</v>
      </c>
      <c r="B29">
        <f ca="1">VLOOKUP(EOMONTH(A29,-1)+1,Tullet!$N$4:$S$22,3,0)</f>
        <v>439.27505434782603</v>
      </c>
      <c r="C29">
        <f ca="1">VLOOKUP(EOMONTH(A29,0)+1,Tullet!$N$58:$S$76,3,0)</f>
        <v>467.48505434782612</v>
      </c>
      <c r="D29">
        <f t="shared" ca="1" si="0"/>
        <v>28.210000000000093</v>
      </c>
      <c r="E29" s="433">
        <f ca="1">VLOOKUP(DATE(YEAR(A29), MONTH(A29), 1), 'Tullet US'!$V$24:$X$32, 3, FALSE)*6.35</f>
        <v>16.509999999999998</v>
      </c>
      <c r="H29" s="618"/>
      <c r="I29" s="620"/>
      <c r="J29" s="5" t="s">
        <v>104</v>
      </c>
      <c r="K29" s="117">
        <f ca="1">'Loading Arrival'!D26</f>
        <v>45965</v>
      </c>
    </row>
    <row r="30" spans="1:16" ht="15.75" thickBot="1" x14ac:dyDescent="0.3">
      <c r="A30" s="2">
        <f t="shared" ca="1" si="1"/>
        <v>45958</v>
      </c>
      <c r="B30">
        <f ca="1">VLOOKUP(EOMONTH(A30,-1)+1,Tullet!$N$4:$S$22,3,0)</f>
        <v>439.27505434782603</v>
      </c>
      <c r="C30">
        <f ca="1">VLOOKUP(EOMONTH(A30,0)+1,Tullet!$N$58:$S$76,3,0)</f>
        <v>467.48505434782612</v>
      </c>
      <c r="D30">
        <f t="shared" ca="1" si="0"/>
        <v>28.210000000000093</v>
      </c>
      <c r="E30" s="433">
        <f ca="1">VLOOKUP(DATE(YEAR(A30), MONTH(A30), 1), 'Tullet US'!$V$24:$X$32, 3, FALSE)*6.35</f>
        <v>16.509999999999998</v>
      </c>
      <c r="H30" s="618"/>
      <c r="I30" s="621"/>
      <c r="J30" s="114" t="s">
        <v>105</v>
      </c>
      <c r="K30" s="115">
        <f ca="1">SUMPRODUCT(--($A$2:$A$66&gt;=K28),--($A$2:$A$66&lt;=K29),$D$2:$D$66)/SUMPRODUCT(--($A$2:$A$66&gt;=K28),--($A$2:$A$66&lt;=K29))</f>
        <v>28.567142857142951</v>
      </c>
    </row>
    <row r="31" spans="1:16" ht="15.75" thickBot="1" x14ac:dyDescent="0.3">
      <c r="A31" s="2">
        <f t="shared" ca="1" si="1"/>
        <v>45959</v>
      </c>
      <c r="B31">
        <f ca="1">VLOOKUP(EOMONTH(A31,-1)+1,Tullet!$N$4:$S$22,3,0)</f>
        <v>439.27505434782603</v>
      </c>
      <c r="C31">
        <f ca="1">VLOOKUP(EOMONTH(A31,0)+1,Tullet!$N$58:$S$76,3,0)</f>
        <v>467.48505434782612</v>
      </c>
      <c r="D31">
        <f t="shared" ca="1" si="0"/>
        <v>28.210000000000093</v>
      </c>
      <c r="E31" s="433">
        <f ca="1">VLOOKUP(DATE(YEAR(A31), MONTH(A31), 1), 'Tullet US'!$V$24:$X$32, 3, FALSE)*6.35</f>
        <v>16.509999999999998</v>
      </c>
    </row>
    <row r="32" spans="1:16" x14ac:dyDescent="0.25">
      <c r="A32" s="2">
        <f t="shared" ca="1" si="1"/>
        <v>45960</v>
      </c>
      <c r="B32">
        <f ca="1">VLOOKUP(EOMONTH(A32,-1)+1,Tullet!$N$4:$S$22,3,0)</f>
        <v>439.27505434782603</v>
      </c>
      <c r="C32">
        <f ca="1">VLOOKUP(EOMONTH(A32,0)+1,Tullet!$N$58:$S$76,3,0)</f>
        <v>467.48505434782612</v>
      </c>
      <c r="D32">
        <f t="shared" ca="1" si="0"/>
        <v>28.210000000000093</v>
      </c>
      <c r="E32" s="433">
        <f ca="1">VLOOKUP(DATE(YEAR(A32), MONTH(A32), 1), 'Tullet US'!$V$24:$X$32, 3, FALSE)*6.35</f>
        <v>16.509999999999998</v>
      </c>
      <c r="H32" s="618" t="s">
        <v>111</v>
      </c>
      <c r="I32" s="619" t="s">
        <v>108</v>
      </c>
      <c r="J32" s="3" t="s">
        <v>103</v>
      </c>
      <c r="K32" s="112">
        <f ca="1">'Loading Arrival'!B29</f>
        <v>45918</v>
      </c>
    </row>
    <row r="33" spans="1:11" x14ac:dyDescent="0.25">
      <c r="A33" s="2">
        <f t="shared" ca="1" si="1"/>
        <v>45961</v>
      </c>
      <c r="B33">
        <f ca="1">VLOOKUP(EOMONTH(A33,-1)+1,Tullet!$N$4:$S$22,3,0)</f>
        <v>439.27505434782603</v>
      </c>
      <c r="C33">
        <f ca="1">VLOOKUP(EOMONTH(A33,0)+1,Tullet!$N$58:$S$76,3,0)</f>
        <v>467.48505434782612</v>
      </c>
      <c r="D33">
        <f t="shared" ca="1" si="0"/>
        <v>28.210000000000093</v>
      </c>
      <c r="E33" s="433">
        <f ca="1">VLOOKUP(DATE(YEAR(A33), MONTH(A33), 1), 'Tullet US'!$V$24:$X$32, 3, FALSE)*6.35</f>
        <v>16.509999999999998</v>
      </c>
      <c r="H33" s="618"/>
      <c r="I33" s="620"/>
      <c r="J33" s="5" t="s">
        <v>104</v>
      </c>
      <c r="K33" s="113">
        <f ca="1">'Loading Arrival'!B35</f>
        <v>45953</v>
      </c>
    </row>
    <row r="34" spans="1:11" ht="15.75" thickBot="1" x14ac:dyDescent="0.3">
      <c r="A34" s="2">
        <f t="shared" ca="1" si="1"/>
        <v>45964</v>
      </c>
      <c r="B34">
        <f ca="1">VLOOKUP(EOMONTH(A34,-1)+1,Tullet!$N$4:$S$22,3,0)</f>
        <v>435.52505434782603</v>
      </c>
      <c r="C34">
        <f ca="1">VLOOKUP(EOMONTH(A34,0)+1,Tullet!$N$58:$S$76,3,0)</f>
        <v>466.23505434782612</v>
      </c>
      <c r="D34">
        <f t="shared" ca="1" si="0"/>
        <v>30.710000000000093</v>
      </c>
      <c r="E34" s="433">
        <f ca="1">VLOOKUP(DATE(YEAR(A34), MONTH(A34), 1), 'Tullet US'!$V$24:$X$32, 3, FALSE)*6.35</f>
        <v>16.192499999999999</v>
      </c>
      <c r="H34" s="618"/>
      <c r="I34" s="620"/>
      <c r="J34" s="118" t="s">
        <v>105</v>
      </c>
      <c r="K34" s="119">
        <f ca="1">SUMPRODUCT(--($A$2:$A$66&gt;=K32),--($A$2:$A$66&lt;=K33),$D$2:$D$66)/SUMPRODUCT(--($A$2:$A$66&gt;=K32),--($A$2:$A$66&lt;=K33))</f>
        <v>27.258076923077002</v>
      </c>
    </row>
    <row r="35" spans="1:11" x14ac:dyDescent="0.25">
      <c r="A35" s="2">
        <f t="shared" ca="1" si="1"/>
        <v>45965</v>
      </c>
      <c r="B35">
        <f ca="1">VLOOKUP(EOMONTH(A35,-1)+1,Tullet!$N$4:$S$22,3,0)</f>
        <v>435.52505434782603</v>
      </c>
      <c r="C35">
        <f ca="1">VLOOKUP(EOMONTH(A35,0)+1,Tullet!$N$58:$S$76,3,0)</f>
        <v>466.23505434782612</v>
      </c>
      <c r="D35">
        <f t="shared" ca="1" si="0"/>
        <v>30.710000000000093</v>
      </c>
      <c r="E35" s="433">
        <f ca="1">VLOOKUP(DATE(YEAR(A35), MONTH(A35), 1), 'Tullet US'!$V$24:$X$32, 3, FALSE)*6.35</f>
        <v>16.192499999999999</v>
      </c>
      <c r="H35" s="618"/>
      <c r="I35" s="620"/>
      <c r="J35" s="3" t="s">
        <v>106</v>
      </c>
      <c r="K35" s="116">
        <f ca="1">'Loading Arrival'!C29</f>
        <v>45932</v>
      </c>
    </row>
    <row r="36" spans="1:11" x14ac:dyDescent="0.25">
      <c r="A36" s="2">
        <f t="shared" ca="1" si="1"/>
        <v>45966</v>
      </c>
      <c r="B36">
        <f ca="1">VLOOKUP(EOMONTH(A36,-1)+1,Tullet!$N$4:$S$22,3,0)</f>
        <v>435.52505434782603</v>
      </c>
      <c r="C36">
        <f ca="1">VLOOKUP(EOMONTH(A36,0)+1,Tullet!$N$58:$S$76,3,0)</f>
        <v>466.23505434782612</v>
      </c>
      <c r="D36">
        <f t="shared" ca="1" si="0"/>
        <v>30.710000000000093</v>
      </c>
      <c r="E36" s="433">
        <f ca="1">VLOOKUP(DATE(YEAR(A36), MONTH(A36), 1), 'Tullet US'!$V$24:$X$32, 3, FALSE)*6.35</f>
        <v>16.192499999999999</v>
      </c>
      <c r="H36" s="618"/>
      <c r="I36" s="620"/>
      <c r="J36" s="5" t="s">
        <v>104</v>
      </c>
      <c r="K36" s="117">
        <f ca="1">'Loading Arrival'!C35</f>
        <v>45967</v>
      </c>
    </row>
    <row r="37" spans="1:11" ht="15.75" thickBot="1" x14ac:dyDescent="0.3">
      <c r="A37" s="2">
        <f t="shared" ca="1" si="1"/>
        <v>45967</v>
      </c>
      <c r="B37">
        <f ca="1">VLOOKUP(EOMONTH(A37,-1)+1,Tullet!$N$4:$S$22,3,0)</f>
        <v>435.52505434782603</v>
      </c>
      <c r="C37">
        <f ca="1">VLOOKUP(EOMONTH(A37,0)+1,Tullet!$N$58:$S$76,3,0)</f>
        <v>466.23505434782612</v>
      </c>
      <c r="D37">
        <f t="shared" ca="1" si="0"/>
        <v>30.710000000000093</v>
      </c>
      <c r="E37" s="433">
        <f ca="1">VLOOKUP(DATE(YEAR(A37), MONTH(A37), 1), 'Tullet US'!$V$24:$X$32, 3, FALSE)*6.35</f>
        <v>16.192499999999999</v>
      </c>
      <c r="H37" s="618"/>
      <c r="I37" s="620"/>
      <c r="J37" s="114" t="s">
        <v>105</v>
      </c>
      <c r="K37" s="115">
        <f ca="1">SUMPRODUCT(--($A$2:$A$66&gt;=K35),--($A$2:$A$66&lt;=K36),$D$2:$D$66)/SUMPRODUCT(--($A$2:$A$66&gt;=K35),--($A$2:$A$66&lt;=K36))</f>
        <v>28.594615384615466</v>
      </c>
    </row>
    <row r="38" spans="1:11" x14ac:dyDescent="0.25">
      <c r="A38" s="2">
        <f ca="1">WORKDAY(A37,1)</f>
        <v>45968</v>
      </c>
      <c r="B38">
        <f ca="1">VLOOKUP(EOMONTH(A38,-1)+1,Tullet!$N$4:$S$22,3,0)</f>
        <v>435.52505434782603</v>
      </c>
      <c r="C38">
        <f ca="1">VLOOKUP(EOMONTH(A38,0)+1,Tullet!$N$58:$S$76,3,0)</f>
        <v>466.23505434782612</v>
      </c>
      <c r="D38">
        <f t="shared" ca="1" si="0"/>
        <v>30.710000000000093</v>
      </c>
      <c r="E38" s="433">
        <f ca="1">VLOOKUP(DATE(YEAR(A38), MONTH(A38), 1), 'Tullet US'!$V$24:$X$32, 3, FALSE)*6.35</f>
        <v>16.192499999999999</v>
      </c>
      <c r="H38" s="618"/>
      <c r="I38" s="620"/>
      <c r="J38" s="5" t="s">
        <v>107</v>
      </c>
      <c r="K38" s="117">
        <f ca="1">'Loading Arrival'!D29</f>
        <v>45946</v>
      </c>
    </row>
    <row r="39" spans="1:11" x14ac:dyDescent="0.25">
      <c r="A39" s="2">
        <f t="shared" ca="1" si="1"/>
        <v>45971</v>
      </c>
      <c r="B39">
        <f ca="1">VLOOKUP(EOMONTH(A39,-1)+1,Tullet!$N$4:$S$22,3,0)</f>
        <v>435.52505434782603</v>
      </c>
      <c r="C39">
        <f ca="1">VLOOKUP(EOMONTH(A39,0)+1,Tullet!$N$58:$S$76,3,0)</f>
        <v>466.23505434782612</v>
      </c>
      <c r="D39">
        <f t="shared" ca="1" si="0"/>
        <v>30.710000000000093</v>
      </c>
      <c r="E39" s="433">
        <f ca="1">VLOOKUP(DATE(YEAR(A39), MONTH(A39), 1), 'Tullet US'!$V$24:$X$32, 3, FALSE)*6.35</f>
        <v>16.192499999999999</v>
      </c>
      <c r="H39" s="618"/>
      <c r="I39" s="620"/>
      <c r="J39" s="5" t="s">
        <v>104</v>
      </c>
      <c r="K39" s="117">
        <f ca="1">'Loading Arrival'!D35</f>
        <v>45981</v>
      </c>
    </row>
    <row r="40" spans="1:11" ht="15.75" thickBot="1" x14ac:dyDescent="0.3">
      <c r="A40" s="2">
        <f t="shared" ca="1" si="1"/>
        <v>45972</v>
      </c>
      <c r="B40">
        <f ca="1">VLOOKUP(EOMONTH(A40,-1)+1,Tullet!$N$4:$S$22,3,0)</f>
        <v>435.52505434782603</v>
      </c>
      <c r="C40">
        <f ca="1">VLOOKUP(EOMONTH(A40,0)+1,Tullet!$N$58:$S$76,3,0)</f>
        <v>466.23505434782612</v>
      </c>
      <c r="D40">
        <f t="shared" ca="1" si="0"/>
        <v>30.710000000000093</v>
      </c>
      <c r="E40" s="433">
        <f ca="1">VLOOKUP(DATE(YEAR(A40), MONTH(A40), 1), 'Tullet US'!$V$24:$X$32, 3, FALSE)*6.35</f>
        <v>16.192499999999999</v>
      </c>
      <c r="H40" s="618"/>
      <c r="I40" s="621"/>
      <c r="J40" s="114" t="s">
        <v>105</v>
      </c>
      <c r="K40" s="115">
        <f ca="1">SUMPRODUCT(--($A$2:$A$66&gt;=K38),--($A$2:$A$66&lt;=K39),$D$2:$D$66)/SUMPRODUCT(--($A$2:$A$66&gt;=K38),--($A$2:$A$66&lt;=K39))</f>
        <v>29.556153846153926</v>
      </c>
    </row>
    <row r="41" spans="1:11" ht="15.75" thickBot="1" x14ac:dyDescent="0.3">
      <c r="A41" s="2">
        <f t="shared" ca="1" si="1"/>
        <v>45973</v>
      </c>
      <c r="B41">
        <f ca="1">VLOOKUP(EOMONTH(A41,-1)+1,Tullet!$N$4:$S$22,3,0)</f>
        <v>435.52505434782603</v>
      </c>
      <c r="C41">
        <f ca="1">VLOOKUP(EOMONTH(A41,0)+1,Tullet!$N$58:$S$76,3,0)</f>
        <v>466.23505434782612</v>
      </c>
      <c r="D41">
        <f t="shared" ca="1" si="0"/>
        <v>30.710000000000093</v>
      </c>
      <c r="E41" s="433">
        <f ca="1">VLOOKUP(DATE(YEAR(A41), MONTH(A41), 1), 'Tullet US'!$V$24:$X$32, 3, FALSE)*6.35</f>
        <v>16.192499999999999</v>
      </c>
    </row>
    <row r="42" spans="1:11" x14ac:dyDescent="0.25">
      <c r="A42" s="2">
        <f t="shared" ca="1" si="1"/>
        <v>45974</v>
      </c>
      <c r="B42">
        <f ca="1">VLOOKUP(EOMONTH(A42,-1)+1,Tullet!$N$4:$S$22,3,0)</f>
        <v>435.52505434782603</v>
      </c>
      <c r="C42">
        <f ca="1">VLOOKUP(EOMONTH(A42,0)+1,Tullet!$N$58:$S$76,3,0)</f>
        <v>466.23505434782612</v>
      </c>
      <c r="D42">
        <f t="shared" ca="1" si="0"/>
        <v>30.710000000000093</v>
      </c>
      <c r="E42" s="433">
        <f ca="1">VLOOKUP(DATE(YEAR(A42), MONTH(A42), 1), 'Tullet US'!$V$24:$X$32, 3, FALSE)*6.35</f>
        <v>16.192499999999999</v>
      </c>
      <c r="H42" s="618" t="s">
        <v>112</v>
      </c>
      <c r="I42" s="619" t="s">
        <v>108</v>
      </c>
      <c r="J42" s="3" t="s">
        <v>103</v>
      </c>
      <c r="K42" s="112">
        <f ca="1">'Loading Arrival'!B38</f>
        <v>45918</v>
      </c>
    </row>
    <row r="43" spans="1:11" x14ac:dyDescent="0.25">
      <c r="A43" s="2">
        <f t="shared" ca="1" si="1"/>
        <v>45975</v>
      </c>
      <c r="B43">
        <f ca="1">VLOOKUP(EOMONTH(A43,-1)+1,Tullet!$N$4:$S$22,3,0)</f>
        <v>435.52505434782603</v>
      </c>
      <c r="C43">
        <f ca="1">VLOOKUP(EOMONTH(A43,0)+1,Tullet!$N$58:$S$76,3,0)</f>
        <v>466.23505434782612</v>
      </c>
      <c r="D43">
        <f t="shared" ca="1" si="0"/>
        <v>30.710000000000093</v>
      </c>
      <c r="E43" s="433">
        <f ca="1">VLOOKUP(DATE(YEAR(A43), MONTH(A43), 1), 'Tullet US'!$V$24:$X$32, 3, FALSE)*6.35</f>
        <v>16.192499999999999</v>
      </c>
      <c r="H43" s="618"/>
      <c r="I43" s="620"/>
      <c r="J43" s="5" t="s">
        <v>104</v>
      </c>
      <c r="K43" s="113">
        <f ca="1">'Loading Arrival'!B44</f>
        <v>45930</v>
      </c>
    </row>
    <row r="44" spans="1:11" ht="15.75" thickBot="1" x14ac:dyDescent="0.3">
      <c r="A44" s="2">
        <f t="shared" ca="1" si="1"/>
        <v>45978</v>
      </c>
      <c r="B44">
        <f ca="1">VLOOKUP(EOMONTH(A44,-1)+1,Tullet!$N$4:$S$22,3,0)</f>
        <v>435.52505434782603</v>
      </c>
      <c r="C44">
        <f ca="1">VLOOKUP(EOMONTH(A44,0)+1,Tullet!$N$58:$S$76,3,0)</f>
        <v>466.23505434782612</v>
      </c>
      <c r="D44">
        <f t="shared" ca="1" si="0"/>
        <v>30.710000000000093</v>
      </c>
      <c r="E44" s="433">
        <f ca="1">VLOOKUP(DATE(YEAR(A44), MONTH(A44), 1), 'Tullet US'!$V$24:$X$32, 3, FALSE)*6.35</f>
        <v>16.192499999999999</v>
      </c>
      <c r="H44" s="618"/>
      <c r="I44" s="620"/>
      <c r="J44" s="118" t="s">
        <v>105</v>
      </c>
      <c r="K44" s="119">
        <f ca="1">SUMPRODUCT(--($A$2:$A$66&gt;=K42),--($A$2:$A$66&lt;=K43),$D$2:$D$66)/SUMPRODUCT(--($A$2:$A$66&gt;=K42),--($A$2:$A$66&lt;=K43))</f>
        <v>25.460000000000093</v>
      </c>
    </row>
    <row r="45" spans="1:11" x14ac:dyDescent="0.25">
      <c r="A45" s="2">
        <f t="shared" ca="1" si="1"/>
        <v>45979</v>
      </c>
      <c r="B45">
        <f ca="1">VLOOKUP(EOMONTH(A45,-1)+1,Tullet!$N$4:$S$22,3,0)</f>
        <v>435.52505434782603</v>
      </c>
      <c r="C45">
        <f ca="1">VLOOKUP(EOMONTH(A45,0)+1,Tullet!$N$58:$S$76,3,0)</f>
        <v>466.23505434782612</v>
      </c>
      <c r="D45">
        <f t="shared" ca="1" si="0"/>
        <v>30.710000000000093</v>
      </c>
      <c r="E45" s="433">
        <f ca="1">VLOOKUP(DATE(YEAR(A45), MONTH(A45), 1), 'Tullet US'!$V$24:$X$32, 3, FALSE)*6.35</f>
        <v>16.192499999999999</v>
      </c>
      <c r="H45" s="618"/>
      <c r="I45" s="620"/>
      <c r="J45" s="3" t="s">
        <v>106</v>
      </c>
      <c r="K45" s="116">
        <f ca="1">'Loading Arrival'!C38</f>
        <v>45932</v>
      </c>
    </row>
    <row r="46" spans="1:11" x14ac:dyDescent="0.25">
      <c r="A46" s="2">
        <f t="shared" ca="1" si="1"/>
        <v>45980</v>
      </c>
      <c r="B46">
        <f ca="1">VLOOKUP(EOMONTH(A46,-1)+1,Tullet!$N$4:$S$22,3,0)</f>
        <v>435.52505434782603</v>
      </c>
      <c r="C46">
        <f ca="1">VLOOKUP(EOMONTH(A46,0)+1,Tullet!$N$58:$S$76,3,0)</f>
        <v>466.23505434782612</v>
      </c>
      <c r="D46">
        <f t="shared" ca="1" si="0"/>
        <v>30.710000000000093</v>
      </c>
      <c r="E46" s="433">
        <f ca="1">VLOOKUP(DATE(YEAR(A46), MONTH(A46), 1), 'Tullet US'!$V$24:$X$32, 3, FALSE)*6.35</f>
        <v>16.192499999999999</v>
      </c>
      <c r="H46" s="618"/>
      <c r="I46" s="620"/>
      <c r="J46" s="5" t="s">
        <v>104</v>
      </c>
      <c r="K46" s="117">
        <f ca="1">'Loading Arrival'!C44</f>
        <v>45944</v>
      </c>
    </row>
    <row r="47" spans="1:11" ht="15.75" thickBot="1" x14ac:dyDescent="0.3">
      <c r="A47" s="2">
        <f t="shared" ca="1" si="1"/>
        <v>45981</v>
      </c>
      <c r="B47">
        <f ca="1">VLOOKUP(EOMONTH(A47,-1)+1,Tullet!$N$4:$S$22,3,0)</f>
        <v>435.52505434782603</v>
      </c>
      <c r="C47">
        <f ca="1">VLOOKUP(EOMONTH(A47,0)+1,Tullet!$N$58:$S$76,3,0)</f>
        <v>466.23505434782612</v>
      </c>
      <c r="D47">
        <f t="shared" ca="1" si="0"/>
        <v>30.710000000000093</v>
      </c>
      <c r="E47" s="433">
        <f ca="1">VLOOKUP(DATE(YEAR(A47), MONTH(A47), 1), 'Tullet US'!$V$24:$X$32, 3, FALSE)*6.35</f>
        <v>16.192499999999999</v>
      </c>
      <c r="H47" s="618"/>
      <c r="I47" s="620"/>
      <c r="J47" s="114" t="s">
        <v>105</v>
      </c>
      <c r="K47" s="115">
        <f ca="1">SUMPRODUCT(--($A$2:$A$66&gt;=K45),--($A$2:$A$66&lt;=K46),$D$2:$D$66)/SUMPRODUCT(--($A$2:$A$66&gt;=K45),--($A$2:$A$66&lt;=K46))</f>
        <v>28.210000000000093</v>
      </c>
    </row>
    <row r="48" spans="1:11" x14ac:dyDescent="0.25">
      <c r="A48" s="2">
        <f t="shared" ca="1" si="1"/>
        <v>45982</v>
      </c>
      <c r="B48">
        <f ca="1">VLOOKUP(EOMONTH(A48,-1)+1,Tullet!$N$4:$S$22,3,0)</f>
        <v>435.52505434782603</v>
      </c>
      <c r="C48">
        <f ca="1">VLOOKUP(EOMONTH(A48,0)+1,Tullet!$N$58:$S$76,3,0)</f>
        <v>466.23505434782612</v>
      </c>
      <c r="D48">
        <f t="shared" ca="1" si="0"/>
        <v>30.710000000000093</v>
      </c>
      <c r="E48" s="433">
        <f ca="1">VLOOKUP(DATE(YEAR(A48), MONTH(A48), 1), 'Tullet US'!$V$24:$X$32, 3, FALSE)*6.35</f>
        <v>16.192499999999999</v>
      </c>
      <c r="H48" s="618"/>
      <c r="I48" s="620"/>
      <c r="J48" s="5" t="s">
        <v>107</v>
      </c>
      <c r="K48" s="117">
        <f ca="1">'Loading Arrival'!D38</f>
        <v>45946</v>
      </c>
    </row>
    <row r="49" spans="1:11" x14ac:dyDescent="0.25">
      <c r="A49" s="2">
        <f t="shared" ca="1" si="1"/>
        <v>45985</v>
      </c>
      <c r="B49">
        <f ca="1">VLOOKUP(EOMONTH(A49,-1)+1,Tullet!$N$4:$S$22,3,0)</f>
        <v>435.52505434782603</v>
      </c>
      <c r="C49">
        <f ca="1">VLOOKUP(EOMONTH(A49,0)+1,Tullet!$N$58:$S$76,3,0)</f>
        <v>466.23505434782612</v>
      </c>
      <c r="D49">
        <f t="shared" ca="1" si="0"/>
        <v>30.710000000000093</v>
      </c>
      <c r="E49" s="433">
        <f ca="1">VLOOKUP(DATE(YEAR(A49), MONTH(A49), 1), 'Tullet US'!$V$24:$X$32, 3, FALSE)*6.35</f>
        <v>16.192499999999999</v>
      </c>
      <c r="H49" s="618"/>
      <c r="I49" s="620"/>
      <c r="J49" s="5" t="s">
        <v>104</v>
      </c>
      <c r="K49" s="117">
        <f ca="1">'Loading Arrival'!D44</f>
        <v>45958</v>
      </c>
    </row>
    <row r="50" spans="1:11" ht="15.75" thickBot="1" x14ac:dyDescent="0.3">
      <c r="A50" s="2">
        <f t="shared" ca="1" si="1"/>
        <v>45986</v>
      </c>
      <c r="B50">
        <f ca="1">VLOOKUP(EOMONTH(A50,-1)+1,Tullet!$N$4:$S$22,3,0)</f>
        <v>435.52505434782603</v>
      </c>
      <c r="C50">
        <f ca="1">VLOOKUP(EOMONTH(A50,0)+1,Tullet!$N$58:$S$76,3,0)</f>
        <v>466.23505434782612</v>
      </c>
      <c r="D50">
        <f t="shared" ca="1" si="0"/>
        <v>30.710000000000093</v>
      </c>
      <c r="E50" s="433">
        <f ca="1">VLOOKUP(DATE(YEAR(A50), MONTH(A50), 1), 'Tullet US'!$V$24:$X$32, 3, FALSE)*6.35</f>
        <v>16.192499999999999</v>
      </c>
      <c r="H50" s="618"/>
      <c r="I50" s="621"/>
      <c r="J50" s="114" t="s">
        <v>105</v>
      </c>
      <c r="K50" s="115">
        <f ca="1">SUMPRODUCT(--($A$2:$A$66&gt;=K48),--($A$2:$A$66&lt;=K49),$D$2:$D$66)/SUMPRODUCT(--($A$2:$A$66&gt;=K48),--($A$2:$A$66&lt;=K49))</f>
        <v>28.210000000000093</v>
      </c>
    </row>
    <row r="51" spans="1:11" ht="15.75" thickBot="1" x14ac:dyDescent="0.3">
      <c r="A51" s="2">
        <f t="shared" ca="1" si="1"/>
        <v>45987</v>
      </c>
      <c r="B51">
        <f ca="1">VLOOKUP(EOMONTH(A51,-1)+1,Tullet!$N$4:$S$22,3,0)</f>
        <v>435.52505434782603</v>
      </c>
      <c r="C51">
        <f ca="1">VLOOKUP(EOMONTH(A51,0)+1,Tullet!$N$58:$S$76,3,0)</f>
        <v>466.23505434782612</v>
      </c>
      <c r="D51">
        <f t="shared" ca="1" si="0"/>
        <v>30.710000000000093</v>
      </c>
      <c r="E51" s="433">
        <f ca="1">VLOOKUP(DATE(YEAR(A51), MONTH(A51), 1), 'Tullet US'!$V$24:$X$32, 3, FALSE)*6.35</f>
        <v>16.192499999999999</v>
      </c>
    </row>
    <row r="52" spans="1:11" x14ac:dyDescent="0.25">
      <c r="A52" s="2">
        <f t="shared" ca="1" si="1"/>
        <v>45988</v>
      </c>
      <c r="B52">
        <f ca="1">VLOOKUP(EOMONTH(A52,-1)+1,Tullet!$N$4:$S$22,3,0)</f>
        <v>435.52505434782603</v>
      </c>
      <c r="C52">
        <f ca="1">VLOOKUP(EOMONTH(A52,0)+1,Tullet!$N$58:$S$76,3,0)</f>
        <v>466.23505434782612</v>
      </c>
      <c r="D52">
        <f t="shared" ca="1" si="0"/>
        <v>30.710000000000093</v>
      </c>
      <c r="E52" s="433">
        <f ca="1">VLOOKUP(DATE(YEAR(A52), MONTH(A52), 1), 'Tullet US'!$V$24:$X$32, 3, FALSE)*6.35</f>
        <v>16.192499999999999</v>
      </c>
      <c r="H52" s="618" t="s">
        <v>218</v>
      </c>
      <c r="I52" s="619" t="s">
        <v>108</v>
      </c>
      <c r="J52" s="3" t="s">
        <v>103</v>
      </c>
      <c r="K52" s="112">
        <f ca="1">'Loading Arrival'!G3</f>
        <v>45918</v>
      </c>
    </row>
    <row r="53" spans="1:11" x14ac:dyDescent="0.25">
      <c r="A53" s="2">
        <f t="shared" ca="1" si="1"/>
        <v>45989</v>
      </c>
      <c r="B53">
        <f ca="1">VLOOKUP(EOMONTH(A53,-1)+1,Tullet!$N$4:$S$22,3,0)</f>
        <v>435.52505434782603</v>
      </c>
      <c r="C53">
        <f ca="1">VLOOKUP(EOMONTH(A53,0)+1,Tullet!$N$58:$S$76,3,0)</f>
        <v>466.23505434782612</v>
      </c>
      <c r="D53">
        <f t="shared" ca="1" si="0"/>
        <v>30.710000000000093</v>
      </c>
      <c r="E53" s="433">
        <f ca="1">VLOOKUP(DATE(YEAR(A53), MONTH(A53), 1), 'Tullet US'!$V$24:$X$32, 3, FALSE)*6.35</f>
        <v>16.192499999999999</v>
      </c>
      <c r="H53" s="618"/>
      <c r="I53" s="620"/>
      <c r="J53" s="5" t="s">
        <v>104</v>
      </c>
      <c r="K53" s="113">
        <f ca="1">'Loading Arrival'!G9</f>
        <v>45934</v>
      </c>
    </row>
    <row r="54" spans="1:11" ht="15.75" thickBot="1" x14ac:dyDescent="0.3">
      <c r="A54" s="2">
        <f t="shared" ca="1" si="1"/>
        <v>45992</v>
      </c>
      <c r="B54">
        <f ca="1">VLOOKUP(EOMONTH(A54,-1)+1,Tullet!$N$4:$S$22,3,0)</f>
        <v>433.27505434782603</v>
      </c>
      <c r="C54">
        <f ca="1">VLOOKUP(EOMONTH(A54,0)+1,Tullet!$N$58:$S$76,3,0)</f>
        <v>464.98505434782612</v>
      </c>
      <c r="D54">
        <f t="shared" ca="1" si="0"/>
        <v>31.710000000000093</v>
      </c>
      <c r="E54" s="433">
        <f ca="1">VLOOKUP(DATE(YEAR(A54), MONTH(A54), 1), 'Tullet US'!$V$24:$X$32, 3, FALSE)*6.35</f>
        <v>15.875</v>
      </c>
      <c r="H54" s="618"/>
      <c r="I54" s="620"/>
      <c r="J54" s="118" t="s">
        <v>105</v>
      </c>
      <c r="K54" s="119" cm="1">
        <f t="array" aca="1" ref="K54" ca="1">SUMPRODUCT(--($A$2:$A$66&gt;=K52),--($A$2:$A$66&lt;=K53),$E$2:$E$66)/SUMPRODUCT(--($A$2:$A$66&gt;=K52),--($A$2:$A$66&lt;=K53))</f>
        <v>21.558249999999997</v>
      </c>
    </row>
    <row r="55" spans="1:11" x14ac:dyDescent="0.25">
      <c r="A55" s="2">
        <f t="shared" ca="1" si="1"/>
        <v>45993</v>
      </c>
      <c r="B55">
        <f ca="1">VLOOKUP(EOMONTH(A55,-1)+1,Tullet!$N$4:$S$22,3,0)</f>
        <v>433.27505434782603</v>
      </c>
      <c r="C55">
        <f ca="1">VLOOKUP(EOMONTH(A55,0)+1,Tullet!$N$58:$S$76,3,0)</f>
        <v>464.98505434782612</v>
      </c>
      <c r="D55">
        <f t="shared" ca="1" si="0"/>
        <v>31.710000000000093</v>
      </c>
      <c r="E55" s="433">
        <f ca="1">VLOOKUP(DATE(YEAR(A55), MONTH(A55), 1), 'Tullet US'!$V$24:$X$32, 3, FALSE)*6.35</f>
        <v>15.875</v>
      </c>
      <c r="H55" s="618"/>
      <c r="I55" s="620"/>
      <c r="J55" s="3" t="s">
        <v>106</v>
      </c>
      <c r="K55" s="116">
        <f ca="1">'Loading Arrival'!H3</f>
        <v>45932</v>
      </c>
    </row>
    <row r="56" spans="1:11" x14ac:dyDescent="0.25">
      <c r="A56" s="2">
        <f t="shared" ca="1" si="1"/>
        <v>45994</v>
      </c>
      <c r="B56">
        <f ca="1">VLOOKUP(EOMONTH(A56,-1)+1,Tullet!$N$4:$S$22,3,0)</f>
        <v>433.27505434782603</v>
      </c>
      <c r="C56">
        <f ca="1">VLOOKUP(EOMONTH(A56,0)+1,Tullet!$N$58:$S$76,3,0)</f>
        <v>464.98505434782612</v>
      </c>
      <c r="D56">
        <f t="shared" ca="1" si="0"/>
        <v>31.710000000000093</v>
      </c>
      <c r="E56" s="433">
        <f ca="1">VLOOKUP(DATE(YEAR(A56), MONTH(A56), 1), 'Tullet US'!$V$24:$X$32, 3, FALSE)*6.35</f>
        <v>15.875</v>
      </c>
      <c r="H56" s="618"/>
      <c r="I56" s="620"/>
      <c r="J56" s="5" t="s">
        <v>104</v>
      </c>
      <c r="K56" s="117">
        <f ca="1">'Loading Arrival'!H9</f>
        <v>45948</v>
      </c>
    </row>
    <row r="57" spans="1:11" ht="15.75" thickBot="1" x14ac:dyDescent="0.3">
      <c r="A57" s="2">
        <f t="shared" ca="1" si="1"/>
        <v>45995</v>
      </c>
      <c r="B57">
        <f ca="1">VLOOKUP(EOMONTH(A57,-1)+1,Tullet!$N$4:$S$22,3,0)</f>
        <v>433.27505434782603</v>
      </c>
      <c r="C57">
        <f ca="1">VLOOKUP(EOMONTH(A57,0)+1,Tullet!$N$58:$S$76,3,0)</f>
        <v>464.98505434782612</v>
      </c>
      <c r="D57">
        <f t="shared" ca="1" si="0"/>
        <v>31.710000000000093</v>
      </c>
      <c r="E57" s="433">
        <f ca="1">VLOOKUP(DATE(YEAR(A57), MONTH(A57), 1), 'Tullet US'!$V$24:$X$32, 3, FALSE)*6.35</f>
        <v>15.875</v>
      </c>
      <c r="H57" s="618"/>
      <c r="I57" s="620"/>
      <c r="J57" s="114" t="s">
        <v>105</v>
      </c>
      <c r="K57" s="115" cm="1">
        <f t="array" aca="1" ref="K57" ca="1">SUMPRODUCT(--($A$2:$A$66&gt;=K55),--($A$2:$A$66&lt;=K56),$E$2:$E$66)/SUMPRODUCT(--($A$2:$A$66&gt;=K55),--($A$2:$A$66&lt;=K56))</f>
        <v>16.509999999999994</v>
      </c>
    </row>
    <row r="58" spans="1:11" x14ac:dyDescent="0.25">
      <c r="A58" s="2">
        <f t="shared" ca="1" si="1"/>
        <v>45996</v>
      </c>
      <c r="B58">
        <f ca="1">VLOOKUP(EOMONTH(A58,-1)+1,Tullet!$N$4:$S$22,3,0)</f>
        <v>433.27505434782603</v>
      </c>
      <c r="C58">
        <f ca="1">VLOOKUP(EOMONTH(A58,0)+1,Tullet!$N$58:$S$76,3,0)</f>
        <v>464.98505434782612</v>
      </c>
      <c r="D58">
        <f t="shared" ca="1" si="0"/>
        <v>31.710000000000093</v>
      </c>
      <c r="E58" s="433">
        <f ca="1">VLOOKUP(DATE(YEAR(A58), MONTH(A58), 1), 'Tullet US'!$V$24:$X$32, 3, FALSE)*6.35</f>
        <v>15.875</v>
      </c>
      <c r="H58" s="618"/>
      <c r="I58" s="620"/>
      <c r="J58" s="5" t="s">
        <v>107</v>
      </c>
      <c r="K58" s="117">
        <f ca="1">'Loading Arrival'!I3</f>
        <v>45946</v>
      </c>
    </row>
    <row r="59" spans="1:11" x14ac:dyDescent="0.25">
      <c r="A59" s="2">
        <f t="shared" ca="1" si="1"/>
        <v>45999</v>
      </c>
      <c r="B59">
        <f ca="1">VLOOKUP(EOMONTH(A59,-1)+1,Tullet!$N$4:$S$22,3,0)</f>
        <v>433.27505434782603</v>
      </c>
      <c r="C59">
        <f ca="1">VLOOKUP(EOMONTH(A59,0)+1,Tullet!$N$58:$S$76,3,0)</f>
        <v>464.98505434782612</v>
      </c>
      <c r="D59">
        <f t="shared" ca="1" si="0"/>
        <v>31.710000000000093</v>
      </c>
      <c r="E59" s="433">
        <f ca="1">VLOOKUP(DATE(YEAR(A59), MONTH(A59), 1), 'Tullet US'!$V$24:$X$32, 3, FALSE)*6.35</f>
        <v>15.875</v>
      </c>
      <c r="H59" s="618"/>
      <c r="I59" s="620"/>
      <c r="J59" s="5" t="s">
        <v>104</v>
      </c>
      <c r="K59" s="117">
        <f ca="1">'Loading Arrival'!I9</f>
        <v>45962</v>
      </c>
    </row>
    <row r="60" spans="1:11" ht="15.75" thickBot="1" x14ac:dyDescent="0.3">
      <c r="A60" s="2">
        <f t="shared" ca="1" si="1"/>
        <v>46000</v>
      </c>
      <c r="B60">
        <f ca="1">VLOOKUP(EOMONTH(A60,-1)+1,Tullet!$N$4:$S$22,3,0)</f>
        <v>433.27505434782603</v>
      </c>
      <c r="C60">
        <f ca="1">VLOOKUP(EOMONTH(A60,0)+1,Tullet!$N$58:$S$76,3,0)</f>
        <v>464.98505434782612</v>
      </c>
      <c r="D60">
        <f t="shared" ca="1" si="0"/>
        <v>31.710000000000093</v>
      </c>
      <c r="E60" s="433">
        <f ca="1">VLOOKUP(DATE(YEAR(A60), MONTH(A60), 1), 'Tullet US'!$V$24:$X$32, 3, FALSE)*6.35</f>
        <v>15.875</v>
      </c>
      <c r="H60" s="618"/>
      <c r="I60" s="621"/>
      <c r="J60" s="114" t="s">
        <v>105</v>
      </c>
      <c r="K60" s="115" cm="1">
        <f t="array" aca="1" ref="K60" ca="1">SUMPRODUCT(--($A$2:$A$66&gt;=K58),--($A$2:$A$66&lt;=K59),$E$2:$E$66)/SUMPRODUCT(--($A$2:$A$66&gt;=K58),--($A$2:$A$66&lt;=K59))</f>
        <v>16.509999999999994</v>
      </c>
    </row>
    <row r="61" spans="1:11" ht="15.75" thickBot="1" x14ac:dyDescent="0.3">
      <c r="A61" s="2">
        <f t="shared" ca="1" si="1"/>
        <v>46001</v>
      </c>
      <c r="B61">
        <f ca="1">VLOOKUP(EOMONTH(A61,-1)+1,Tullet!$N$4:$S$22,3,0)</f>
        <v>433.27505434782603</v>
      </c>
      <c r="C61">
        <f ca="1">VLOOKUP(EOMONTH(A61,0)+1,Tullet!$N$58:$S$76,3,0)</f>
        <v>464.98505434782612</v>
      </c>
      <c r="D61">
        <f t="shared" ca="1" si="0"/>
        <v>31.710000000000093</v>
      </c>
      <c r="E61" s="433">
        <f ca="1">VLOOKUP(DATE(YEAR(A61), MONTH(A61), 1), 'Tullet US'!$V$24:$X$32, 3, FALSE)*6.35</f>
        <v>15.875</v>
      </c>
    </row>
    <row r="62" spans="1:11" x14ac:dyDescent="0.25">
      <c r="A62" s="2">
        <f t="shared" ca="1" si="1"/>
        <v>46002</v>
      </c>
      <c r="B62">
        <f ca="1">VLOOKUP(EOMONTH(A62,-1)+1,Tullet!$N$4:$S$22,3,0)</f>
        <v>433.27505434782603</v>
      </c>
      <c r="C62">
        <f ca="1">VLOOKUP(EOMONTH(A62,0)+1,Tullet!$N$58:$S$76,3,0)</f>
        <v>464.98505434782612</v>
      </c>
      <c r="D62">
        <f t="shared" ca="1" si="0"/>
        <v>31.710000000000093</v>
      </c>
      <c r="E62" s="433">
        <f ca="1">VLOOKUP(DATE(YEAR(A62), MONTH(A62), 1), 'Tullet US'!$V$24:$X$32, 3, FALSE)*6.35</f>
        <v>15.875</v>
      </c>
      <c r="H62" s="618" t="s">
        <v>254</v>
      </c>
      <c r="I62" s="619" t="s">
        <v>108</v>
      </c>
      <c r="J62" s="3" t="s">
        <v>103</v>
      </c>
      <c r="K62" s="112">
        <f ca="1">'Loading Arrival'!$Q$3</f>
        <v>45918</v>
      </c>
    </row>
    <row r="63" spans="1:11" x14ac:dyDescent="0.25">
      <c r="A63" s="2">
        <f t="shared" ca="1" si="1"/>
        <v>46003</v>
      </c>
      <c r="B63">
        <f ca="1">VLOOKUP(EOMONTH(A63,-1)+1,Tullet!$N$4:$S$22,3,0)</f>
        <v>433.27505434782603</v>
      </c>
      <c r="C63">
        <f ca="1">VLOOKUP(EOMONTH(A63,0)+1,Tullet!$N$58:$S$76,3,0)</f>
        <v>464.98505434782612</v>
      </c>
      <c r="D63">
        <f t="shared" ca="1" si="0"/>
        <v>31.710000000000093</v>
      </c>
      <c r="E63" s="433">
        <f ca="1">VLOOKUP(DATE(YEAR(A63), MONTH(A63), 1), 'Tullet US'!$V$24:$X$32, 3, FALSE)*6.35</f>
        <v>15.875</v>
      </c>
      <c r="H63" s="618"/>
      <c r="I63" s="620"/>
      <c r="J63" s="5" t="s">
        <v>104</v>
      </c>
      <c r="K63" s="113">
        <f ca="1">'Loading Arrival'!$Q$9</f>
        <v>45932</v>
      </c>
    </row>
    <row r="64" spans="1:11" ht="15.75" thickBot="1" x14ac:dyDescent="0.3">
      <c r="A64" s="2">
        <f t="shared" ca="1" si="1"/>
        <v>46006</v>
      </c>
      <c r="B64">
        <f ca="1">VLOOKUP(EOMONTH(A64,-1)+1,Tullet!$N$4:$S$22,3,0)</f>
        <v>433.27505434782603</v>
      </c>
      <c r="C64">
        <f ca="1">VLOOKUP(EOMONTH(A64,0)+1,Tullet!$N$58:$S$76,3,0)</f>
        <v>464.98505434782612</v>
      </c>
      <c r="D64">
        <f t="shared" ca="1" si="0"/>
        <v>31.710000000000093</v>
      </c>
      <c r="E64" s="433">
        <f ca="1">VLOOKUP(DATE(YEAR(A64), MONTH(A64), 1), 'Tullet US'!$V$24:$X$32, 3, FALSE)*6.35</f>
        <v>15.875</v>
      </c>
      <c r="H64" s="618"/>
      <c r="I64" s="620"/>
      <c r="J64" s="118" t="s">
        <v>105</v>
      </c>
      <c r="K64" s="119" cm="1">
        <f t="array" aca="1" ref="K64" ca="1">SUMPRODUCT(--($A$2:$A$66&gt;=K62),--($A$2:$A$66&lt;=K63),$E$2:$E$66)/SUMPRODUCT(--($A$2:$A$66&gt;=K62),--($A$2:$A$66&lt;=K63))</f>
        <v>22.017181818181815</v>
      </c>
    </row>
    <row r="65" spans="1:11" x14ac:dyDescent="0.25">
      <c r="A65" s="2">
        <f t="shared" ca="1" si="1"/>
        <v>46007</v>
      </c>
      <c r="B65">
        <f ca="1">VLOOKUP(EOMONTH(A65,-1)+1,Tullet!$N$4:$S$22,3,0)</f>
        <v>433.27505434782603</v>
      </c>
      <c r="C65">
        <f ca="1">VLOOKUP(EOMONTH(A65,0)+1,Tullet!$N$58:$S$76,3,0)</f>
        <v>464.98505434782612</v>
      </c>
      <c r="D65">
        <f t="shared" ca="1" si="0"/>
        <v>31.710000000000093</v>
      </c>
      <c r="E65" s="433">
        <f ca="1">VLOOKUP(DATE(YEAR(A65), MONTH(A65), 1), 'Tullet US'!$V$24:$X$32, 3, FALSE)*6.35</f>
        <v>15.875</v>
      </c>
      <c r="H65" s="618"/>
      <c r="I65" s="620"/>
      <c r="J65" s="3" t="s">
        <v>106</v>
      </c>
      <c r="K65" s="116">
        <f ca="1">'Loading Arrival'!$R$3</f>
        <v>45932</v>
      </c>
    </row>
    <row r="66" spans="1:11" x14ac:dyDescent="0.25">
      <c r="A66" s="2">
        <f t="shared" ca="1" si="1"/>
        <v>46008</v>
      </c>
      <c r="B66">
        <f ca="1">VLOOKUP(EOMONTH(A66,-1)+1,Tullet!$N$4:$S$22,3,0)</f>
        <v>433.27505434782603</v>
      </c>
      <c r="C66">
        <f ca="1">VLOOKUP(EOMONTH(A66,0)+1,Tullet!$N$58:$S$76,3,0)</f>
        <v>464.98505434782612</v>
      </c>
      <c r="D66">
        <f t="shared" ca="1" si="0"/>
        <v>31.710000000000093</v>
      </c>
      <c r="E66" s="433">
        <f ca="1">VLOOKUP(DATE(YEAR(A66), MONTH(A66), 1), 'Tullet US'!$V$24:$X$32, 3, FALSE)*6.35</f>
        <v>15.875</v>
      </c>
      <c r="H66" s="618"/>
      <c r="I66" s="620"/>
      <c r="J66" s="5" t="s">
        <v>104</v>
      </c>
      <c r="K66" s="117">
        <f ca="1">'Loading Arrival'!$R$9</f>
        <v>45946</v>
      </c>
    </row>
    <row r="67" spans="1:11" ht="15.75" thickBot="1" x14ac:dyDescent="0.3">
      <c r="H67" s="618"/>
      <c r="I67" s="620"/>
      <c r="J67" s="114" t="s">
        <v>105</v>
      </c>
      <c r="K67" s="115" cm="1">
        <f t="array" aca="1" ref="K67" ca="1">SUMPRODUCT(--($A$2:$A$66&gt;=K65),--($A$2:$A$66&lt;=K66),$E$2:$E$66)/SUMPRODUCT(--($A$2:$A$66&gt;=K65),--($A$2:$A$66&lt;=K66))</f>
        <v>16.509999999999994</v>
      </c>
    </row>
    <row r="68" spans="1:11" x14ac:dyDescent="0.25">
      <c r="H68" s="618"/>
      <c r="I68" s="620"/>
      <c r="J68" s="5" t="s">
        <v>107</v>
      </c>
      <c r="K68" s="117">
        <f ca="1">'Loading Arrival'!$S$3</f>
        <v>45946</v>
      </c>
    </row>
    <row r="69" spans="1:11" x14ac:dyDescent="0.25">
      <c r="H69" s="618"/>
      <c r="I69" s="620"/>
      <c r="J69" s="5" t="s">
        <v>104</v>
      </c>
      <c r="K69" s="117">
        <f ca="1">'Loading Arrival'!$S$9</f>
        <v>45960</v>
      </c>
    </row>
    <row r="70" spans="1:11" ht="15.75" thickBot="1" x14ac:dyDescent="0.3">
      <c r="H70" s="618"/>
      <c r="I70" s="621"/>
      <c r="J70" s="114" t="s">
        <v>105</v>
      </c>
      <c r="K70" s="115" cm="1">
        <f t="array" aca="1" ref="K70" ca="1">SUMPRODUCT(--($A$2:$A$66&gt;=K68),--($A$2:$A$66&lt;=K69),$E$2:$E$66)/SUMPRODUCT(--($A$2:$A$66&gt;=K68),--($A$2:$A$66&lt;=K69))</f>
        <v>16.509999999999994</v>
      </c>
    </row>
    <row r="71" spans="1:11" ht="15.75" thickBot="1" x14ac:dyDescent="0.3"/>
    <row r="72" spans="1:11" x14ac:dyDescent="0.25">
      <c r="H72" s="618" t="s">
        <v>255</v>
      </c>
      <c r="I72" s="619" t="s">
        <v>108</v>
      </c>
      <c r="J72" s="3" t="s">
        <v>103</v>
      </c>
      <c r="K72" s="112">
        <f ca="1">'Loading Arrival'!$Q$12</f>
        <v>45918</v>
      </c>
    </row>
    <row r="73" spans="1:11" x14ac:dyDescent="0.25">
      <c r="H73" s="618"/>
      <c r="I73" s="620"/>
      <c r="J73" s="5" t="s">
        <v>104</v>
      </c>
      <c r="K73" s="113">
        <f ca="1">'Loading Arrival'!$Q$18</f>
        <v>45955</v>
      </c>
    </row>
    <row r="74" spans="1:11" ht="15.75" thickBot="1" x14ac:dyDescent="0.3">
      <c r="H74" s="618"/>
      <c r="I74" s="620"/>
      <c r="J74" s="118" t="s">
        <v>105</v>
      </c>
      <c r="K74" s="119" cm="1">
        <f t="array" aca="1" ref="K74" ca="1">SUMPRODUCT(--($A$2:$A$66&gt;=K72),--($A$2:$A$66&lt;=K73),$E$2:$E$66)/SUMPRODUCT(--($A$2:$A$66&gt;=K72),--($A$2:$A$66&lt;=K73))</f>
        <v>18.75366666666666</v>
      </c>
    </row>
    <row r="75" spans="1:11" x14ac:dyDescent="0.25">
      <c r="H75" s="618"/>
      <c r="I75" s="620"/>
      <c r="J75" s="3" t="s">
        <v>106</v>
      </c>
      <c r="K75" s="116">
        <f ca="1">'Loading Arrival'!$R$12</f>
        <v>45932</v>
      </c>
    </row>
    <row r="76" spans="1:11" x14ac:dyDescent="0.25">
      <c r="H76" s="618"/>
      <c r="I76" s="620"/>
      <c r="J76" s="5" t="s">
        <v>104</v>
      </c>
      <c r="K76" s="117">
        <f ca="1">'Loading Arrival'!$R$18</f>
        <v>45969</v>
      </c>
    </row>
    <row r="77" spans="1:11" ht="15.75" thickBot="1" x14ac:dyDescent="0.3">
      <c r="H77" s="618"/>
      <c r="I77" s="620"/>
      <c r="J77" s="114" t="s">
        <v>105</v>
      </c>
      <c r="K77" s="115" cm="1">
        <f t="array" aca="1" ref="K77" ca="1">SUMPRODUCT(--($A$2:$A$66&gt;=K75),--($A$2:$A$66&lt;=K76),$E$2:$E$66)/SUMPRODUCT(--($A$2:$A$66&gt;=K75),--($A$2:$A$66&lt;=K76))</f>
        <v>16.451203703703698</v>
      </c>
    </row>
    <row r="78" spans="1:11" x14ac:dyDescent="0.25">
      <c r="H78" s="618"/>
      <c r="I78" s="620"/>
      <c r="J78" s="5" t="s">
        <v>107</v>
      </c>
      <c r="K78" s="117">
        <f ca="1">'Loading Arrival'!$S$12</f>
        <v>45946</v>
      </c>
    </row>
    <row r="79" spans="1:11" x14ac:dyDescent="0.25">
      <c r="H79" s="618"/>
      <c r="I79" s="620"/>
      <c r="J79" s="5" t="s">
        <v>104</v>
      </c>
      <c r="K79" s="117">
        <f ca="1">'Loading Arrival'!$S$18</f>
        <v>45983</v>
      </c>
    </row>
    <row r="80" spans="1:11" ht="15.75" thickBot="1" x14ac:dyDescent="0.3">
      <c r="H80" s="618"/>
      <c r="I80" s="621"/>
      <c r="J80" s="114" t="s">
        <v>105</v>
      </c>
      <c r="K80" s="115" cm="1">
        <f t="array" aca="1" ref="K80" ca="1">SUMPRODUCT(--($A$2:$A$66&gt;=K78),--($A$2:$A$66&lt;=K79),$E$2:$E$66)/SUMPRODUCT(--($A$2:$A$66&gt;=K78),--($A$2:$A$66&lt;=K79))</f>
        <v>16.333611111111107</v>
      </c>
    </row>
    <row r="81" spans="8:11" ht="15.75" thickBot="1" x14ac:dyDescent="0.3"/>
    <row r="82" spans="8:11" x14ac:dyDescent="0.25">
      <c r="H82" s="618" t="s">
        <v>256</v>
      </c>
      <c r="I82" s="619" t="s">
        <v>108</v>
      </c>
      <c r="J82" s="3" t="s">
        <v>103</v>
      </c>
      <c r="K82" s="112">
        <f ca="1">'Loading Arrival'!$Q$21</f>
        <v>45918</v>
      </c>
    </row>
    <row r="83" spans="8:11" x14ac:dyDescent="0.25">
      <c r="H83" s="618"/>
      <c r="I83" s="620"/>
      <c r="J83" s="5" t="s">
        <v>104</v>
      </c>
      <c r="K83" s="113">
        <f ca="1">'Loading Arrival'!$Q$27</f>
        <v>45959</v>
      </c>
    </row>
    <row r="84" spans="8:11" ht="15.75" thickBot="1" x14ac:dyDescent="0.3">
      <c r="H84" s="618"/>
      <c r="I84" s="620"/>
      <c r="J84" s="118" t="s">
        <v>105</v>
      </c>
      <c r="K84" s="119" cm="1">
        <f t="array" aca="1" ref="K84" ca="1">SUMPRODUCT(--($A$2:$A$66&gt;=K82),--($A$2:$A$66&lt;=K83),$E$2:$E$66)/SUMPRODUCT(--($A$2:$A$66&gt;=K82),--($A$2:$A$66&lt;=K83))</f>
        <v>18.529299999999992</v>
      </c>
    </row>
    <row r="85" spans="8:11" x14ac:dyDescent="0.25">
      <c r="H85" s="618"/>
      <c r="I85" s="620"/>
      <c r="J85" s="3" t="s">
        <v>106</v>
      </c>
      <c r="K85" s="116">
        <f ca="1">'Loading Arrival'!$R$21</f>
        <v>45932</v>
      </c>
    </row>
    <row r="86" spans="8:11" x14ac:dyDescent="0.25">
      <c r="H86" s="618"/>
      <c r="I86" s="620"/>
      <c r="J86" s="5" t="s">
        <v>104</v>
      </c>
      <c r="K86" s="117">
        <f ca="1">'Loading Arrival'!$S$27</f>
        <v>45987</v>
      </c>
    </row>
    <row r="87" spans="8:11" ht="15.75" thickBot="1" x14ac:dyDescent="0.3">
      <c r="H87" s="618"/>
      <c r="I87" s="620"/>
      <c r="J87" s="114" t="s">
        <v>105</v>
      </c>
      <c r="K87" s="115" cm="1">
        <f t="array" aca="1" ref="K87" ca="1">SUMPRODUCT(--($A$2:$A$66&gt;=K85),--($A$2:$A$66&lt;=K86),$E$2:$E$66)/SUMPRODUCT(--($A$2:$A$66&gt;=K85),--($A$2:$A$66&lt;=K86))</f>
        <v>16.367124999999994</v>
      </c>
    </row>
    <row r="88" spans="8:11" x14ac:dyDescent="0.25">
      <c r="H88" s="618"/>
      <c r="I88" s="620"/>
      <c r="J88" s="5" t="s">
        <v>107</v>
      </c>
      <c r="K88" s="117">
        <f ca="1">'Loading Arrival'!$S$21</f>
        <v>45946</v>
      </c>
    </row>
    <row r="89" spans="8:11" x14ac:dyDescent="0.25">
      <c r="H89" s="618"/>
      <c r="I89" s="620"/>
      <c r="J89" s="5" t="s">
        <v>104</v>
      </c>
      <c r="K89" s="117">
        <f ca="1">'Loading Arrival'!$S$27</f>
        <v>45987</v>
      </c>
    </row>
    <row r="90" spans="8:11" ht="15.75" thickBot="1" x14ac:dyDescent="0.3">
      <c r="H90" s="618"/>
      <c r="I90" s="621"/>
      <c r="J90" s="114" t="s">
        <v>105</v>
      </c>
      <c r="K90" s="115" cm="1">
        <f t="array" aca="1" ref="K90" ca="1">SUMPRODUCT(--($A$2:$A$66&gt;=K88),--($A$2:$A$66&lt;=K89),$E$2:$E$66)/SUMPRODUCT(--($A$2:$A$66&gt;=K88),--($A$2:$A$66&lt;=K89))</f>
        <v>16.319499999999994</v>
      </c>
    </row>
    <row r="91" spans="8:11" ht="15.75" thickBot="1" x14ac:dyDescent="0.3"/>
    <row r="92" spans="8:11" x14ac:dyDescent="0.25">
      <c r="H92" s="618" t="s">
        <v>269</v>
      </c>
      <c r="I92" s="619" t="s">
        <v>108</v>
      </c>
      <c r="J92" s="3" t="s">
        <v>103</v>
      </c>
      <c r="K92" s="112">
        <f ca="1">'Loading Arrival'!$L$21</f>
        <v>45918</v>
      </c>
    </row>
    <row r="93" spans="8:11" x14ac:dyDescent="0.25">
      <c r="H93" s="618"/>
      <c r="I93" s="620"/>
      <c r="J93" s="5" t="s">
        <v>104</v>
      </c>
      <c r="K93" s="113">
        <f ca="1">'Loading Arrival'!$L$27</f>
        <v>45934</v>
      </c>
    </row>
    <row r="94" spans="8:11" ht="15.75" thickBot="1" x14ac:dyDescent="0.3">
      <c r="H94" s="618"/>
      <c r="I94" s="620"/>
      <c r="J94" s="118" t="s">
        <v>105</v>
      </c>
      <c r="K94" s="119" cm="1">
        <f t="array" aca="1" ref="K94" ca="1">SUMPRODUCT(--($A$2:$A$66&gt;=K92),--($A$2:$A$66&lt;=K93),$E$2:$E$66)/SUMPRODUCT(--($A$2:$A$66&gt;=K92),--($A$2:$A$66&lt;=K93))</f>
        <v>21.558249999999997</v>
      </c>
    </row>
    <row r="95" spans="8:11" x14ac:dyDescent="0.25">
      <c r="H95" s="618"/>
      <c r="I95" s="620"/>
      <c r="J95" s="3" t="s">
        <v>106</v>
      </c>
      <c r="K95" s="116">
        <f ca="1">'Loading Arrival'!$M$21</f>
        <v>45932</v>
      </c>
    </row>
    <row r="96" spans="8:11" x14ac:dyDescent="0.25">
      <c r="H96" s="618"/>
      <c r="I96" s="620"/>
      <c r="J96" s="5" t="s">
        <v>104</v>
      </c>
      <c r="K96" s="117">
        <f ca="1">'Loading Arrival'!$M$27</f>
        <v>45948</v>
      </c>
    </row>
    <row r="97" spans="8:11" ht="15.75" thickBot="1" x14ac:dyDescent="0.3">
      <c r="H97" s="618"/>
      <c r="I97" s="620"/>
      <c r="J97" s="114" t="s">
        <v>105</v>
      </c>
      <c r="K97" s="115" cm="1">
        <f t="array" aca="1" ref="K97" ca="1">SUMPRODUCT(--($A$2:$A$66&gt;=K95),--($A$2:$A$66&lt;=K96),$E$2:$E$66)/SUMPRODUCT(--($A$2:$A$66&gt;=K95),--($A$2:$A$66&lt;=K96))</f>
        <v>16.509999999999994</v>
      </c>
    </row>
    <row r="98" spans="8:11" x14ac:dyDescent="0.25">
      <c r="H98" s="618"/>
      <c r="I98" s="620"/>
      <c r="J98" s="5" t="s">
        <v>107</v>
      </c>
      <c r="K98" s="117">
        <f ca="1">'Loading Arrival'!$N$21</f>
        <v>45946</v>
      </c>
    </row>
    <row r="99" spans="8:11" x14ac:dyDescent="0.25">
      <c r="H99" s="618"/>
      <c r="I99" s="620"/>
      <c r="J99" s="5" t="s">
        <v>104</v>
      </c>
      <c r="K99" s="117">
        <f ca="1">'Loading Arrival'!$N$27</f>
        <v>45962</v>
      </c>
    </row>
    <row r="100" spans="8:11" ht="15.75" thickBot="1" x14ac:dyDescent="0.3">
      <c r="H100" s="618"/>
      <c r="I100" s="621"/>
      <c r="J100" s="114" t="s">
        <v>105</v>
      </c>
      <c r="K100" s="115" cm="1">
        <f t="array" aca="1" ref="K100" ca="1">SUMPRODUCT(--($A$2:$A$66&gt;=K98),--($A$2:$A$66&lt;=K99),$E$2:$E$66)/SUMPRODUCT(--($A$2:$A$66&gt;=K98),--($A$2:$A$66&lt;=K99))</f>
        <v>16.509999999999994</v>
      </c>
    </row>
    <row r="101" spans="8:11" ht="15.75" thickBot="1" x14ac:dyDescent="0.3"/>
    <row r="102" spans="8:11" x14ac:dyDescent="0.25">
      <c r="H102" s="618" t="s">
        <v>268</v>
      </c>
      <c r="I102" s="619" t="s">
        <v>108</v>
      </c>
      <c r="J102" s="3" t="s">
        <v>103</v>
      </c>
      <c r="K102" s="112">
        <f ca="1">'Loading Arrival'!$L$30</f>
        <v>45917</v>
      </c>
    </row>
    <row r="103" spans="8:11" x14ac:dyDescent="0.25">
      <c r="H103" s="618"/>
      <c r="I103" s="620"/>
      <c r="J103" s="5" t="s">
        <v>104</v>
      </c>
      <c r="K103" s="113">
        <f ca="1">'Loading Arrival'!$L$36</f>
        <v>45923</v>
      </c>
    </row>
    <row r="104" spans="8:11" ht="15.75" thickBot="1" x14ac:dyDescent="0.3">
      <c r="H104" s="618"/>
      <c r="I104" s="620"/>
      <c r="J104" s="118" t="s">
        <v>105</v>
      </c>
      <c r="K104" s="119" cm="1">
        <f t="array" aca="1" ref="K104" ca="1">SUMPRODUCT(--($A$2:$A$66&gt;=K102),--($A$2:$A$66&lt;=K103),$E$2:$E$66)/SUMPRODUCT(--($A$2:$A$66&gt;=K102),--($A$2:$A$66&lt;=K103))</f>
        <v>23.241</v>
      </c>
    </row>
    <row r="105" spans="8:11" x14ac:dyDescent="0.25">
      <c r="H105" s="618"/>
      <c r="I105" s="620"/>
      <c r="J105" s="3" t="s">
        <v>106</v>
      </c>
      <c r="K105" s="116">
        <f ca="1">'Loading Arrival'!$M$30</f>
        <v>45931</v>
      </c>
    </row>
    <row r="106" spans="8:11" x14ac:dyDescent="0.25">
      <c r="H106" s="618"/>
      <c r="I106" s="620"/>
      <c r="J106" s="5" t="s">
        <v>104</v>
      </c>
      <c r="K106" s="117">
        <f ca="1">'Loading Arrival'!$M$36</f>
        <v>45937</v>
      </c>
    </row>
    <row r="107" spans="8:11" ht="15.75" thickBot="1" x14ac:dyDescent="0.3">
      <c r="H107" s="618"/>
      <c r="I107" s="620"/>
      <c r="J107" s="114" t="s">
        <v>105</v>
      </c>
      <c r="K107" s="115" cm="1">
        <f t="array" aca="1" ref="K107" ca="1">SUMPRODUCT(--($A$2:$A$66&gt;=K105),--($A$2:$A$66&lt;=K106),$E$2:$E$66)/SUMPRODUCT(--($A$2:$A$66&gt;=K105),--($A$2:$A$66&lt;=K106))</f>
        <v>16.509999999999998</v>
      </c>
    </row>
    <row r="108" spans="8:11" x14ac:dyDescent="0.25">
      <c r="H108" s="618"/>
      <c r="I108" s="620"/>
      <c r="J108" s="5" t="s">
        <v>107</v>
      </c>
      <c r="K108" s="117">
        <f ca="1">'Loading Arrival'!$N$30</f>
        <v>45945</v>
      </c>
    </row>
    <row r="109" spans="8:11" x14ac:dyDescent="0.25">
      <c r="H109" s="618"/>
      <c r="I109" s="620"/>
      <c r="J109" s="5" t="s">
        <v>104</v>
      </c>
      <c r="K109" s="117">
        <f ca="1">'Loading Arrival'!$N$36</f>
        <v>45951</v>
      </c>
    </row>
    <row r="110" spans="8:11" ht="15.75" thickBot="1" x14ac:dyDescent="0.3">
      <c r="H110" s="618"/>
      <c r="I110" s="621"/>
      <c r="J110" s="114" t="s">
        <v>105</v>
      </c>
      <c r="K110" s="115" cm="1">
        <f t="array" aca="1" ref="K110" ca="1">SUMPRODUCT(--($A$2:$A$66&gt;=K108),--($A$2:$A$66&lt;=K109),$E$2:$E$66)/SUMPRODUCT(--($A$2:$A$66&gt;=K108),--($A$2:$A$66&lt;=K109))</f>
        <v>16.509999999999998</v>
      </c>
    </row>
    <row r="111" spans="8:11" ht="15.75" thickBot="1" x14ac:dyDescent="0.3"/>
    <row r="112" spans="8:11" x14ac:dyDescent="0.25">
      <c r="H112" s="618" t="s">
        <v>266</v>
      </c>
      <c r="I112" s="619" t="s">
        <v>108</v>
      </c>
      <c r="J112" s="3" t="s">
        <v>103</v>
      </c>
      <c r="K112" s="112">
        <f ca="1">'Loading Arrival'!$L$3</f>
        <v>45918</v>
      </c>
    </row>
    <row r="113" spans="8:11" x14ac:dyDescent="0.25">
      <c r="H113" s="618"/>
      <c r="I113" s="620"/>
      <c r="J113" s="5" t="s">
        <v>104</v>
      </c>
      <c r="K113" s="113">
        <f ca="1">'Loading Arrival'!$L$9</f>
        <v>45935</v>
      </c>
    </row>
    <row r="114" spans="8:11" ht="15.75" thickBot="1" x14ac:dyDescent="0.3">
      <c r="H114" s="618"/>
      <c r="I114" s="620"/>
      <c r="J114" s="118" t="s">
        <v>105</v>
      </c>
      <c r="K114" s="119" cm="1">
        <f t="array" aca="1" ref="K114" ca="1">SUMPRODUCT(--($A$2:$A$66&gt;=K112),--($A$2:$A$66&lt;=K113),$E$2:$E$66)/SUMPRODUCT(--($A$2:$A$66&gt;=K112),--($A$2:$A$66&lt;=K113))</f>
        <v>21.558249999999997</v>
      </c>
    </row>
    <row r="115" spans="8:11" x14ac:dyDescent="0.25">
      <c r="H115" s="618"/>
      <c r="I115" s="620"/>
      <c r="J115" s="3" t="s">
        <v>106</v>
      </c>
      <c r="K115" s="116">
        <f ca="1">'Loading Arrival'!$M$3</f>
        <v>45932</v>
      </c>
    </row>
    <row r="116" spans="8:11" x14ac:dyDescent="0.25">
      <c r="H116" s="618"/>
      <c r="I116" s="620"/>
      <c r="J116" s="5" t="s">
        <v>104</v>
      </c>
      <c r="K116" s="117">
        <f ca="1">'Loading Arrival'!$M$9</f>
        <v>45949</v>
      </c>
    </row>
    <row r="117" spans="8:11" ht="15.75" thickBot="1" x14ac:dyDescent="0.3">
      <c r="H117" s="618"/>
      <c r="I117" s="620"/>
      <c r="J117" s="114" t="s">
        <v>105</v>
      </c>
      <c r="K117" s="115" cm="1">
        <f t="array" aca="1" ref="K117" ca="1">SUMPRODUCT(--($A$2:$A$66&gt;=K115),--($A$2:$A$66&lt;=K116),$E$2:$E$66)/SUMPRODUCT(--($A$2:$A$66&gt;=K115),--($A$2:$A$66&lt;=K116))</f>
        <v>16.509999999999994</v>
      </c>
    </row>
    <row r="118" spans="8:11" x14ac:dyDescent="0.25">
      <c r="H118" s="618"/>
      <c r="I118" s="620"/>
      <c r="J118" s="5" t="s">
        <v>107</v>
      </c>
      <c r="K118" s="117">
        <f ca="1">'Loading Arrival'!$N$3</f>
        <v>45946</v>
      </c>
    </row>
    <row r="119" spans="8:11" x14ac:dyDescent="0.25">
      <c r="H119" s="618"/>
      <c r="I119" s="620"/>
      <c r="J119" s="5" t="s">
        <v>104</v>
      </c>
      <c r="K119" s="117">
        <f ca="1">'Loading Arrival'!$N$9</f>
        <v>45963</v>
      </c>
    </row>
    <row r="120" spans="8:11" ht="15.75" thickBot="1" x14ac:dyDescent="0.3">
      <c r="H120" s="618"/>
      <c r="I120" s="621"/>
      <c r="J120" s="114" t="s">
        <v>105</v>
      </c>
      <c r="K120" s="115" cm="1">
        <f t="array" aca="1" ref="K120" ca="1">SUMPRODUCT(--($A$2:$A$66&gt;=K118),--($A$2:$A$66&lt;=K119),$E$2:$E$66)/SUMPRODUCT(--($A$2:$A$66&gt;=K118),--($A$2:$A$66&lt;=K119))</f>
        <v>16.509999999999994</v>
      </c>
    </row>
    <row r="121" spans="8:11" ht="15.75" thickBot="1" x14ac:dyDescent="0.3"/>
    <row r="122" spans="8:11" x14ac:dyDescent="0.25">
      <c r="H122" s="618" t="s">
        <v>267</v>
      </c>
      <c r="I122" s="619" t="s">
        <v>108</v>
      </c>
      <c r="J122" s="3" t="s">
        <v>103</v>
      </c>
      <c r="K122" s="112">
        <f ca="1">'Loading Arrival'!$L$12</f>
        <v>45918</v>
      </c>
    </row>
    <row r="123" spans="8:11" x14ac:dyDescent="0.25">
      <c r="H123" s="618"/>
      <c r="I123" s="620"/>
      <c r="J123" s="5" t="s">
        <v>104</v>
      </c>
      <c r="K123" s="113">
        <f ca="1">'Loading Arrival'!$L$18</f>
        <v>45925</v>
      </c>
    </row>
    <row r="124" spans="8:11" ht="15.75" thickBot="1" x14ac:dyDescent="0.3">
      <c r="H124" s="618"/>
      <c r="I124" s="620"/>
      <c r="J124" s="118" t="s">
        <v>105</v>
      </c>
      <c r="K124" s="119" cm="1">
        <f t="array" aca="1" ref="K124" ca="1">SUMPRODUCT(--($A$2:$A$66&gt;=K122),--($A$2:$A$66&lt;=K123),$E$2:$E$66)/SUMPRODUCT(--($A$2:$A$66&gt;=K122),--($A$2:$A$66&lt;=K123))</f>
        <v>23.241</v>
      </c>
    </row>
    <row r="125" spans="8:11" x14ac:dyDescent="0.25">
      <c r="H125" s="618"/>
      <c r="I125" s="620"/>
      <c r="J125" s="3" t="s">
        <v>106</v>
      </c>
      <c r="K125" s="116">
        <f ca="1">'Loading Arrival'!$M$12</f>
        <v>45932</v>
      </c>
    </row>
    <row r="126" spans="8:11" x14ac:dyDescent="0.25">
      <c r="H126" s="618"/>
      <c r="I126" s="620"/>
      <c r="J126" s="5" t="s">
        <v>104</v>
      </c>
      <c r="K126" s="117">
        <f ca="1">'Loading Arrival'!$M$18</f>
        <v>45939</v>
      </c>
    </row>
    <row r="127" spans="8:11" ht="15.75" thickBot="1" x14ac:dyDescent="0.3">
      <c r="H127" s="618"/>
      <c r="I127" s="620"/>
      <c r="J127" s="114" t="s">
        <v>105</v>
      </c>
      <c r="K127" s="115" cm="1">
        <f t="array" aca="1" ref="K127" ca="1">SUMPRODUCT(--($A$2:$A$66&gt;=K125),--($A$2:$A$66&lt;=K126),$E$2:$E$66)/SUMPRODUCT(--($A$2:$A$66&gt;=K125),--($A$2:$A$66&lt;=K126))</f>
        <v>16.509999999999994</v>
      </c>
    </row>
    <row r="128" spans="8:11" x14ac:dyDescent="0.25">
      <c r="H128" s="618"/>
      <c r="I128" s="620"/>
      <c r="J128" s="5" t="s">
        <v>107</v>
      </c>
      <c r="K128" s="117">
        <f ca="1">'Loading Arrival'!$N$12</f>
        <v>45946</v>
      </c>
    </row>
    <row r="129" spans="8:11" x14ac:dyDescent="0.25">
      <c r="H129" s="618"/>
      <c r="I129" s="620"/>
      <c r="J129" s="5" t="s">
        <v>104</v>
      </c>
      <c r="K129" s="117">
        <f ca="1">'Loading Arrival'!$N$18</f>
        <v>45953</v>
      </c>
    </row>
    <row r="130" spans="8:11" ht="15.75" thickBot="1" x14ac:dyDescent="0.3">
      <c r="H130" s="618"/>
      <c r="I130" s="621"/>
      <c r="J130" s="114" t="s">
        <v>105</v>
      </c>
      <c r="K130" s="115" cm="1">
        <f t="array" aca="1" ref="K130" ca="1">SUMPRODUCT(--($A$2:$A$66&gt;=K128),--($A$2:$A$66&lt;=K129),$E$2:$E$66)/SUMPRODUCT(--($A$2:$A$66&gt;=K128),--($A$2:$A$66&lt;=K129))</f>
        <v>16.509999999999994</v>
      </c>
    </row>
  </sheetData>
  <mergeCells count="25">
    <mergeCell ref="H122:H130"/>
    <mergeCell ref="I122:I130"/>
    <mergeCell ref="H92:H100"/>
    <mergeCell ref="I92:I100"/>
    <mergeCell ref="H102:H110"/>
    <mergeCell ref="I102:I110"/>
    <mergeCell ref="H112:H120"/>
    <mergeCell ref="I112:I120"/>
    <mergeCell ref="H62:H70"/>
    <mergeCell ref="I62:I70"/>
    <mergeCell ref="H72:H80"/>
    <mergeCell ref="I72:I80"/>
    <mergeCell ref="H82:H90"/>
    <mergeCell ref="I82:I90"/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87</v>
      </c>
    </row>
    <row r="2" spans="1:2" x14ac:dyDescent="0.25">
      <c r="A2">
        <v>2</v>
      </c>
      <c r="B2" t="s">
        <v>88</v>
      </c>
    </row>
    <row r="3" spans="1:2" x14ac:dyDescent="0.25">
      <c r="A3">
        <v>3</v>
      </c>
      <c r="B3" t="s">
        <v>89</v>
      </c>
    </row>
    <row r="4" spans="1:2" x14ac:dyDescent="0.25">
      <c r="A4">
        <v>4</v>
      </c>
      <c r="B4" t="s">
        <v>90</v>
      </c>
    </row>
    <row r="5" spans="1:2" x14ac:dyDescent="0.25">
      <c r="A5">
        <v>5</v>
      </c>
      <c r="B5" t="s">
        <v>91</v>
      </c>
    </row>
    <row r="6" spans="1:2" x14ac:dyDescent="0.25">
      <c r="A6">
        <v>6</v>
      </c>
      <c r="B6" t="s">
        <v>92</v>
      </c>
    </row>
    <row r="7" spans="1:2" x14ac:dyDescent="0.25">
      <c r="A7">
        <v>7</v>
      </c>
      <c r="B7" t="s">
        <v>93</v>
      </c>
    </row>
    <row r="8" spans="1:2" x14ac:dyDescent="0.25">
      <c r="A8">
        <v>8</v>
      </c>
      <c r="B8" t="s">
        <v>94</v>
      </c>
    </row>
    <row r="9" spans="1:2" x14ac:dyDescent="0.25">
      <c r="A9">
        <v>9</v>
      </c>
      <c r="B9" t="s">
        <v>95</v>
      </c>
    </row>
    <row r="10" spans="1:2" x14ac:dyDescent="0.25">
      <c r="A10">
        <v>10</v>
      </c>
      <c r="B10" t="s">
        <v>96</v>
      </c>
    </row>
    <row r="11" spans="1:2" x14ac:dyDescent="0.25">
      <c r="A11">
        <v>11</v>
      </c>
      <c r="B11" t="s">
        <v>97</v>
      </c>
    </row>
    <row r="12" spans="1:2" x14ac:dyDescent="0.25">
      <c r="A12">
        <v>12</v>
      </c>
      <c r="B12" t="s">
        <v>98</v>
      </c>
    </row>
  </sheetData>
  <pageMargins left="0.7" right="0.7" top="0.75" bottom="0.75" header="0.3" footer="0.3"/>
  <customProperties>
    <customPr name="_pios_id" r:id="rId1"/>
  </customPropertie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workbookViewId="0">
      <selection activeCell="N58" sqref="N58:S76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1" t="s">
        <v>0</v>
      </c>
      <c r="B1" s="262"/>
      <c r="C1" s="262"/>
      <c r="D1" s="262"/>
      <c r="E1" s="262"/>
      <c r="F1" s="263"/>
      <c r="G1" s="264"/>
      <c r="H1" s="265" t="s">
        <v>270</v>
      </c>
      <c r="I1" s="266">
        <v>66.23</v>
      </c>
      <c r="J1" s="267"/>
      <c r="K1" s="268"/>
      <c r="L1" s="268"/>
      <c r="M1" s="268"/>
      <c r="N1" s="268"/>
      <c r="O1" s="266"/>
      <c r="P1" s="269"/>
      <c r="Q1" s="270"/>
      <c r="R1" s="270"/>
      <c r="S1" s="271">
        <v>45908</v>
      </c>
    </row>
    <row r="2" spans="1:19" ht="12.75" customHeight="1" x14ac:dyDescent="0.25">
      <c r="A2" s="272" t="s">
        <v>1</v>
      </c>
      <c r="B2" s="273"/>
      <c r="C2" s="273"/>
      <c r="D2" s="273"/>
      <c r="E2" s="273"/>
      <c r="F2" s="273" t="s">
        <v>2</v>
      </c>
      <c r="G2" s="273"/>
      <c r="H2" s="273"/>
      <c r="I2" s="273"/>
      <c r="J2" s="273"/>
      <c r="K2" s="273"/>
      <c r="L2" s="273" t="s">
        <v>3</v>
      </c>
      <c r="M2" s="273"/>
      <c r="N2" s="273" t="s">
        <v>4</v>
      </c>
      <c r="O2" s="273"/>
      <c r="P2" s="273"/>
      <c r="Q2" s="273"/>
      <c r="R2" s="273"/>
      <c r="S2" s="273" t="s">
        <v>5</v>
      </c>
    </row>
    <row r="3" spans="1:19" ht="12.75" customHeight="1" x14ac:dyDescent="0.25">
      <c r="A3" s="274"/>
      <c r="B3" s="275" t="s">
        <v>6</v>
      </c>
      <c r="C3" s="275" t="s">
        <v>7</v>
      </c>
      <c r="D3" s="275" t="s">
        <v>8</v>
      </c>
      <c r="E3" s="275"/>
      <c r="F3" s="275" t="s">
        <v>9</v>
      </c>
      <c r="G3" s="275" t="s">
        <v>6</v>
      </c>
      <c r="H3" s="275" t="s">
        <v>7</v>
      </c>
      <c r="I3" s="275" t="s">
        <v>8</v>
      </c>
      <c r="J3" s="275"/>
      <c r="K3" s="275"/>
      <c r="L3" s="275" t="s">
        <v>10</v>
      </c>
      <c r="M3" s="275" t="s">
        <v>11</v>
      </c>
      <c r="N3" s="275"/>
      <c r="O3" s="275" t="s">
        <v>12</v>
      </c>
      <c r="P3" s="275" t="s">
        <v>6</v>
      </c>
      <c r="Q3" s="275" t="s">
        <v>7</v>
      </c>
      <c r="R3" s="275" t="s">
        <v>8</v>
      </c>
      <c r="S3" s="276" t="s">
        <v>13</v>
      </c>
    </row>
    <row r="4" spans="1:19" ht="12.75" customHeight="1" x14ac:dyDescent="0.25">
      <c r="A4" s="277">
        <v>45901</v>
      </c>
      <c r="B4" s="278">
        <v>373.75</v>
      </c>
      <c r="C4" s="278">
        <v>1.5</v>
      </c>
      <c r="D4" s="278">
        <v>-7.3500000000000005</v>
      </c>
      <c r="E4" s="277">
        <v>45901</v>
      </c>
      <c r="F4" s="278">
        <v>30.5</v>
      </c>
      <c r="G4" s="278">
        <v>404.25</v>
      </c>
      <c r="H4" s="278">
        <v>7</v>
      </c>
      <c r="I4" s="279">
        <v>-2.5468503937007876</v>
      </c>
      <c r="J4" s="279"/>
      <c r="K4" s="277">
        <v>45901</v>
      </c>
      <c r="L4" s="279">
        <v>38.775054347826028</v>
      </c>
      <c r="M4" s="280">
        <v>-3.25</v>
      </c>
      <c r="N4" s="277">
        <v>45901</v>
      </c>
      <c r="O4" s="281">
        <v>69.275054347826028</v>
      </c>
      <c r="P4" s="281">
        <v>443.02505434782603</v>
      </c>
      <c r="Q4" s="282">
        <v>3.75</v>
      </c>
      <c r="R4" s="282">
        <v>3.5606662706164283</v>
      </c>
      <c r="S4" s="283">
        <v>-245.62200447570336</v>
      </c>
    </row>
    <row r="5" spans="1:19" ht="12.75" customHeight="1" x14ac:dyDescent="0.25">
      <c r="A5" s="277">
        <v>45931</v>
      </c>
      <c r="B5" s="278">
        <v>372.25</v>
      </c>
      <c r="C5" s="278">
        <v>3.5</v>
      </c>
      <c r="D5" s="278">
        <v>-7.2</v>
      </c>
      <c r="E5" s="277">
        <v>45931</v>
      </c>
      <c r="F5" s="278">
        <v>25</v>
      </c>
      <c r="G5" s="278">
        <v>397.25</v>
      </c>
      <c r="H5" s="278">
        <v>5</v>
      </c>
      <c r="I5" s="279">
        <v>-3.262992125984252</v>
      </c>
      <c r="J5" s="279"/>
      <c r="K5" s="277">
        <v>45931</v>
      </c>
      <c r="L5" s="279">
        <v>42.025054347826028</v>
      </c>
      <c r="M5" s="280">
        <v>-1.25</v>
      </c>
      <c r="N5" s="277">
        <v>45931</v>
      </c>
      <c r="O5" s="281">
        <v>67.025054347826028</v>
      </c>
      <c r="P5" s="281">
        <v>439.27505434782603</v>
      </c>
      <c r="Q5" s="282">
        <v>3.75</v>
      </c>
      <c r="R5" s="282">
        <v>3.35</v>
      </c>
      <c r="S5" s="283">
        <v>-239.26842391304348</v>
      </c>
    </row>
    <row r="6" spans="1:19" ht="12.75" customHeight="1" x14ac:dyDescent="0.25">
      <c r="A6" s="277">
        <v>45962</v>
      </c>
      <c r="B6" s="278">
        <v>368.75</v>
      </c>
      <c r="C6" s="278">
        <v>2.25</v>
      </c>
      <c r="D6" s="278">
        <v>-7.45</v>
      </c>
      <c r="E6" s="277">
        <v>45962</v>
      </c>
      <c r="F6" s="278">
        <v>23.5</v>
      </c>
      <c r="G6" s="278">
        <v>392.25</v>
      </c>
      <c r="H6" s="278">
        <v>2.5</v>
      </c>
      <c r="I6" s="279">
        <v>-3.7492125984251969</v>
      </c>
      <c r="J6" s="279"/>
      <c r="K6" s="277">
        <v>45962</v>
      </c>
      <c r="L6" s="279">
        <v>43.275054347826028</v>
      </c>
      <c r="M6" s="280">
        <v>-0.25</v>
      </c>
      <c r="N6" s="277">
        <v>45962</v>
      </c>
      <c r="O6" s="281">
        <v>66.775054347826028</v>
      </c>
      <c r="P6" s="281">
        <v>435.52505434782603</v>
      </c>
      <c r="Q6" s="282">
        <v>2.25</v>
      </c>
      <c r="R6" s="282">
        <v>3.0513727319411075</v>
      </c>
      <c r="S6" s="283">
        <v>-229.43119565217393</v>
      </c>
    </row>
    <row r="7" spans="1:19" ht="12.75" customHeight="1" x14ac:dyDescent="0.25">
      <c r="A7" s="277">
        <v>45992</v>
      </c>
      <c r="B7" s="278">
        <v>366.5</v>
      </c>
      <c r="C7" s="278">
        <v>1.25</v>
      </c>
      <c r="D7" s="278">
        <v>-7.65</v>
      </c>
      <c r="E7" s="277">
        <v>45992</v>
      </c>
      <c r="F7" s="278">
        <v>23.25</v>
      </c>
      <c r="G7" s="278">
        <v>389.75</v>
      </c>
      <c r="H7" s="278">
        <v>2</v>
      </c>
      <c r="I7" s="279">
        <v>-3.9885826771653545</v>
      </c>
      <c r="J7" s="279"/>
      <c r="K7" s="277">
        <v>45992</v>
      </c>
      <c r="L7" s="279">
        <v>43.525054347826028</v>
      </c>
      <c r="M7" s="280">
        <v>-1</v>
      </c>
      <c r="N7" s="277">
        <v>45992</v>
      </c>
      <c r="O7" s="281">
        <v>66.775054347826028</v>
      </c>
      <c r="P7" s="281">
        <v>433.27505434782603</v>
      </c>
      <c r="Q7" s="282">
        <v>1</v>
      </c>
      <c r="R7" s="282">
        <v>2.8896470957434488</v>
      </c>
      <c r="S7" s="283">
        <v>-221.82820652173922</v>
      </c>
    </row>
    <row r="8" spans="1:19" ht="12.75" customHeight="1" x14ac:dyDescent="0.25">
      <c r="A8" s="277">
        <v>46023</v>
      </c>
      <c r="B8" s="278">
        <v>365.25</v>
      </c>
      <c r="C8" s="278">
        <v>1</v>
      </c>
      <c r="D8" s="278">
        <v>-7.75</v>
      </c>
      <c r="E8" s="277">
        <v>46023</v>
      </c>
      <c r="F8" s="278">
        <v>22.5</v>
      </c>
      <c r="G8" s="278">
        <v>387.75</v>
      </c>
      <c r="H8" s="278">
        <v>1</v>
      </c>
      <c r="I8" s="279">
        <v>-4.206692913385826</v>
      </c>
      <c r="J8" s="279"/>
      <c r="K8" s="277">
        <v>46023</v>
      </c>
      <c r="L8" s="279">
        <v>44.525054347826028</v>
      </c>
      <c r="M8" s="280">
        <v>0</v>
      </c>
      <c r="N8" s="277">
        <v>46023</v>
      </c>
      <c r="O8" s="281">
        <v>67.025054347826028</v>
      </c>
      <c r="P8" s="281">
        <v>432.27505434782603</v>
      </c>
      <c r="Q8" s="282">
        <v>1</v>
      </c>
      <c r="R8" s="282">
        <v>2.8105124658948046</v>
      </c>
      <c r="S8" s="283">
        <v>-220.34994565217397</v>
      </c>
    </row>
    <row r="9" spans="1:19" ht="12.75" customHeight="1" x14ac:dyDescent="0.25">
      <c r="A9" s="277">
        <v>46054</v>
      </c>
      <c r="B9" s="278">
        <v>364.25</v>
      </c>
      <c r="C9" s="278">
        <v>0.25</v>
      </c>
      <c r="D9" s="278">
        <v>-7.9</v>
      </c>
      <c r="E9" s="277">
        <v>46054</v>
      </c>
      <c r="F9" s="278">
        <v>22.5</v>
      </c>
      <c r="G9" s="278">
        <v>386.75</v>
      </c>
      <c r="H9" s="278">
        <v>0.75</v>
      </c>
      <c r="I9" s="279">
        <v>-4.3566929133858263</v>
      </c>
      <c r="J9" s="279"/>
      <c r="K9" s="277">
        <v>46054</v>
      </c>
      <c r="L9" s="279">
        <v>44.525054347826028</v>
      </c>
      <c r="M9" s="280">
        <v>0.25</v>
      </c>
      <c r="N9" s="277">
        <v>46054</v>
      </c>
      <c r="O9" s="281">
        <v>67.025054347826028</v>
      </c>
      <c r="P9" s="281">
        <v>431.27505434782603</v>
      </c>
      <c r="Q9" s="282">
        <v>1</v>
      </c>
      <c r="R9" s="282">
        <v>2.6767272266917619</v>
      </c>
      <c r="S9" s="283">
        <v>-216.97494565217397</v>
      </c>
    </row>
    <row r="10" spans="1:19" ht="12" customHeight="1" x14ac:dyDescent="0.25">
      <c r="A10" s="277">
        <v>46082</v>
      </c>
      <c r="B10" s="278">
        <v>364</v>
      </c>
      <c r="C10" s="278">
        <v>0</v>
      </c>
      <c r="D10" s="278">
        <v>-7.9</v>
      </c>
      <c r="E10" s="277">
        <v>46082</v>
      </c>
      <c r="F10" s="278">
        <v>22</v>
      </c>
      <c r="G10" s="278">
        <v>386</v>
      </c>
      <c r="H10" s="278">
        <v>0.75</v>
      </c>
      <c r="I10" s="279">
        <v>-4.435433070866142</v>
      </c>
      <c r="J10" s="279"/>
      <c r="K10" s="277">
        <v>46082</v>
      </c>
      <c r="L10" s="279">
        <v>44.275054347826028</v>
      </c>
      <c r="M10" s="280">
        <v>0.25</v>
      </c>
      <c r="N10" s="277">
        <v>46082</v>
      </c>
      <c r="O10" s="281">
        <v>66.275054347826028</v>
      </c>
      <c r="P10" s="281">
        <v>430.27505434782603</v>
      </c>
      <c r="Q10" s="282">
        <v>1</v>
      </c>
      <c r="R10" s="282">
        <v>2.5238094117311256</v>
      </c>
      <c r="S10" s="283">
        <v>-213.34994565217397</v>
      </c>
    </row>
    <row r="11" spans="1:19" ht="12.75" customHeight="1" x14ac:dyDescent="0.25">
      <c r="A11" s="277">
        <v>46113</v>
      </c>
      <c r="B11" s="278">
        <v>364</v>
      </c>
      <c r="C11" s="278">
        <v>0.25</v>
      </c>
      <c r="D11" s="278">
        <v>-7.9</v>
      </c>
      <c r="E11" s="277">
        <v>46113</v>
      </c>
      <c r="F11" s="278">
        <v>21.25</v>
      </c>
      <c r="G11" s="278">
        <v>385.25</v>
      </c>
      <c r="H11" s="278">
        <v>0.75</v>
      </c>
      <c r="I11" s="279">
        <v>-4.5535433070866143</v>
      </c>
      <c r="J11" s="279"/>
      <c r="K11" s="277">
        <v>46113</v>
      </c>
      <c r="L11" s="279">
        <v>44.025054347826028</v>
      </c>
      <c r="M11" s="280">
        <v>0.25</v>
      </c>
      <c r="N11" s="277">
        <v>46113</v>
      </c>
      <c r="O11" s="281">
        <v>65.275054347826028</v>
      </c>
      <c r="P11" s="281">
        <v>429.27505434782603</v>
      </c>
      <c r="Q11" s="282">
        <v>1</v>
      </c>
      <c r="R11" s="282">
        <v>2.3718215210129152</v>
      </c>
      <c r="S11" s="283">
        <v>-207.97494565217397</v>
      </c>
    </row>
    <row r="12" spans="1:19" ht="12.75" customHeight="1" x14ac:dyDescent="0.25">
      <c r="A12" s="277">
        <v>46143</v>
      </c>
      <c r="B12" s="278">
        <v>363.75</v>
      </c>
      <c r="C12" s="278">
        <v>0.5</v>
      </c>
      <c r="D12" s="278">
        <v>-7.9</v>
      </c>
      <c r="E12" s="277">
        <v>46143</v>
      </c>
      <c r="F12" s="278">
        <v>20.75</v>
      </c>
      <c r="G12" s="278">
        <v>384.5</v>
      </c>
      <c r="H12" s="278">
        <v>0.75</v>
      </c>
      <c r="I12" s="279">
        <v>-4.63228346456693</v>
      </c>
      <c r="J12" s="279"/>
      <c r="K12" s="277">
        <v>46143</v>
      </c>
      <c r="L12" s="279">
        <v>43.775054347826028</v>
      </c>
      <c r="M12" s="280">
        <v>0.5</v>
      </c>
      <c r="N12" s="277">
        <v>46143</v>
      </c>
      <c r="O12" s="281">
        <v>64.525054347826028</v>
      </c>
      <c r="P12" s="281">
        <v>428.27505434782603</v>
      </c>
      <c r="Q12" s="282">
        <v>1.25</v>
      </c>
      <c r="R12" s="282">
        <v>2.2385015595876521</v>
      </c>
      <c r="S12" s="283">
        <v>-206.22494565217397</v>
      </c>
    </row>
    <row r="13" spans="1:19" ht="12.75" customHeight="1" x14ac:dyDescent="0.25">
      <c r="A13" s="277">
        <v>46174</v>
      </c>
      <c r="B13" s="278">
        <v>363.25</v>
      </c>
      <c r="C13" s="278">
        <v>1.25</v>
      </c>
      <c r="D13" s="278">
        <v>-8</v>
      </c>
      <c r="E13" s="277">
        <v>46174</v>
      </c>
      <c r="F13" s="278">
        <v>20.5</v>
      </c>
      <c r="G13" s="278">
        <v>383.75</v>
      </c>
      <c r="H13" s="278">
        <v>1</v>
      </c>
      <c r="I13" s="279">
        <v>-4.771653543307087</v>
      </c>
      <c r="J13" s="279"/>
      <c r="K13" s="277">
        <v>46174</v>
      </c>
      <c r="L13" s="279">
        <v>43.275054347826028</v>
      </c>
      <c r="M13" s="280">
        <v>0.25</v>
      </c>
      <c r="N13" s="277">
        <v>46174</v>
      </c>
      <c r="O13" s="281">
        <v>63.775054347826028</v>
      </c>
      <c r="P13" s="281">
        <v>427.02505434782603</v>
      </c>
      <c r="Q13" s="282">
        <v>1.25</v>
      </c>
      <c r="R13" s="282">
        <v>2.0557483881090803</v>
      </c>
      <c r="S13" s="283">
        <v>-205.34994565217397</v>
      </c>
    </row>
    <row r="14" spans="1:19" ht="12.75" customHeight="1" x14ac:dyDescent="0.25">
      <c r="A14" s="277">
        <v>46204</v>
      </c>
      <c r="B14" s="278">
        <v>362</v>
      </c>
      <c r="C14" s="278">
        <v>2.5</v>
      </c>
      <c r="D14" s="278">
        <v>-8.2000000000000011</v>
      </c>
      <c r="E14" s="277">
        <v>46204</v>
      </c>
      <c r="F14" s="278">
        <v>20.75</v>
      </c>
      <c r="G14" s="278">
        <v>382.75</v>
      </c>
      <c r="H14" s="278">
        <v>1.5</v>
      </c>
      <c r="I14" s="279">
        <v>-4.9322834645669307</v>
      </c>
      <c r="J14" s="279"/>
      <c r="K14" s="277">
        <v>46204</v>
      </c>
      <c r="L14" s="279">
        <v>43.025054347826028</v>
      </c>
      <c r="M14" s="280">
        <v>-0.5</v>
      </c>
      <c r="N14" s="277">
        <v>46204</v>
      </c>
      <c r="O14" s="281">
        <v>63.775054347826028</v>
      </c>
      <c r="P14" s="281">
        <v>425.77505434782603</v>
      </c>
      <c r="Q14" s="282">
        <v>1</v>
      </c>
      <c r="R14" s="282">
        <v>1.863037487161904</v>
      </c>
      <c r="S14" s="283">
        <v>-205.72494565217397</v>
      </c>
    </row>
    <row r="15" spans="1:19" ht="12.75" customHeight="1" x14ac:dyDescent="0.25">
      <c r="A15" s="277">
        <v>46235</v>
      </c>
      <c r="B15" s="278">
        <v>359.5</v>
      </c>
      <c r="C15" s="278">
        <v>3.5</v>
      </c>
      <c r="D15" s="278">
        <v>-8.6</v>
      </c>
      <c r="E15" s="277">
        <v>46235</v>
      </c>
      <c r="F15" s="278">
        <v>21.75</v>
      </c>
      <c r="G15" s="278">
        <v>381.25</v>
      </c>
      <c r="H15" s="278">
        <v>2</v>
      </c>
      <c r="I15" s="279">
        <v>-5.1748031496062987</v>
      </c>
      <c r="J15" s="279"/>
      <c r="K15" s="277">
        <v>46235</v>
      </c>
      <c r="L15" s="279">
        <v>43.525054347826028</v>
      </c>
      <c r="M15" s="280">
        <v>-1</v>
      </c>
      <c r="N15" s="277">
        <v>46235</v>
      </c>
      <c r="O15" s="281">
        <v>65.275054347826028</v>
      </c>
      <c r="P15" s="281">
        <v>424.77505434782603</v>
      </c>
      <c r="Q15" s="282">
        <v>1</v>
      </c>
      <c r="R15" s="282">
        <v>1.6970029969079725</v>
      </c>
      <c r="S15" s="283">
        <v>-206.34994565217397</v>
      </c>
    </row>
    <row r="16" spans="1:19" ht="12.75" customHeight="1" x14ac:dyDescent="0.25">
      <c r="A16" s="277">
        <v>46266</v>
      </c>
      <c r="B16" s="278">
        <v>356</v>
      </c>
      <c r="C16" s="278">
        <v>3.75</v>
      </c>
      <c r="D16" s="278">
        <v>-9.15</v>
      </c>
      <c r="E16" s="277">
        <v>46266</v>
      </c>
      <c r="F16" s="278">
        <v>23.25</v>
      </c>
      <c r="G16" s="278">
        <v>379.25</v>
      </c>
      <c r="H16" s="278">
        <v>2.5</v>
      </c>
      <c r="I16" s="279">
        <v>-5.4885826771653541</v>
      </c>
      <c r="J16" s="279"/>
      <c r="K16" s="277">
        <v>46266</v>
      </c>
      <c r="L16" s="279">
        <v>44.525054347826028</v>
      </c>
      <c r="M16" s="280">
        <v>-1.5</v>
      </c>
      <c r="N16" s="277">
        <v>46266</v>
      </c>
      <c r="O16" s="281">
        <v>67.775054347826028</v>
      </c>
      <c r="P16" s="281">
        <v>423.77505434782603</v>
      </c>
      <c r="Q16" s="282">
        <v>1</v>
      </c>
      <c r="R16" s="282">
        <v>1.5058691826688531</v>
      </c>
      <c r="S16" s="283">
        <v>-207.47494565217397</v>
      </c>
    </row>
    <row r="17" spans="1:19" ht="12.75" customHeight="1" x14ac:dyDescent="0.25">
      <c r="A17" s="277">
        <v>46296</v>
      </c>
      <c r="B17" s="278">
        <v>352.25</v>
      </c>
      <c r="C17" s="278">
        <v>2.5</v>
      </c>
      <c r="D17" s="278">
        <v>-9.8000000000000007</v>
      </c>
      <c r="E17" s="277">
        <v>46296</v>
      </c>
      <c r="F17" s="278">
        <v>24.5</v>
      </c>
      <c r="G17" s="278">
        <v>376.75</v>
      </c>
      <c r="H17" s="278">
        <v>2</v>
      </c>
      <c r="I17" s="279">
        <v>-5.9417322834645674</v>
      </c>
      <c r="J17" s="279"/>
      <c r="K17" s="277">
        <v>46296</v>
      </c>
      <c r="L17" s="279">
        <v>46.025054347826028</v>
      </c>
      <c r="M17" s="280">
        <v>-1.25</v>
      </c>
      <c r="N17" s="277">
        <v>46296</v>
      </c>
      <c r="O17" s="281">
        <v>70.525054347826028</v>
      </c>
      <c r="P17" s="281">
        <v>422.77505434782603</v>
      </c>
      <c r="Q17" s="282">
        <v>0.75</v>
      </c>
      <c r="R17" s="282">
        <v>1.3148930543110922</v>
      </c>
      <c r="S17" s="283">
        <v>-209.59994565217397</v>
      </c>
    </row>
    <row r="18" spans="1:19" ht="12.75" customHeight="1" x14ac:dyDescent="0.25">
      <c r="A18" s="277">
        <v>46327</v>
      </c>
      <c r="B18" s="278">
        <v>349.75</v>
      </c>
      <c r="C18" s="278">
        <v>1.25</v>
      </c>
      <c r="D18" s="278">
        <v>-10.200000000000001</v>
      </c>
      <c r="E18" s="277">
        <v>46327</v>
      </c>
      <c r="F18" s="278">
        <v>25</v>
      </c>
      <c r="G18" s="278">
        <v>374.75</v>
      </c>
      <c r="H18" s="278">
        <v>1</v>
      </c>
      <c r="I18" s="279">
        <v>-6.2629921259842529</v>
      </c>
      <c r="J18" s="279"/>
      <c r="K18" s="277">
        <v>46327</v>
      </c>
      <c r="L18" s="279">
        <v>47.275054347826028</v>
      </c>
      <c r="M18" s="280">
        <v>-0.25</v>
      </c>
      <c r="N18" s="277">
        <v>46327</v>
      </c>
      <c r="O18" s="281">
        <v>72.275054347826028</v>
      </c>
      <c r="P18" s="281">
        <v>422.02505434782603</v>
      </c>
      <c r="Q18" s="282">
        <v>0.75</v>
      </c>
      <c r="R18" s="282">
        <v>1.2034768258372761</v>
      </c>
      <c r="S18" s="283">
        <v>-208.84994565217397</v>
      </c>
    </row>
    <row r="19" spans="1:19" ht="12.75" customHeight="1" x14ac:dyDescent="0.25">
      <c r="A19" s="277">
        <v>46357</v>
      </c>
      <c r="B19" s="278">
        <v>348.5</v>
      </c>
      <c r="C19" s="278">
        <v>-1.5</v>
      </c>
      <c r="D19" s="278">
        <v>-10.4</v>
      </c>
      <c r="E19" s="277">
        <v>46357</v>
      </c>
      <c r="F19" s="278">
        <v>25.25</v>
      </c>
      <c r="G19" s="278">
        <v>373.75</v>
      </c>
      <c r="H19" s="278">
        <v>-0.5</v>
      </c>
      <c r="I19" s="279">
        <v>-6.4236220472440948</v>
      </c>
      <c r="J19" s="279"/>
      <c r="K19" s="277">
        <v>46357</v>
      </c>
      <c r="L19" s="279">
        <v>47.525054347826028</v>
      </c>
      <c r="M19" s="280">
        <v>1</v>
      </c>
      <c r="N19" s="277">
        <v>46357</v>
      </c>
      <c r="O19" s="281">
        <v>72.775054347826028</v>
      </c>
      <c r="P19" s="281">
        <v>421.27505434782603</v>
      </c>
      <c r="Q19" s="282">
        <v>0.5</v>
      </c>
      <c r="R19" s="282">
        <v>1.0848718745683161</v>
      </c>
      <c r="S19" s="283">
        <v>-207.22494565217397</v>
      </c>
    </row>
    <row r="20" spans="1:19" ht="12.75" customHeight="1" x14ac:dyDescent="0.25">
      <c r="A20" s="277">
        <v>46388</v>
      </c>
      <c r="B20" s="278">
        <v>350</v>
      </c>
      <c r="C20" s="278">
        <v>-1.5</v>
      </c>
      <c r="D20" s="278">
        <v>-10.200000000000001</v>
      </c>
      <c r="E20" s="277">
        <v>46388</v>
      </c>
      <c r="F20" s="278">
        <v>24.25</v>
      </c>
      <c r="G20" s="278">
        <v>374.25</v>
      </c>
      <c r="H20" s="278">
        <v>-0.5</v>
      </c>
      <c r="I20" s="279">
        <v>-6.3811023622047252</v>
      </c>
      <c r="J20" s="279"/>
      <c r="K20" s="277">
        <v>46388</v>
      </c>
      <c r="L20" s="279">
        <v>46.525054347826028</v>
      </c>
      <c r="M20" s="280">
        <v>0.75</v>
      </c>
      <c r="N20" s="277">
        <v>46388</v>
      </c>
      <c r="O20" s="281">
        <v>70.775054347826028</v>
      </c>
      <c r="P20" s="281">
        <v>420.77505434782603</v>
      </c>
      <c r="Q20" s="282">
        <v>0.25</v>
      </c>
      <c r="R20" s="282">
        <v>0.96403244717407865</v>
      </c>
      <c r="S20" s="283">
        <v>-207.59994565217397</v>
      </c>
    </row>
    <row r="21" spans="1:19" ht="12.75" customHeight="1" x14ac:dyDescent="0.25">
      <c r="A21" s="277">
        <v>46419</v>
      </c>
      <c r="B21" s="278">
        <v>351.5</v>
      </c>
      <c r="C21" s="278">
        <v>-1.5</v>
      </c>
      <c r="D21" s="278">
        <v>-10</v>
      </c>
      <c r="E21" s="277">
        <v>46419</v>
      </c>
      <c r="F21" s="278">
        <v>23.25</v>
      </c>
      <c r="G21" s="278">
        <v>374.75</v>
      </c>
      <c r="H21" s="278">
        <v>-0.5</v>
      </c>
      <c r="I21" s="279">
        <v>-6.3385826771653537</v>
      </c>
      <c r="J21" s="279"/>
      <c r="K21" s="277">
        <v>46419</v>
      </c>
      <c r="L21" s="279">
        <v>45.775054347826028</v>
      </c>
      <c r="M21" s="280">
        <v>0.75</v>
      </c>
      <c r="N21" s="277">
        <v>46419</v>
      </c>
      <c r="O21" s="281">
        <v>69.025054347826028</v>
      </c>
      <c r="P21" s="281">
        <v>420.52505434782603</v>
      </c>
      <c r="Q21" s="282">
        <v>0.25</v>
      </c>
      <c r="R21" s="282">
        <v>0.86794870928606471</v>
      </c>
      <c r="S21" s="283">
        <v>-208.34994565217397</v>
      </c>
    </row>
    <row r="22" spans="1:19" ht="12.75" customHeight="1" x14ac:dyDescent="0.25">
      <c r="A22" s="277">
        <v>46447</v>
      </c>
      <c r="B22" s="278">
        <v>353</v>
      </c>
      <c r="C22" s="278"/>
      <c r="D22" s="278">
        <v>-9.8000000000000007</v>
      </c>
      <c r="E22" s="277">
        <v>46447</v>
      </c>
      <c r="F22" s="278">
        <v>22.25</v>
      </c>
      <c r="G22" s="278">
        <v>375.25</v>
      </c>
      <c r="H22" s="278"/>
      <c r="I22" s="279">
        <v>-6.296062992125985</v>
      </c>
      <c r="J22" s="279"/>
      <c r="K22" s="277">
        <v>46447</v>
      </c>
      <c r="L22" s="279">
        <v>45.025054347826028</v>
      </c>
      <c r="M22" s="280"/>
      <c r="N22" s="277">
        <v>46447</v>
      </c>
      <c r="O22" s="281">
        <v>67.275054347826028</v>
      </c>
      <c r="P22" s="281">
        <v>420.27505434782603</v>
      </c>
      <c r="Q22" s="282"/>
      <c r="R22" s="282">
        <v>0.77121306990515492</v>
      </c>
      <c r="S22" s="283">
        <v>-208.84994565217397</v>
      </c>
    </row>
    <row r="23" spans="1:19" ht="12.75" customHeight="1" x14ac:dyDescent="0.25">
      <c r="A23" s="284"/>
      <c r="B23" s="280"/>
      <c r="C23" s="278"/>
      <c r="D23" s="278"/>
      <c r="E23" s="284"/>
      <c r="F23" s="280"/>
      <c r="G23" s="278"/>
      <c r="H23" s="278"/>
      <c r="I23" s="279"/>
      <c r="J23" s="279"/>
      <c r="K23" s="284"/>
      <c r="L23" s="279"/>
      <c r="M23" s="280"/>
      <c r="N23" s="284"/>
      <c r="O23" s="281"/>
      <c r="P23" s="281"/>
      <c r="Q23" s="282"/>
      <c r="R23" s="282"/>
      <c r="S23" s="283"/>
    </row>
    <row r="24" spans="1:19" ht="12.75" customHeight="1" x14ac:dyDescent="0.25">
      <c r="A24" s="285" t="s">
        <v>153</v>
      </c>
      <c r="B24" s="278">
        <v>369.16666666666669</v>
      </c>
      <c r="C24" s="278">
        <v>4.6666666666666856</v>
      </c>
      <c r="D24" s="278">
        <v>-7.45</v>
      </c>
      <c r="E24" s="285" t="s">
        <v>153</v>
      </c>
      <c r="F24" s="278">
        <v>23.916666666666668</v>
      </c>
      <c r="G24" s="278">
        <v>393.08333333333337</v>
      </c>
      <c r="H24" s="278">
        <v>6.2500000000000568</v>
      </c>
      <c r="I24" s="279">
        <v>-3.6835958005249343</v>
      </c>
      <c r="J24" s="279"/>
      <c r="K24" s="285" t="s">
        <v>153</v>
      </c>
      <c r="L24" s="279">
        <v>42.941721014492657</v>
      </c>
      <c r="M24" s="280">
        <v>-1.5000000000000568</v>
      </c>
      <c r="N24" s="285" t="s">
        <v>153</v>
      </c>
      <c r="O24" s="281">
        <v>66.858387681159343</v>
      </c>
      <c r="P24" s="281">
        <v>436.02505434782603</v>
      </c>
      <c r="Q24" s="282">
        <v>4.75</v>
      </c>
      <c r="R24" s="282">
        <v>3.0970066092281852</v>
      </c>
      <c r="S24" s="283">
        <v>-230.17594202898553</v>
      </c>
    </row>
    <row r="25" spans="1:19" ht="12.75" customHeight="1" x14ac:dyDescent="0.25">
      <c r="A25" s="285" t="s">
        <v>159</v>
      </c>
      <c r="B25" s="278">
        <v>364.5</v>
      </c>
      <c r="C25" s="278">
        <v>0.83333333333331439</v>
      </c>
      <c r="D25" s="278">
        <v>-7.8500000000000005</v>
      </c>
      <c r="E25" s="285" t="s">
        <v>159</v>
      </c>
      <c r="F25" s="278">
        <v>22.333333333333332</v>
      </c>
      <c r="G25" s="278">
        <v>386.83333333333331</v>
      </c>
      <c r="H25" s="278">
        <v>2.3333333333333144</v>
      </c>
      <c r="I25" s="279">
        <v>-4.3329396325459317</v>
      </c>
      <c r="J25" s="279"/>
      <c r="K25" s="285" t="s">
        <v>159</v>
      </c>
      <c r="L25" s="279">
        <v>44.441721014492714</v>
      </c>
      <c r="M25" s="280">
        <v>0.75</v>
      </c>
      <c r="N25" s="285" t="s">
        <v>159</v>
      </c>
      <c r="O25" s="281">
        <v>66.775054347826028</v>
      </c>
      <c r="P25" s="281">
        <v>431.27505434782603</v>
      </c>
      <c r="Q25" s="282">
        <v>3.0833333333333144</v>
      </c>
      <c r="R25" s="282">
        <v>2.6703497014392306</v>
      </c>
      <c r="S25" s="283">
        <v>-216.89161231884063</v>
      </c>
    </row>
    <row r="26" spans="1:19" ht="12.75" customHeight="1" x14ac:dyDescent="0.25">
      <c r="A26" s="285" t="s">
        <v>160</v>
      </c>
      <c r="B26" s="278">
        <v>363.66666666666669</v>
      </c>
      <c r="C26" s="278">
        <v>4.5</v>
      </c>
      <c r="D26" s="278">
        <v>-7.95</v>
      </c>
      <c r="E26" s="285" t="s">
        <v>160</v>
      </c>
      <c r="F26" s="278">
        <v>20.833333333333332</v>
      </c>
      <c r="G26" s="278">
        <v>384.5</v>
      </c>
      <c r="H26" s="278">
        <v>3.4166666666666288</v>
      </c>
      <c r="I26" s="279">
        <v>-4.6691601049868767</v>
      </c>
      <c r="J26" s="279"/>
      <c r="K26" s="285" t="s">
        <v>160</v>
      </c>
      <c r="L26" s="279">
        <v>43.691721014492714</v>
      </c>
      <c r="M26" s="280">
        <v>5.6843418860808015E-14</v>
      </c>
      <c r="N26" s="285" t="s">
        <v>160</v>
      </c>
      <c r="O26" s="281">
        <v>64.525054347826028</v>
      </c>
      <c r="P26" s="281">
        <v>428.19172101449271</v>
      </c>
      <c r="Q26" s="282">
        <v>3.4166666666666856</v>
      </c>
      <c r="R26" s="282">
        <v>2.2220238229032159</v>
      </c>
      <c r="S26" s="283">
        <v>-206.51661231884063</v>
      </c>
    </row>
    <row r="27" spans="1:19" ht="12.75" customHeight="1" x14ac:dyDescent="0.25">
      <c r="A27" s="285" t="s">
        <v>161</v>
      </c>
      <c r="B27" s="278">
        <v>359.16666666666669</v>
      </c>
      <c r="C27" s="278">
        <v>9</v>
      </c>
      <c r="D27" s="278">
        <v>-8.65</v>
      </c>
      <c r="E27" s="285" t="s">
        <v>161</v>
      </c>
      <c r="F27" s="278">
        <v>21.916666666666668</v>
      </c>
      <c r="G27" s="278">
        <v>381.08333333333337</v>
      </c>
      <c r="H27" s="278">
        <v>6</v>
      </c>
      <c r="I27" s="279">
        <v>-5.1985564304461942</v>
      </c>
      <c r="J27" s="279"/>
      <c r="K27" s="285" t="s">
        <v>161</v>
      </c>
      <c r="L27" s="279">
        <v>43.691721014492657</v>
      </c>
      <c r="M27" s="280">
        <v>-3.25</v>
      </c>
      <c r="N27" s="285" t="s">
        <v>161</v>
      </c>
      <c r="O27" s="281">
        <v>65.608387681159343</v>
      </c>
      <c r="P27" s="281">
        <v>424.77505434782603</v>
      </c>
      <c r="Q27" s="282">
        <v>2.75</v>
      </c>
      <c r="R27" s="282">
        <v>1.6886365555795766</v>
      </c>
      <c r="S27" s="283">
        <v>-206.51661231884063</v>
      </c>
    </row>
    <row r="28" spans="1:19" ht="12.75" customHeight="1" x14ac:dyDescent="0.25">
      <c r="A28" s="285" t="s">
        <v>162</v>
      </c>
      <c r="B28" s="278">
        <v>350.16666666666669</v>
      </c>
      <c r="C28" s="278">
        <v>-1.3333333333333144</v>
      </c>
      <c r="D28" s="278">
        <v>-10.15</v>
      </c>
      <c r="E28" s="285" t="s">
        <v>162</v>
      </c>
      <c r="F28" s="278">
        <v>24.916666666666668</v>
      </c>
      <c r="G28" s="278">
        <v>375.08333333333337</v>
      </c>
      <c r="H28" s="278">
        <v>0.33333333333337123</v>
      </c>
      <c r="I28" s="279">
        <v>-6.2261154855643044</v>
      </c>
      <c r="J28" s="279"/>
      <c r="K28" s="285" t="s">
        <v>162</v>
      </c>
      <c r="L28" s="279">
        <v>46.941721014492657</v>
      </c>
      <c r="M28" s="280">
        <v>1.1666666666666288</v>
      </c>
      <c r="N28" s="285" t="s">
        <v>162</v>
      </c>
      <c r="O28" s="281">
        <v>71.858387681159343</v>
      </c>
      <c r="P28" s="281">
        <v>422.02505434782603</v>
      </c>
      <c r="Q28" s="282">
        <v>1.5</v>
      </c>
      <c r="R28" s="282">
        <v>1.2010805849055615</v>
      </c>
      <c r="S28" s="283">
        <v>-208.55827898550729</v>
      </c>
    </row>
    <row r="29" spans="1:19" ht="12.75" customHeight="1" x14ac:dyDescent="0.25">
      <c r="A29" s="285" t="s">
        <v>234</v>
      </c>
      <c r="B29" s="278">
        <v>351.5</v>
      </c>
      <c r="C29" s="278"/>
      <c r="D29" s="278">
        <v>-10</v>
      </c>
      <c r="E29" s="285" t="s">
        <v>234</v>
      </c>
      <c r="F29" s="278">
        <v>23.25</v>
      </c>
      <c r="G29" s="278">
        <v>374.75</v>
      </c>
      <c r="H29" s="278"/>
      <c r="I29" s="279">
        <v>-6.3385826771653537</v>
      </c>
      <c r="J29" s="279"/>
      <c r="K29" s="285" t="s">
        <v>234</v>
      </c>
      <c r="L29" s="279">
        <v>45.775054347826028</v>
      </c>
      <c r="M29" s="280"/>
      <c r="N29" s="285" t="s">
        <v>234</v>
      </c>
      <c r="O29" s="281">
        <v>69.025054347826028</v>
      </c>
      <c r="P29" s="281">
        <v>420.52505434782603</v>
      </c>
      <c r="Q29" s="282"/>
      <c r="R29" s="282">
        <v>0.8677314087884328</v>
      </c>
      <c r="S29" s="283">
        <v>-208.26661231884063</v>
      </c>
    </row>
    <row r="30" spans="1:19" ht="12.75" customHeight="1" x14ac:dyDescent="0.25">
      <c r="A30" s="286" t="s">
        <v>163</v>
      </c>
      <c r="B30" s="278">
        <v>359.375</v>
      </c>
      <c r="C30" s="282"/>
      <c r="D30" s="278">
        <v>-8.65</v>
      </c>
      <c r="E30" s="286" t="s">
        <v>163</v>
      </c>
      <c r="F30" s="278">
        <v>22.5</v>
      </c>
      <c r="G30" s="278">
        <v>381.875</v>
      </c>
      <c r="H30" s="282"/>
      <c r="I30" s="279">
        <v>-5.1066929133858263</v>
      </c>
      <c r="J30" s="281"/>
      <c r="K30" s="285" t="s">
        <v>163</v>
      </c>
      <c r="L30" s="279">
        <v>44.691721014492657</v>
      </c>
      <c r="M30" s="282"/>
      <c r="N30" s="285" t="s">
        <v>163</v>
      </c>
      <c r="O30" s="281">
        <v>67.191721014492657</v>
      </c>
      <c r="P30" s="281">
        <v>426.56672101449266</v>
      </c>
      <c r="Q30" s="282"/>
      <c r="R30" s="282">
        <v>1.9455226662068961</v>
      </c>
      <c r="S30" s="283">
        <v>-209.62077898550729</v>
      </c>
    </row>
    <row r="31" spans="1:19" ht="12.75" customHeight="1" x14ac:dyDescent="0.25">
      <c r="A31" s="287" t="s">
        <v>14</v>
      </c>
      <c r="B31" s="288"/>
      <c r="C31" s="288"/>
      <c r="D31" s="288"/>
      <c r="E31" s="289" t="s">
        <v>15</v>
      </c>
      <c r="F31" s="288"/>
      <c r="G31" s="288"/>
      <c r="H31" s="289" t="s">
        <v>16</v>
      </c>
      <c r="I31" s="288"/>
      <c r="J31" s="288"/>
      <c r="K31" s="289" t="s">
        <v>17</v>
      </c>
      <c r="L31" s="288"/>
      <c r="M31" s="288"/>
      <c r="N31" s="289" t="s">
        <v>18</v>
      </c>
      <c r="O31" s="288"/>
      <c r="P31" s="288"/>
      <c r="Q31" s="289" t="s">
        <v>19</v>
      </c>
      <c r="R31" s="288"/>
      <c r="S31" s="290"/>
    </row>
    <row r="32" spans="1:19" ht="12.75" customHeight="1" x14ac:dyDescent="0.25">
      <c r="A32" s="291"/>
      <c r="B32" s="292" t="s">
        <v>20</v>
      </c>
      <c r="C32" s="292" t="s">
        <v>21</v>
      </c>
      <c r="D32" s="293"/>
      <c r="E32" s="293"/>
      <c r="F32" s="292" t="s">
        <v>20</v>
      </c>
      <c r="G32" s="294" t="s">
        <v>22</v>
      </c>
      <c r="H32" s="293"/>
      <c r="I32" s="292" t="s">
        <v>20</v>
      </c>
      <c r="J32" s="294" t="s">
        <v>23</v>
      </c>
      <c r="K32" s="293"/>
      <c r="L32" s="292" t="s">
        <v>20</v>
      </c>
      <c r="M32" s="294" t="s">
        <v>24</v>
      </c>
      <c r="N32" s="293"/>
      <c r="O32" s="292" t="s">
        <v>20</v>
      </c>
      <c r="P32" s="292" t="s">
        <v>25</v>
      </c>
      <c r="Q32" s="293"/>
      <c r="R32" s="292" t="s">
        <v>20</v>
      </c>
      <c r="S32" s="295" t="s">
        <v>26</v>
      </c>
    </row>
    <row r="33" spans="1:19" ht="12.75" customHeight="1" x14ac:dyDescent="0.25">
      <c r="A33" s="296">
        <v>45901</v>
      </c>
      <c r="B33" s="297">
        <v>-8.25</v>
      </c>
      <c r="C33" s="298">
        <v>365.5</v>
      </c>
      <c r="D33" s="480"/>
      <c r="E33" s="296">
        <v>45901</v>
      </c>
      <c r="F33" s="297">
        <v>16</v>
      </c>
      <c r="G33" s="300">
        <v>381.5</v>
      </c>
      <c r="H33" s="296">
        <v>45901</v>
      </c>
      <c r="I33" s="297">
        <v>16.25</v>
      </c>
      <c r="J33" s="300">
        <v>420.5</v>
      </c>
      <c r="K33" s="296">
        <v>45901</v>
      </c>
      <c r="L33" s="297">
        <v>0</v>
      </c>
      <c r="M33" s="300">
        <v>404.25</v>
      </c>
      <c r="N33" s="296">
        <v>45901</v>
      </c>
      <c r="O33" s="301">
        <v>17.75</v>
      </c>
      <c r="P33" s="297">
        <v>422</v>
      </c>
      <c r="Q33" s="296">
        <v>45901</v>
      </c>
      <c r="R33" s="301">
        <v>-2</v>
      </c>
      <c r="S33" s="302">
        <v>441.02505434782603</v>
      </c>
    </row>
    <row r="34" spans="1:19" ht="12.75" customHeight="1" x14ac:dyDescent="0.25">
      <c r="A34" s="296">
        <v>45931</v>
      </c>
      <c r="B34" s="297">
        <v>-7.25</v>
      </c>
      <c r="C34" s="298">
        <v>365</v>
      </c>
      <c r="D34" s="299"/>
      <c r="E34" s="296">
        <v>45931</v>
      </c>
      <c r="F34" s="297">
        <v>16.75</v>
      </c>
      <c r="G34" s="300">
        <v>381.75</v>
      </c>
      <c r="H34" s="296">
        <v>45931</v>
      </c>
      <c r="I34" s="297">
        <v>17</v>
      </c>
      <c r="J34" s="300">
        <v>421.25</v>
      </c>
      <c r="K34" s="296">
        <v>45931</v>
      </c>
      <c r="L34" s="297">
        <v>7</v>
      </c>
      <c r="M34" s="300">
        <v>404.25</v>
      </c>
      <c r="N34" s="296">
        <v>45931</v>
      </c>
      <c r="O34" s="301">
        <v>19</v>
      </c>
      <c r="P34" s="297">
        <v>416.25</v>
      </c>
      <c r="Q34" s="296">
        <v>45931</v>
      </c>
      <c r="R34" s="301">
        <v>0</v>
      </c>
      <c r="S34" s="302">
        <v>439.27505434782603</v>
      </c>
    </row>
    <row r="35" spans="1:19" ht="12.75" customHeight="1" x14ac:dyDescent="0.25">
      <c r="A35" s="296">
        <v>45962</v>
      </c>
      <c r="B35" s="297">
        <v>-8</v>
      </c>
      <c r="C35" s="298">
        <v>360.75</v>
      </c>
      <c r="D35" s="299"/>
      <c r="E35" s="296">
        <v>45962</v>
      </c>
      <c r="F35" s="297">
        <v>17.75</v>
      </c>
      <c r="G35" s="300">
        <v>378.5</v>
      </c>
      <c r="H35" s="296">
        <v>45962</v>
      </c>
      <c r="I35" s="297">
        <v>18</v>
      </c>
      <c r="J35" s="300">
        <v>422.25</v>
      </c>
      <c r="K35" s="296">
        <v>45962</v>
      </c>
      <c r="L35" s="297">
        <v>12</v>
      </c>
      <c r="M35" s="300">
        <v>404.25</v>
      </c>
      <c r="N35" s="296">
        <v>45962</v>
      </c>
      <c r="O35" s="301">
        <v>20</v>
      </c>
      <c r="P35" s="297">
        <v>412.25</v>
      </c>
      <c r="Q35" s="296">
        <v>45962</v>
      </c>
      <c r="R35" s="301">
        <v>0</v>
      </c>
      <c r="S35" s="302">
        <v>435.52505434782603</v>
      </c>
    </row>
    <row r="36" spans="1:19" ht="12.75" customHeight="1" x14ac:dyDescent="0.25">
      <c r="A36" s="296">
        <v>45992</v>
      </c>
      <c r="B36" s="297">
        <v>-8.25</v>
      </c>
      <c r="C36" s="298">
        <v>358.25</v>
      </c>
      <c r="D36" s="299"/>
      <c r="E36" s="296">
        <v>45992</v>
      </c>
      <c r="F36" s="297">
        <v>19.5</v>
      </c>
      <c r="G36" s="300">
        <v>377.75</v>
      </c>
      <c r="H36" s="296">
        <v>45992</v>
      </c>
      <c r="I36" s="297">
        <v>19.75</v>
      </c>
      <c r="J36" s="300">
        <v>423</v>
      </c>
      <c r="K36" s="296">
        <v>45992</v>
      </c>
      <c r="L36" s="297">
        <v>13.5</v>
      </c>
      <c r="M36" s="300">
        <v>403.25</v>
      </c>
      <c r="N36" s="296">
        <v>45992</v>
      </c>
      <c r="O36" s="301">
        <v>20.75</v>
      </c>
      <c r="P36" s="297">
        <v>410.5</v>
      </c>
      <c r="Q36" s="296">
        <v>45992</v>
      </c>
      <c r="R36" s="301">
        <v>1</v>
      </c>
      <c r="S36" s="302">
        <v>434.27505434782603</v>
      </c>
    </row>
    <row r="37" spans="1:19" ht="12.75" customHeight="1" x14ac:dyDescent="0.25">
      <c r="A37" s="296">
        <v>46023</v>
      </c>
      <c r="B37" s="297">
        <v>-6.5</v>
      </c>
      <c r="C37" s="298">
        <v>358.75</v>
      </c>
      <c r="D37" s="299"/>
      <c r="E37" s="296">
        <v>46023</v>
      </c>
      <c r="F37" s="297">
        <v>18.75</v>
      </c>
      <c r="G37" s="300">
        <v>377.5</v>
      </c>
      <c r="H37" s="296">
        <v>46023</v>
      </c>
      <c r="I37" s="297">
        <v>19</v>
      </c>
      <c r="J37" s="300">
        <v>420.75</v>
      </c>
      <c r="K37" s="296">
        <v>46023</v>
      </c>
      <c r="L37" s="297">
        <v>14</v>
      </c>
      <c r="M37" s="300">
        <v>401.75</v>
      </c>
      <c r="N37" s="296">
        <v>46023</v>
      </c>
      <c r="O37" s="301">
        <v>20.75</v>
      </c>
      <c r="P37" s="297">
        <v>408.5</v>
      </c>
      <c r="Q37" s="296">
        <v>46023</v>
      </c>
      <c r="R37" s="301">
        <v>1</v>
      </c>
      <c r="S37" s="302">
        <v>433.27505434782603</v>
      </c>
    </row>
    <row r="38" spans="1:19" ht="12.75" customHeight="1" x14ac:dyDescent="0.25">
      <c r="A38" s="296">
        <v>46054</v>
      </c>
      <c r="B38" s="297">
        <v>-6.5</v>
      </c>
      <c r="C38" s="298">
        <v>357.75</v>
      </c>
      <c r="D38" s="299"/>
      <c r="E38" s="296">
        <v>46054</v>
      </c>
      <c r="F38" s="297">
        <v>18</v>
      </c>
      <c r="G38" s="300">
        <v>375.75</v>
      </c>
      <c r="H38" s="296">
        <v>46054</v>
      </c>
      <c r="I38" s="297">
        <v>18.25</v>
      </c>
      <c r="J38" s="300">
        <v>419</v>
      </c>
      <c r="K38" s="296">
        <v>46054</v>
      </c>
      <c r="L38" s="297">
        <v>14</v>
      </c>
      <c r="M38" s="300">
        <v>400.75</v>
      </c>
      <c r="N38" s="296">
        <v>46054</v>
      </c>
      <c r="O38" s="301">
        <v>20.75</v>
      </c>
      <c r="P38" s="297">
        <v>407.5</v>
      </c>
      <c r="Q38" s="296">
        <v>46054</v>
      </c>
      <c r="R38" s="301">
        <v>1</v>
      </c>
      <c r="S38" s="302">
        <v>432.27505434782603</v>
      </c>
    </row>
    <row r="39" spans="1:19" ht="12.75" customHeight="1" x14ac:dyDescent="0.25">
      <c r="A39" s="296">
        <v>46082</v>
      </c>
      <c r="B39" s="297">
        <v>-6.5</v>
      </c>
      <c r="C39" s="298">
        <v>357.5</v>
      </c>
      <c r="D39" s="299"/>
      <c r="E39" s="296">
        <v>46082</v>
      </c>
      <c r="F39" s="297">
        <v>18</v>
      </c>
      <c r="G39" s="300">
        <v>375.5</v>
      </c>
      <c r="H39" s="296">
        <v>46082</v>
      </c>
      <c r="I39" s="297">
        <v>18.25</v>
      </c>
      <c r="J39" s="300">
        <v>418.25</v>
      </c>
      <c r="K39" s="296">
        <v>46082</v>
      </c>
      <c r="L39" s="297">
        <v>14</v>
      </c>
      <c r="M39" s="300">
        <v>400</v>
      </c>
      <c r="N39" s="296">
        <v>46082</v>
      </c>
      <c r="O39" s="301">
        <v>20</v>
      </c>
      <c r="P39" s="297">
        <v>406</v>
      </c>
      <c r="Q39" s="296">
        <v>46082</v>
      </c>
      <c r="R39" s="301">
        <v>1</v>
      </c>
      <c r="S39" s="302">
        <v>431.27505434782603</v>
      </c>
    </row>
    <row r="40" spans="1:19" ht="12.75" customHeight="1" x14ac:dyDescent="0.25">
      <c r="A40" s="296">
        <v>46113</v>
      </c>
      <c r="B40" s="297">
        <v>-5.5</v>
      </c>
      <c r="C40" s="298">
        <v>358.5</v>
      </c>
      <c r="D40" s="299"/>
      <c r="E40" s="296">
        <v>46113</v>
      </c>
      <c r="F40" s="297">
        <v>17.25</v>
      </c>
      <c r="G40" s="300">
        <v>375.75</v>
      </c>
      <c r="H40" s="296">
        <v>46113</v>
      </c>
      <c r="I40" s="297">
        <v>17.5</v>
      </c>
      <c r="J40" s="300">
        <v>416.75</v>
      </c>
      <c r="K40" s="296">
        <v>46113</v>
      </c>
      <c r="L40" s="297">
        <v>14</v>
      </c>
      <c r="M40" s="300">
        <v>399.25</v>
      </c>
      <c r="N40" s="296">
        <v>46113</v>
      </c>
      <c r="O40" s="301">
        <v>20</v>
      </c>
      <c r="P40" s="297">
        <v>405.25</v>
      </c>
      <c r="Q40" s="296">
        <v>46113</v>
      </c>
      <c r="R40" s="301">
        <v>1.25</v>
      </c>
      <c r="S40" s="302">
        <v>430.52505434782603</v>
      </c>
    </row>
    <row r="41" spans="1:19" ht="12.75" customHeight="1" x14ac:dyDescent="0.25">
      <c r="A41" s="296">
        <v>46143</v>
      </c>
      <c r="B41" s="297">
        <v>-5.5</v>
      </c>
      <c r="C41" s="298">
        <v>358.25</v>
      </c>
      <c r="D41" s="299"/>
      <c r="E41" s="296">
        <v>46143</v>
      </c>
      <c r="F41" s="297">
        <v>17</v>
      </c>
      <c r="G41" s="300">
        <v>375.25</v>
      </c>
      <c r="H41" s="296">
        <v>46143</v>
      </c>
      <c r="I41" s="297">
        <v>17.25</v>
      </c>
      <c r="J41" s="300">
        <v>415.75</v>
      </c>
      <c r="K41" s="296">
        <v>46143</v>
      </c>
      <c r="L41" s="297">
        <v>14</v>
      </c>
      <c r="M41" s="300">
        <v>398.5</v>
      </c>
      <c r="N41" s="296">
        <v>46143</v>
      </c>
      <c r="O41" s="301">
        <v>20</v>
      </c>
      <c r="P41" s="297">
        <v>404.5</v>
      </c>
      <c r="Q41" s="296">
        <v>46143</v>
      </c>
      <c r="R41" s="301">
        <v>1.25</v>
      </c>
      <c r="S41" s="302">
        <v>429.52505434782603</v>
      </c>
    </row>
    <row r="42" spans="1:19" ht="12.75" customHeight="1" x14ac:dyDescent="0.25">
      <c r="A42" s="296">
        <v>46174</v>
      </c>
      <c r="B42" s="297">
        <v>-5.5</v>
      </c>
      <c r="C42" s="298">
        <v>357.75</v>
      </c>
      <c r="D42" s="299"/>
      <c r="E42" s="296">
        <v>46174</v>
      </c>
      <c r="F42" s="297">
        <v>16.75</v>
      </c>
      <c r="G42" s="300">
        <v>374.5</v>
      </c>
      <c r="H42" s="296">
        <v>46174</v>
      </c>
      <c r="I42" s="297">
        <v>17</v>
      </c>
      <c r="J42" s="300">
        <v>414.75</v>
      </c>
      <c r="K42" s="296">
        <v>46174</v>
      </c>
      <c r="L42" s="297">
        <v>14</v>
      </c>
      <c r="M42" s="300">
        <v>397.75</v>
      </c>
      <c r="N42" s="296">
        <v>46174</v>
      </c>
      <c r="O42" s="301">
        <v>20</v>
      </c>
      <c r="P42" s="297">
        <v>403.75</v>
      </c>
      <c r="Q42" s="296">
        <v>46174</v>
      </c>
      <c r="R42" s="301">
        <v>1.25</v>
      </c>
      <c r="S42" s="302">
        <v>428.27505434782603</v>
      </c>
    </row>
    <row r="43" spans="1:19" ht="12.75" customHeight="1" x14ac:dyDescent="0.25">
      <c r="A43" s="296">
        <v>46204</v>
      </c>
      <c r="B43" s="297">
        <v>-5.5</v>
      </c>
      <c r="C43" s="298">
        <v>356.5</v>
      </c>
      <c r="D43" s="299"/>
      <c r="E43" s="296">
        <v>46204</v>
      </c>
      <c r="F43" s="297">
        <v>16.5</v>
      </c>
      <c r="G43" s="300">
        <v>373</v>
      </c>
      <c r="H43" s="296">
        <v>46204</v>
      </c>
      <c r="I43" s="297">
        <v>16.75</v>
      </c>
      <c r="J43" s="300">
        <v>413.5</v>
      </c>
      <c r="K43" s="296">
        <v>46204</v>
      </c>
      <c r="L43" s="297">
        <v>14</v>
      </c>
      <c r="M43" s="300">
        <v>396.75</v>
      </c>
      <c r="N43" s="296">
        <v>46204</v>
      </c>
      <c r="O43" s="301">
        <v>20.25</v>
      </c>
      <c r="P43" s="297">
        <v>403</v>
      </c>
      <c r="Q43" s="296">
        <v>46204</v>
      </c>
      <c r="R43" s="301">
        <v>1.25</v>
      </c>
      <c r="S43" s="302">
        <v>427.02505434782603</v>
      </c>
    </row>
    <row r="44" spans="1:19" ht="12.75" customHeight="1" x14ac:dyDescent="0.25">
      <c r="A44" s="296">
        <v>46235</v>
      </c>
      <c r="B44" s="297">
        <v>-5.5</v>
      </c>
      <c r="C44" s="298">
        <v>354</v>
      </c>
      <c r="D44" s="299"/>
      <c r="E44" s="296">
        <v>46235</v>
      </c>
      <c r="F44" s="297">
        <v>16</v>
      </c>
      <c r="G44" s="300">
        <v>370</v>
      </c>
      <c r="H44" s="296">
        <v>46235</v>
      </c>
      <c r="I44" s="297">
        <v>16.25</v>
      </c>
      <c r="J44" s="300">
        <v>411.5</v>
      </c>
      <c r="K44" s="296">
        <v>46235</v>
      </c>
      <c r="L44" s="297">
        <v>14</v>
      </c>
      <c r="M44" s="300">
        <v>395.25</v>
      </c>
      <c r="N44" s="296">
        <v>46235</v>
      </c>
      <c r="O44" s="301">
        <v>20.75</v>
      </c>
      <c r="P44" s="297">
        <v>402</v>
      </c>
      <c r="Q44" s="296">
        <v>46235</v>
      </c>
      <c r="R44" s="301">
        <v>1.25</v>
      </c>
      <c r="S44" s="302">
        <v>426.02505434782603</v>
      </c>
    </row>
    <row r="45" spans="1:19" ht="12.75" customHeight="1" x14ac:dyDescent="0.25">
      <c r="A45" s="296">
        <v>46266</v>
      </c>
      <c r="B45" s="297">
        <v>-5.5</v>
      </c>
      <c r="C45" s="298">
        <v>350.5</v>
      </c>
      <c r="D45" s="299"/>
      <c r="E45" s="296">
        <v>46266</v>
      </c>
      <c r="F45" s="297">
        <v>16.75</v>
      </c>
      <c r="G45" s="300">
        <v>367.25</v>
      </c>
      <c r="H45" s="296">
        <v>46266</v>
      </c>
      <c r="I45" s="297">
        <v>17</v>
      </c>
      <c r="J45" s="300">
        <v>410.25</v>
      </c>
      <c r="K45" s="296">
        <v>46266</v>
      </c>
      <c r="L45" s="297">
        <v>14</v>
      </c>
      <c r="M45" s="300">
        <v>393.25</v>
      </c>
      <c r="N45" s="296">
        <v>46266</v>
      </c>
      <c r="O45" s="301">
        <v>21.25</v>
      </c>
      <c r="P45" s="297">
        <v>400.5</v>
      </c>
      <c r="Q45" s="296">
        <v>46266</v>
      </c>
      <c r="R45" s="301">
        <v>1.25</v>
      </c>
      <c r="S45" s="302">
        <v>425.02505434782603</v>
      </c>
    </row>
    <row r="46" spans="1:19" ht="12.75" customHeight="1" x14ac:dyDescent="0.25">
      <c r="A46" s="296">
        <v>46296</v>
      </c>
      <c r="B46" s="297">
        <v>-6.5</v>
      </c>
      <c r="C46" s="298">
        <v>345.75</v>
      </c>
      <c r="D46" s="299"/>
      <c r="E46" s="296">
        <v>46296</v>
      </c>
      <c r="F46" s="297">
        <v>17.5</v>
      </c>
      <c r="G46" s="300">
        <v>363.25</v>
      </c>
      <c r="H46" s="296">
        <v>46296</v>
      </c>
      <c r="I46" s="297">
        <v>17.75</v>
      </c>
      <c r="J46" s="300">
        <v>408.5</v>
      </c>
      <c r="K46" s="296">
        <v>46296</v>
      </c>
      <c r="L46" s="297">
        <v>14</v>
      </c>
      <c r="M46" s="300">
        <v>390.75</v>
      </c>
      <c r="N46" s="296">
        <v>46296</v>
      </c>
      <c r="O46" s="301">
        <v>21.5</v>
      </c>
      <c r="P46" s="297">
        <v>398.25</v>
      </c>
      <c r="Q46" s="296">
        <v>46296</v>
      </c>
      <c r="R46" s="301">
        <v>1.5</v>
      </c>
      <c r="S46" s="302">
        <v>424.27505434782603</v>
      </c>
    </row>
    <row r="47" spans="1:19" ht="12.75" customHeight="1" x14ac:dyDescent="0.25">
      <c r="A47" s="296">
        <v>46327</v>
      </c>
      <c r="B47" s="297">
        <v>-6.5</v>
      </c>
      <c r="C47" s="298">
        <v>343.25</v>
      </c>
      <c r="D47" s="299"/>
      <c r="E47" s="296">
        <v>46327</v>
      </c>
      <c r="F47" s="297">
        <v>18.25</v>
      </c>
      <c r="G47" s="300">
        <v>361.5</v>
      </c>
      <c r="H47" s="296">
        <v>46327</v>
      </c>
      <c r="I47" s="297">
        <v>18.5</v>
      </c>
      <c r="J47" s="300">
        <v>407.5</v>
      </c>
      <c r="K47" s="296">
        <v>46327</v>
      </c>
      <c r="L47" s="297">
        <v>14.25</v>
      </c>
      <c r="M47" s="300">
        <v>389</v>
      </c>
      <c r="N47" s="296">
        <v>46327</v>
      </c>
      <c r="O47" s="301">
        <v>21.5</v>
      </c>
      <c r="P47" s="297">
        <v>396.25</v>
      </c>
      <c r="Q47" s="296">
        <v>46327</v>
      </c>
      <c r="R47" s="301">
        <v>1.5</v>
      </c>
      <c r="S47" s="302">
        <v>423.52505434782603</v>
      </c>
    </row>
    <row r="48" spans="1:19" ht="12.75" customHeight="1" x14ac:dyDescent="0.25">
      <c r="A48" s="296">
        <v>46357</v>
      </c>
      <c r="B48" s="297">
        <v>-6.5</v>
      </c>
      <c r="C48" s="298">
        <v>342</v>
      </c>
      <c r="D48" s="299"/>
      <c r="E48" s="296">
        <v>46357</v>
      </c>
      <c r="F48" s="297">
        <v>19.25</v>
      </c>
      <c r="G48" s="300">
        <v>361.25</v>
      </c>
      <c r="H48" s="296">
        <v>46357</v>
      </c>
      <c r="I48" s="297">
        <v>19.5</v>
      </c>
      <c r="J48" s="300">
        <v>407.75</v>
      </c>
      <c r="K48" s="296">
        <v>46357</v>
      </c>
      <c r="L48" s="297">
        <v>14.5</v>
      </c>
      <c r="M48" s="300">
        <v>388.25</v>
      </c>
      <c r="N48" s="296">
        <v>46357</v>
      </c>
      <c r="O48" s="301">
        <v>21.5</v>
      </c>
      <c r="P48" s="297">
        <v>395.25</v>
      </c>
      <c r="Q48" s="296">
        <v>46357</v>
      </c>
      <c r="R48" s="301">
        <v>1.5</v>
      </c>
      <c r="S48" s="302">
        <v>422.77505434782603</v>
      </c>
    </row>
    <row r="49" spans="1:19" ht="12.75" customHeight="1" x14ac:dyDescent="0.25">
      <c r="A49" s="296"/>
      <c r="B49" s="297"/>
      <c r="C49" s="298"/>
      <c r="D49" s="299"/>
      <c r="E49" s="296"/>
      <c r="F49" s="297"/>
      <c r="G49" s="300"/>
      <c r="H49" s="296"/>
      <c r="I49" s="297"/>
      <c r="J49" s="300"/>
      <c r="K49" s="296"/>
      <c r="L49" s="297"/>
      <c r="M49" s="300"/>
      <c r="N49" s="296"/>
      <c r="O49" s="301"/>
      <c r="P49" s="297"/>
      <c r="Q49" s="296"/>
      <c r="R49" s="301"/>
      <c r="S49" s="302"/>
    </row>
    <row r="50" spans="1:19" ht="12.75" customHeight="1" x14ac:dyDescent="0.25">
      <c r="A50" s="296" t="s">
        <v>153</v>
      </c>
      <c r="B50" s="303">
        <v>-7.833333333333333</v>
      </c>
      <c r="C50" s="298">
        <v>361.33333333333337</v>
      </c>
      <c r="D50" s="299"/>
      <c r="E50" s="296" t="s">
        <v>153</v>
      </c>
      <c r="F50" s="297">
        <v>18</v>
      </c>
      <c r="G50" s="300">
        <v>379.33333333333337</v>
      </c>
      <c r="H50" s="296" t="s">
        <v>153</v>
      </c>
      <c r="I50" s="297">
        <v>18.25</v>
      </c>
      <c r="J50" s="300">
        <v>422.16666666666669</v>
      </c>
      <c r="K50" s="296" t="s">
        <v>153</v>
      </c>
      <c r="L50" s="297">
        <v>10.833333333333334</v>
      </c>
      <c r="M50" s="300">
        <v>403.91666666666669</v>
      </c>
      <c r="N50" s="296" t="s">
        <v>153</v>
      </c>
      <c r="O50" s="297">
        <v>19.916666666666668</v>
      </c>
      <c r="P50" s="297">
        <v>413.00000000000006</v>
      </c>
      <c r="Q50" s="296" t="s">
        <v>153</v>
      </c>
      <c r="R50" s="297">
        <v>0.33333333333333331</v>
      </c>
      <c r="S50" s="302">
        <v>436.35838768115934</v>
      </c>
    </row>
    <row r="51" spans="1:19" ht="12.75" customHeight="1" x14ac:dyDescent="0.25">
      <c r="A51" s="296" t="s">
        <v>159</v>
      </c>
      <c r="B51" s="303">
        <v>-6.5</v>
      </c>
      <c r="C51" s="298">
        <v>358</v>
      </c>
      <c r="D51" s="299"/>
      <c r="E51" s="296" t="s">
        <v>159</v>
      </c>
      <c r="F51" s="297">
        <v>18.25</v>
      </c>
      <c r="G51" s="300">
        <v>376.25</v>
      </c>
      <c r="H51" s="296" t="s">
        <v>159</v>
      </c>
      <c r="I51" s="297">
        <v>18.5</v>
      </c>
      <c r="J51" s="300">
        <v>419.33333333333331</v>
      </c>
      <c r="K51" s="296" t="s">
        <v>159</v>
      </c>
      <c r="L51" s="297">
        <v>14</v>
      </c>
      <c r="M51" s="300">
        <v>400.83333333333331</v>
      </c>
      <c r="N51" s="296" t="s">
        <v>159</v>
      </c>
      <c r="O51" s="297">
        <v>20.5</v>
      </c>
      <c r="P51" s="297">
        <v>407.33333333333331</v>
      </c>
      <c r="Q51" s="296" t="s">
        <v>159</v>
      </c>
      <c r="R51" s="297">
        <v>1</v>
      </c>
      <c r="S51" s="302">
        <v>432.27505434782603</v>
      </c>
    </row>
    <row r="52" spans="1:19" ht="12.75" customHeight="1" x14ac:dyDescent="0.25">
      <c r="A52" s="296" t="s">
        <v>160</v>
      </c>
      <c r="B52" s="303">
        <v>-5.5</v>
      </c>
      <c r="C52" s="298">
        <v>358.16666666666669</v>
      </c>
      <c r="D52" s="299"/>
      <c r="E52" s="296" t="s">
        <v>160</v>
      </c>
      <c r="F52" s="297">
        <v>17</v>
      </c>
      <c r="G52" s="300">
        <v>375.16666666666669</v>
      </c>
      <c r="H52" s="296" t="s">
        <v>160</v>
      </c>
      <c r="I52" s="297">
        <v>17.25</v>
      </c>
      <c r="J52" s="300">
        <v>415.75</v>
      </c>
      <c r="K52" s="296" t="s">
        <v>160</v>
      </c>
      <c r="L52" s="297">
        <v>14</v>
      </c>
      <c r="M52" s="300">
        <v>398.5</v>
      </c>
      <c r="N52" s="296" t="s">
        <v>160</v>
      </c>
      <c r="O52" s="297">
        <v>20</v>
      </c>
      <c r="P52" s="297">
        <v>404.5</v>
      </c>
      <c r="Q52" s="296" t="s">
        <v>160</v>
      </c>
      <c r="R52" s="297">
        <v>1.25</v>
      </c>
      <c r="S52" s="302">
        <v>429.44172101449271</v>
      </c>
    </row>
    <row r="53" spans="1:19" ht="12.75" customHeight="1" x14ac:dyDescent="0.25">
      <c r="A53" s="296" t="s">
        <v>161</v>
      </c>
      <c r="B53" s="303">
        <v>-5.5</v>
      </c>
      <c r="C53" s="298">
        <v>353.66666666666669</v>
      </c>
      <c r="D53" s="299"/>
      <c r="E53" s="296" t="s">
        <v>161</v>
      </c>
      <c r="F53" s="297">
        <v>16.416666666666668</v>
      </c>
      <c r="G53" s="300">
        <v>370.08333333333337</v>
      </c>
      <c r="H53" s="296" t="s">
        <v>161</v>
      </c>
      <c r="I53" s="297">
        <v>16.666666666666668</v>
      </c>
      <c r="J53" s="300">
        <v>411.75000000000006</v>
      </c>
      <c r="K53" s="296" t="s">
        <v>161</v>
      </c>
      <c r="L53" s="297">
        <v>14</v>
      </c>
      <c r="M53" s="300">
        <v>395.08333333333337</v>
      </c>
      <c r="N53" s="296" t="s">
        <v>161</v>
      </c>
      <c r="O53" s="297">
        <v>20.75</v>
      </c>
      <c r="P53" s="297">
        <v>401.83333333333337</v>
      </c>
      <c r="Q53" s="296" t="s">
        <v>161</v>
      </c>
      <c r="R53" s="297">
        <v>1.25</v>
      </c>
      <c r="S53" s="302">
        <v>426.02505434782603</v>
      </c>
    </row>
    <row r="54" spans="1:19" ht="12.75" customHeight="1" x14ac:dyDescent="0.25">
      <c r="A54" s="296" t="s">
        <v>162</v>
      </c>
      <c r="B54" s="303">
        <v>-6.5</v>
      </c>
      <c r="C54" s="298">
        <v>343.66666666666669</v>
      </c>
      <c r="D54" s="299"/>
      <c r="E54" s="296" t="s">
        <v>162</v>
      </c>
      <c r="F54" s="297">
        <v>18.333333333333332</v>
      </c>
      <c r="G54" s="300">
        <v>362</v>
      </c>
      <c r="H54" s="296" t="s">
        <v>162</v>
      </c>
      <c r="I54" s="297">
        <v>18.583333333333332</v>
      </c>
      <c r="J54" s="300">
        <v>407.91666666666669</v>
      </c>
      <c r="K54" s="296" t="s">
        <v>162</v>
      </c>
      <c r="L54" s="297">
        <v>14.25</v>
      </c>
      <c r="M54" s="300">
        <v>389.33333333333337</v>
      </c>
      <c r="N54" s="296" t="s">
        <v>162</v>
      </c>
      <c r="O54" s="297">
        <v>21.5</v>
      </c>
      <c r="P54" s="297">
        <v>396.58333333333337</v>
      </c>
      <c r="Q54" s="296" t="s">
        <v>162</v>
      </c>
      <c r="R54" s="297">
        <v>1.5</v>
      </c>
      <c r="S54" s="302">
        <v>423.52505434782603</v>
      </c>
    </row>
    <row r="55" spans="1:19" ht="12.75" customHeight="1" x14ac:dyDescent="0.25">
      <c r="A55" s="437">
        <v>2026</v>
      </c>
      <c r="B55" s="298">
        <v>-6</v>
      </c>
      <c r="C55" s="298">
        <v>353.375</v>
      </c>
      <c r="D55" s="299"/>
      <c r="E55" s="437">
        <v>2026</v>
      </c>
      <c r="F55" s="301">
        <v>17.5</v>
      </c>
      <c r="G55" s="300">
        <v>370.875</v>
      </c>
      <c r="H55" s="437">
        <v>2026</v>
      </c>
      <c r="I55" s="301">
        <v>17.75</v>
      </c>
      <c r="J55" s="438">
        <v>413.6875</v>
      </c>
      <c r="K55" s="437">
        <v>2026</v>
      </c>
      <c r="L55" s="301">
        <v>14.0625</v>
      </c>
      <c r="M55" s="438">
        <v>395.9375</v>
      </c>
      <c r="N55" s="437">
        <v>2026</v>
      </c>
      <c r="O55" s="301">
        <v>20.6875</v>
      </c>
      <c r="P55" s="301">
        <v>402.5625</v>
      </c>
      <c r="Q55" s="437">
        <v>2026</v>
      </c>
      <c r="R55" s="301">
        <v>1.25</v>
      </c>
      <c r="S55" s="439">
        <v>427.81672101449266</v>
      </c>
    </row>
    <row r="56" spans="1:19" ht="12.75" customHeight="1" x14ac:dyDescent="0.25">
      <c r="A56" s="304" t="s">
        <v>27</v>
      </c>
      <c r="B56" s="305"/>
      <c r="C56" s="305"/>
      <c r="D56" s="305"/>
      <c r="E56" s="306" t="s">
        <v>28</v>
      </c>
      <c r="F56" s="307"/>
      <c r="G56" s="305"/>
      <c r="H56" s="305"/>
      <c r="I56" s="305"/>
      <c r="J56" s="305"/>
      <c r="K56" s="306" t="s">
        <v>29</v>
      </c>
      <c r="L56" s="305"/>
      <c r="M56" s="305"/>
      <c r="N56" s="306" t="s">
        <v>30</v>
      </c>
      <c r="O56" s="305"/>
      <c r="P56" s="305"/>
      <c r="Q56" s="305"/>
      <c r="R56" s="305" t="s">
        <v>152</v>
      </c>
      <c r="S56" s="308"/>
    </row>
    <row r="57" spans="1:19" ht="12.75" customHeight="1" x14ac:dyDescent="0.25">
      <c r="A57" s="309"/>
      <c r="B57" s="310" t="s">
        <v>31</v>
      </c>
      <c r="C57" s="311" t="s">
        <v>6</v>
      </c>
      <c r="D57" s="310" t="s">
        <v>7</v>
      </c>
      <c r="E57" s="312"/>
      <c r="F57" s="311" t="s">
        <v>32</v>
      </c>
      <c r="G57" s="311" t="s">
        <v>33</v>
      </c>
      <c r="H57" s="311" t="s">
        <v>6</v>
      </c>
      <c r="I57" s="310" t="s">
        <v>7</v>
      </c>
      <c r="J57" s="364" t="s">
        <v>8</v>
      </c>
      <c r="K57" s="312"/>
      <c r="L57" s="311" t="s">
        <v>20</v>
      </c>
      <c r="M57" s="310" t="s">
        <v>7</v>
      </c>
      <c r="N57" s="312"/>
      <c r="O57" s="311" t="s">
        <v>12</v>
      </c>
      <c r="P57" s="310" t="s">
        <v>6</v>
      </c>
      <c r="Q57" s="310" t="s">
        <v>7</v>
      </c>
      <c r="R57" s="311" t="s">
        <v>8</v>
      </c>
      <c r="S57" s="313" t="s">
        <v>34</v>
      </c>
    </row>
    <row r="58" spans="1:19" ht="12.75" customHeight="1" x14ac:dyDescent="0.25">
      <c r="A58" s="314">
        <v>45901</v>
      </c>
      <c r="B58" s="315">
        <v>26.25</v>
      </c>
      <c r="C58" s="316">
        <v>400</v>
      </c>
      <c r="D58" s="317">
        <v>0.5</v>
      </c>
      <c r="E58" s="314">
        <v>45901</v>
      </c>
      <c r="F58" s="318">
        <v>9.5</v>
      </c>
      <c r="G58" s="319">
        <v>16.75</v>
      </c>
      <c r="H58" s="318">
        <v>390.5</v>
      </c>
      <c r="I58" s="317">
        <v>1</v>
      </c>
      <c r="J58" s="319">
        <v>-4.7122047244094496</v>
      </c>
      <c r="K58" s="314">
        <v>45901</v>
      </c>
      <c r="L58" s="315">
        <v>24.960000000000093</v>
      </c>
      <c r="M58" s="315">
        <v>-4.25</v>
      </c>
      <c r="N58" s="314">
        <v>45901</v>
      </c>
      <c r="O58" s="315">
        <v>77.485054347826122</v>
      </c>
      <c r="P58" s="317">
        <v>467.98505434782612</v>
      </c>
      <c r="Q58" s="317">
        <v>-0.5</v>
      </c>
      <c r="R58" s="317">
        <v>7.4913749320337626</v>
      </c>
      <c r="S58" s="320">
        <v>-185.16200447570327</v>
      </c>
    </row>
    <row r="59" spans="1:19" ht="12.75" customHeight="1" x14ac:dyDescent="0.25">
      <c r="A59" s="314">
        <v>45931</v>
      </c>
      <c r="B59" s="315">
        <v>27.25</v>
      </c>
      <c r="C59" s="316">
        <v>399.5</v>
      </c>
      <c r="D59" s="317">
        <v>3.5</v>
      </c>
      <c r="E59" s="314">
        <v>45931</v>
      </c>
      <c r="F59" s="318">
        <v>10</v>
      </c>
      <c r="G59" s="319">
        <v>17.25</v>
      </c>
      <c r="H59" s="318">
        <v>389.5</v>
      </c>
      <c r="I59" s="317">
        <v>4.75</v>
      </c>
      <c r="J59" s="319">
        <v>-4.4834645669291344</v>
      </c>
      <c r="K59" s="314">
        <v>45931</v>
      </c>
      <c r="L59" s="315">
        <v>29.210000000000093</v>
      </c>
      <c r="M59" s="315">
        <v>-2.75</v>
      </c>
      <c r="N59" s="314">
        <v>45931</v>
      </c>
      <c r="O59" s="315">
        <v>78.985054347826122</v>
      </c>
      <c r="P59" s="317">
        <v>468.48505434782612</v>
      </c>
      <c r="Q59" s="317">
        <v>1</v>
      </c>
      <c r="R59" s="317">
        <v>7.95</v>
      </c>
      <c r="S59" s="320">
        <v>-176.55842391304338</v>
      </c>
    </row>
    <row r="60" spans="1:19" ht="12.75" customHeight="1" x14ac:dyDescent="0.25">
      <c r="A60" s="314">
        <v>45962</v>
      </c>
      <c r="B60" s="315">
        <v>27.25</v>
      </c>
      <c r="C60" s="316">
        <v>396</v>
      </c>
      <c r="D60" s="317">
        <v>3</v>
      </c>
      <c r="E60" s="314">
        <v>45962</v>
      </c>
      <c r="F60" s="318">
        <v>11.25</v>
      </c>
      <c r="G60" s="319">
        <v>16</v>
      </c>
      <c r="H60" s="318">
        <v>384.75</v>
      </c>
      <c r="I60" s="317">
        <v>3.5</v>
      </c>
      <c r="J60" s="319">
        <v>-4.9303149606299215</v>
      </c>
      <c r="K60" s="314">
        <v>45962</v>
      </c>
      <c r="L60" s="315">
        <v>31.960000000000093</v>
      </c>
      <c r="M60" s="315">
        <v>-1</v>
      </c>
      <c r="N60" s="314">
        <v>45962</v>
      </c>
      <c r="O60" s="315">
        <v>82.735054347826122</v>
      </c>
      <c r="P60" s="317">
        <v>467.48505434782612</v>
      </c>
      <c r="Q60" s="317">
        <v>1.25</v>
      </c>
      <c r="R60" s="317">
        <v>8.0844435980828564</v>
      </c>
      <c r="S60" s="320">
        <v>-167.47119565217383</v>
      </c>
    </row>
    <row r="61" spans="1:19" ht="12.75" customHeight="1" x14ac:dyDescent="0.25">
      <c r="A61" s="314">
        <v>45992</v>
      </c>
      <c r="B61" s="315">
        <v>26.5</v>
      </c>
      <c r="C61" s="316">
        <v>393</v>
      </c>
      <c r="D61" s="317">
        <v>1.25</v>
      </c>
      <c r="E61" s="314">
        <v>45992</v>
      </c>
      <c r="F61" s="318">
        <v>11.75</v>
      </c>
      <c r="G61" s="319">
        <v>14.75</v>
      </c>
      <c r="H61" s="318">
        <v>381.25</v>
      </c>
      <c r="I61" s="317">
        <v>1.5</v>
      </c>
      <c r="J61" s="319">
        <v>-5.3271653543307087</v>
      </c>
      <c r="K61" s="314">
        <v>45992</v>
      </c>
      <c r="L61" s="315">
        <v>32.960000000000093</v>
      </c>
      <c r="M61" s="315">
        <v>0.25</v>
      </c>
      <c r="N61" s="314">
        <v>45992</v>
      </c>
      <c r="O61" s="315">
        <v>84.985054347826122</v>
      </c>
      <c r="P61" s="317">
        <v>466.23505434782612</v>
      </c>
      <c r="Q61" s="317">
        <v>1.25</v>
      </c>
      <c r="R61" s="317">
        <v>8.0801982768458345</v>
      </c>
      <c r="S61" s="320">
        <v>-159.5182065217391</v>
      </c>
    </row>
    <row r="62" spans="1:19" ht="12.75" customHeight="1" x14ac:dyDescent="0.25">
      <c r="A62" s="314">
        <v>46023</v>
      </c>
      <c r="B62" s="315">
        <v>26.5</v>
      </c>
      <c r="C62" s="316">
        <v>391.75</v>
      </c>
      <c r="D62" s="317">
        <v>1.25</v>
      </c>
      <c r="E62" s="314">
        <v>46023</v>
      </c>
      <c r="F62" s="318">
        <v>12</v>
      </c>
      <c r="G62" s="319">
        <v>14.5</v>
      </c>
      <c r="H62" s="318">
        <v>379.75</v>
      </c>
      <c r="I62" s="317">
        <v>1.25</v>
      </c>
      <c r="J62" s="319">
        <v>-5.4665354330708666</v>
      </c>
      <c r="K62" s="314">
        <v>46023</v>
      </c>
      <c r="L62" s="315">
        <v>32.710000000000093</v>
      </c>
      <c r="M62" s="315">
        <v>0.25</v>
      </c>
      <c r="N62" s="314">
        <v>46023</v>
      </c>
      <c r="O62" s="315">
        <v>85.235054347826122</v>
      </c>
      <c r="P62" s="317">
        <v>464.98505434782612</v>
      </c>
      <c r="Q62" s="317">
        <v>1.25</v>
      </c>
      <c r="R62" s="317">
        <v>7.9616935682570187</v>
      </c>
      <c r="S62" s="320">
        <v>-159.28994565217386</v>
      </c>
    </row>
    <row r="63" spans="1:19" ht="12.75" customHeight="1" x14ac:dyDescent="0.25">
      <c r="A63" s="314">
        <v>46054</v>
      </c>
      <c r="B63" s="315">
        <v>26.25</v>
      </c>
      <c r="C63" s="316">
        <v>390.5</v>
      </c>
      <c r="D63" s="317">
        <v>0.5</v>
      </c>
      <c r="E63" s="314">
        <v>46054</v>
      </c>
      <c r="F63" s="318">
        <v>12</v>
      </c>
      <c r="G63" s="319">
        <v>14.25</v>
      </c>
      <c r="H63" s="318">
        <v>378.5</v>
      </c>
      <c r="I63" s="317">
        <v>0.5</v>
      </c>
      <c r="J63" s="319">
        <v>-5.6559055118110244</v>
      </c>
      <c r="K63" s="314">
        <v>46054</v>
      </c>
      <c r="L63" s="315">
        <v>32.460000000000093</v>
      </c>
      <c r="M63" s="315">
        <v>0.25</v>
      </c>
      <c r="N63" s="314">
        <v>46054</v>
      </c>
      <c r="O63" s="315">
        <v>85.235054347826122</v>
      </c>
      <c r="P63" s="317">
        <v>463.73505434782612</v>
      </c>
      <c r="Q63" s="317">
        <v>1.25</v>
      </c>
      <c r="R63" s="317">
        <v>7.7885382503138203</v>
      </c>
      <c r="S63" s="320">
        <v>-157.71494565217392</v>
      </c>
    </row>
    <row r="64" spans="1:19" ht="12.75" customHeight="1" x14ac:dyDescent="0.25">
      <c r="A64" s="314">
        <v>46082</v>
      </c>
      <c r="B64" s="315">
        <v>26</v>
      </c>
      <c r="C64" s="316">
        <v>390</v>
      </c>
      <c r="D64" s="317">
        <v>0.25</v>
      </c>
      <c r="E64" s="314">
        <v>46082</v>
      </c>
      <c r="F64" s="318">
        <v>12</v>
      </c>
      <c r="G64" s="319">
        <v>14</v>
      </c>
      <c r="H64" s="318">
        <v>378</v>
      </c>
      <c r="I64" s="317">
        <v>0.5</v>
      </c>
      <c r="J64" s="319">
        <v>-5.6952755905511818</v>
      </c>
      <c r="K64" s="314">
        <v>46082</v>
      </c>
      <c r="L64" s="315">
        <v>32.210000000000093</v>
      </c>
      <c r="M64" s="315">
        <v>0.25</v>
      </c>
      <c r="N64" s="314">
        <v>46082</v>
      </c>
      <c r="O64" s="315">
        <v>84.485054347826122</v>
      </c>
      <c r="P64" s="317">
        <v>462.48505434782612</v>
      </c>
      <c r="Q64" s="317">
        <v>1.25</v>
      </c>
      <c r="R64" s="317">
        <v>7.5962503566130266</v>
      </c>
      <c r="S64" s="320">
        <v>-158.03994565217386</v>
      </c>
    </row>
    <row r="65" spans="1:19" ht="12.75" customHeight="1" x14ac:dyDescent="0.25">
      <c r="A65" s="314">
        <v>46113</v>
      </c>
      <c r="B65" s="315">
        <v>25.75</v>
      </c>
      <c r="C65" s="316">
        <v>389.75</v>
      </c>
      <c r="D65" s="317">
        <v>1</v>
      </c>
      <c r="E65" s="314">
        <v>46113</v>
      </c>
      <c r="F65" s="318">
        <v>12.25</v>
      </c>
      <c r="G65" s="319">
        <v>13.5</v>
      </c>
      <c r="H65" s="318">
        <v>377.5</v>
      </c>
      <c r="I65" s="317">
        <v>1.25</v>
      </c>
      <c r="J65" s="319">
        <v>-5.7740157480314966</v>
      </c>
      <c r="K65" s="314">
        <v>46113</v>
      </c>
      <c r="L65" s="315">
        <v>31.960000000000093</v>
      </c>
      <c r="M65" s="315">
        <v>0.25</v>
      </c>
      <c r="N65" s="314">
        <v>46113</v>
      </c>
      <c r="O65" s="315">
        <v>83.735054347826122</v>
      </c>
      <c r="P65" s="317">
        <v>461.23505434782612</v>
      </c>
      <c r="Q65" s="317">
        <v>1.25</v>
      </c>
      <c r="R65" s="317">
        <v>7.4048923871546606</v>
      </c>
      <c r="S65" s="320">
        <v>-154.96494565217392</v>
      </c>
    </row>
    <row r="66" spans="1:19" ht="12.75" customHeight="1" x14ac:dyDescent="0.25">
      <c r="A66" s="314">
        <v>46143</v>
      </c>
      <c r="B66" s="315">
        <v>25</v>
      </c>
      <c r="C66" s="316">
        <v>388.75</v>
      </c>
      <c r="D66" s="317">
        <v>1.5</v>
      </c>
      <c r="E66" s="314">
        <v>46143</v>
      </c>
      <c r="F66" s="318">
        <v>12.5</v>
      </c>
      <c r="G66" s="319">
        <v>12.5</v>
      </c>
      <c r="H66" s="318">
        <v>376.25</v>
      </c>
      <c r="I66" s="317">
        <v>1.5</v>
      </c>
      <c r="J66" s="319">
        <v>-5.9314960629921263</v>
      </c>
      <c r="K66" s="314">
        <v>46143</v>
      </c>
      <c r="L66" s="315">
        <v>31.710000000000093</v>
      </c>
      <c r="M66" s="315">
        <v>0</v>
      </c>
      <c r="N66" s="314">
        <v>46143</v>
      </c>
      <c r="O66" s="315">
        <v>83.735054347826122</v>
      </c>
      <c r="P66" s="317">
        <v>459.98505434782612</v>
      </c>
      <c r="Q66" s="317">
        <v>1.25</v>
      </c>
      <c r="R66" s="317">
        <v>7.23220234698924</v>
      </c>
      <c r="S66" s="320">
        <v>-154.46494565217392</v>
      </c>
    </row>
    <row r="67" spans="1:19" ht="12.75" customHeight="1" x14ac:dyDescent="0.25">
      <c r="A67" s="314">
        <v>46174</v>
      </c>
      <c r="B67" s="315">
        <v>24</v>
      </c>
      <c r="C67" s="316">
        <v>387.25</v>
      </c>
      <c r="D67" s="317">
        <v>2.75</v>
      </c>
      <c r="E67" s="314">
        <v>46174</v>
      </c>
      <c r="F67" s="318">
        <v>12.5</v>
      </c>
      <c r="G67" s="319">
        <v>11.5</v>
      </c>
      <c r="H67" s="318">
        <v>374.75</v>
      </c>
      <c r="I67" s="317">
        <v>2.75</v>
      </c>
      <c r="J67" s="319">
        <v>-6.1889763779527556</v>
      </c>
      <c r="K67" s="314">
        <v>46174</v>
      </c>
      <c r="L67" s="315">
        <v>31.710000000000093</v>
      </c>
      <c r="M67" s="315">
        <v>0</v>
      </c>
      <c r="N67" s="314">
        <v>46174</v>
      </c>
      <c r="O67" s="315">
        <v>83.985054347826122</v>
      </c>
      <c r="P67" s="317">
        <v>458.73505434782612</v>
      </c>
      <c r="Q67" s="317">
        <v>1.25</v>
      </c>
      <c r="R67" s="317">
        <v>7.0494491755106736</v>
      </c>
      <c r="S67" s="320">
        <v>-154.08994565217392</v>
      </c>
    </row>
    <row r="68" spans="1:19" ht="12.75" customHeight="1" x14ac:dyDescent="0.25">
      <c r="A68" s="314">
        <v>46204</v>
      </c>
      <c r="B68" s="315">
        <v>22.5</v>
      </c>
      <c r="C68" s="316">
        <v>384.5</v>
      </c>
      <c r="D68" s="317">
        <v>3.25</v>
      </c>
      <c r="E68" s="314">
        <v>46204</v>
      </c>
      <c r="F68" s="318">
        <v>12.5</v>
      </c>
      <c r="G68" s="319">
        <v>10</v>
      </c>
      <c r="H68" s="318">
        <v>372</v>
      </c>
      <c r="I68" s="317">
        <v>3.25</v>
      </c>
      <c r="J68" s="319">
        <v>-6.625196850393702</v>
      </c>
      <c r="K68" s="314">
        <v>46204</v>
      </c>
      <c r="L68" s="315">
        <v>31.710000000000093</v>
      </c>
      <c r="M68" s="315">
        <v>0.25</v>
      </c>
      <c r="N68" s="314">
        <v>46204</v>
      </c>
      <c r="O68" s="315">
        <v>85.485054347826122</v>
      </c>
      <c r="P68" s="317">
        <v>457.48505434782612</v>
      </c>
      <c r="Q68" s="317">
        <v>1.25</v>
      </c>
      <c r="R68" s="317">
        <v>6.8567382745634973</v>
      </c>
      <c r="S68" s="320">
        <v>-154.56494565217383</v>
      </c>
    </row>
    <row r="69" spans="1:19" ht="12.75" customHeight="1" x14ac:dyDescent="0.25">
      <c r="A69" s="314">
        <v>46235</v>
      </c>
      <c r="B69" s="315">
        <v>21.75</v>
      </c>
      <c r="C69" s="316">
        <v>381.25</v>
      </c>
      <c r="D69" s="317">
        <v>3.75</v>
      </c>
      <c r="E69" s="314">
        <v>46235</v>
      </c>
      <c r="F69" s="318">
        <v>12.5</v>
      </c>
      <c r="G69" s="319">
        <v>9.25</v>
      </c>
      <c r="H69" s="318">
        <v>368.75</v>
      </c>
      <c r="I69" s="317">
        <v>4</v>
      </c>
      <c r="J69" s="319">
        <v>-7.1433070866141728</v>
      </c>
      <c r="K69" s="314">
        <v>46235</v>
      </c>
      <c r="L69" s="315">
        <v>31.460000000000093</v>
      </c>
      <c r="M69" s="315">
        <v>0.25</v>
      </c>
      <c r="N69" s="314">
        <v>46235</v>
      </c>
      <c r="O69" s="315">
        <v>87.485054347826122</v>
      </c>
      <c r="P69" s="317">
        <v>456.23505434782612</v>
      </c>
      <c r="Q69" s="317">
        <v>1.25</v>
      </c>
      <c r="R69" s="317">
        <v>6.6513337055693995</v>
      </c>
      <c r="S69" s="320">
        <v>-155.08994565217392</v>
      </c>
    </row>
    <row r="70" spans="1:19" ht="12.75" customHeight="1" x14ac:dyDescent="0.25">
      <c r="A70" s="314">
        <v>46266</v>
      </c>
      <c r="B70" s="315">
        <v>21.5</v>
      </c>
      <c r="C70" s="316">
        <v>377.5</v>
      </c>
      <c r="D70" s="317">
        <v>4</v>
      </c>
      <c r="E70" s="314">
        <v>46266</v>
      </c>
      <c r="F70" s="318">
        <v>12.75</v>
      </c>
      <c r="G70" s="319">
        <v>8.75</v>
      </c>
      <c r="H70" s="318">
        <v>364.75</v>
      </c>
      <c r="I70" s="317">
        <v>4</v>
      </c>
      <c r="J70" s="319">
        <v>-7.7720472440944883</v>
      </c>
      <c r="K70" s="314">
        <v>46266</v>
      </c>
      <c r="L70" s="315">
        <v>31.210000000000093</v>
      </c>
      <c r="M70" s="315">
        <v>0.25</v>
      </c>
      <c r="N70" s="314">
        <v>46266</v>
      </c>
      <c r="O70" s="315">
        <v>90.235054347826122</v>
      </c>
      <c r="P70" s="317">
        <v>454.98505434782612</v>
      </c>
      <c r="Q70" s="317">
        <v>1.25</v>
      </c>
      <c r="R70" s="317">
        <v>6.420829812590128</v>
      </c>
      <c r="S70" s="320">
        <v>-155.21494565217392</v>
      </c>
    </row>
    <row r="71" spans="1:19" ht="12.75" customHeight="1" x14ac:dyDescent="0.25">
      <c r="A71" s="314">
        <v>46296</v>
      </c>
      <c r="B71" s="315">
        <v>21.25</v>
      </c>
      <c r="C71" s="316">
        <v>373.5</v>
      </c>
      <c r="D71" s="317">
        <v>2</v>
      </c>
      <c r="E71" s="314">
        <v>46296</v>
      </c>
      <c r="F71" s="318">
        <v>12.75</v>
      </c>
      <c r="G71" s="319">
        <v>8.5</v>
      </c>
      <c r="H71" s="318">
        <v>360.75</v>
      </c>
      <c r="I71" s="317">
        <v>2</v>
      </c>
      <c r="J71" s="319">
        <v>-8.461417322834647</v>
      </c>
      <c r="K71" s="314">
        <v>46296</v>
      </c>
      <c r="L71" s="315">
        <v>30.960000000000093</v>
      </c>
      <c r="M71" s="315">
        <v>0.25</v>
      </c>
      <c r="N71" s="314">
        <v>46296</v>
      </c>
      <c r="O71" s="315">
        <v>92.985054347826122</v>
      </c>
      <c r="P71" s="317">
        <v>453.73505434782612</v>
      </c>
      <c r="Q71" s="317">
        <v>1</v>
      </c>
      <c r="R71" s="317">
        <v>6.1904836054922043</v>
      </c>
      <c r="S71" s="320">
        <v>-158.08994565217392</v>
      </c>
    </row>
    <row r="72" spans="1:19" ht="12.75" customHeight="1" x14ac:dyDescent="0.25">
      <c r="A72" s="314">
        <v>46327</v>
      </c>
      <c r="B72" s="315">
        <v>21.75</v>
      </c>
      <c r="C72" s="316">
        <v>371.5</v>
      </c>
      <c r="D72" s="317">
        <v>0.75</v>
      </c>
      <c r="E72" s="314">
        <v>46327</v>
      </c>
      <c r="F72" s="318">
        <v>12.75</v>
      </c>
      <c r="G72" s="319">
        <v>9</v>
      </c>
      <c r="H72" s="318">
        <v>358.75</v>
      </c>
      <c r="I72" s="317">
        <v>1</v>
      </c>
      <c r="J72" s="319">
        <v>-8.7826771653543325</v>
      </c>
      <c r="K72" s="314">
        <v>46327</v>
      </c>
      <c r="L72" s="315">
        <v>30.710000000000093</v>
      </c>
      <c r="M72" s="315">
        <v>0.25</v>
      </c>
      <c r="N72" s="314">
        <v>46327</v>
      </c>
      <c r="O72" s="315">
        <v>93.985054347826122</v>
      </c>
      <c r="P72" s="317">
        <v>452.73505434782612</v>
      </c>
      <c r="Q72" s="317">
        <v>1</v>
      </c>
      <c r="R72" s="317">
        <v>6.0396972982782415</v>
      </c>
      <c r="S72" s="320">
        <v>-159.08994565217392</v>
      </c>
    </row>
    <row r="73" spans="1:19" ht="12.75" customHeight="1" x14ac:dyDescent="0.25">
      <c r="A73" s="314">
        <v>46357</v>
      </c>
      <c r="B73" s="315">
        <v>22.25</v>
      </c>
      <c r="C73" s="316">
        <v>370.75</v>
      </c>
      <c r="D73" s="317">
        <v>-1.5</v>
      </c>
      <c r="E73" s="314">
        <v>46357</v>
      </c>
      <c r="F73" s="318">
        <v>13</v>
      </c>
      <c r="G73" s="319">
        <v>9.25</v>
      </c>
      <c r="H73" s="318">
        <v>357.75</v>
      </c>
      <c r="I73" s="317">
        <v>-0.5</v>
      </c>
      <c r="J73" s="319">
        <v>-8.9433070866141726</v>
      </c>
      <c r="K73" s="314">
        <v>46357</v>
      </c>
      <c r="L73" s="315">
        <v>30.460000000000093</v>
      </c>
      <c r="M73" s="315">
        <v>0.25</v>
      </c>
      <c r="N73" s="314">
        <v>46357</v>
      </c>
      <c r="O73" s="315">
        <v>93.985054347826122</v>
      </c>
      <c r="P73" s="317">
        <v>451.73505434782612</v>
      </c>
      <c r="Q73" s="317">
        <v>0.75</v>
      </c>
      <c r="R73" s="317">
        <v>5.8817222682691153</v>
      </c>
      <c r="S73" s="320">
        <v>-158.21494565217392</v>
      </c>
    </row>
    <row r="74" spans="1:19" ht="12.75" customHeight="1" x14ac:dyDescent="0.25">
      <c r="A74" s="314">
        <v>46388</v>
      </c>
      <c r="B74" s="315">
        <v>22.25</v>
      </c>
      <c r="C74" s="316">
        <v>372.25</v>
      </c>
      <c r="D74" s="317">
        <v>-1.25</v>
      </c>
      <c r="E74" s="314">
        <v>46388</v>
      </c>
      <c r="F74" s="318">
        <v>14</v>
      </c>
      <c r="G74" s="319">
        <v>8.25</v>
      </c>
      <c r="H74" s="318">
        <v>358.25</v>
      </c>
      <c r="I74" s="317">
        <v>-0.75</v>
      </c>
      <c r="J74" s="319">
        <v>-8.9007874015748047</v>
      </c>
      <c r="K74" s="314">
        <v>46388</v>
      </c>
      <c r="L74" s="315">
        <v>30.210000000000093</v>
      </c>
      <c r="M74" s="315">
        <v>0.25</v>
      </c>
      <c r="N74" s="314">
        <v>46388</v>
      </c>
      <c r="O74" s="315">
        <v>92.735054347826122</v>
      </c>
      <c r="P74" s="317">
        <v>450.98505434782612</v>
      </c>
      <c r="Q74" s="317">
        <v>0.5</v>
      </c>
      <c r="R74" s="317">
        <v>5.7215127621347222</v>
      </c>
      <c r="S74" s="320">
        <v>-158.88994565217388</v>
      </c>
    </row>
    <row r="75" spans="1:19" ht="12.75" customHeight="1" x14ac:dyDescent="0.25">
      <c r="A75" s="314">
        <v>46419</v>
      </c>
      <c r="B75" s="315">
        <v>22</v>
      </c>
      <c r="C75" s="316">
        <v>373.5</v>
      </c>
      <c r="D75" s="317">
        <v>-1</v>
      </c>
      <c r="E75" s="314">
        <v>46419</v>
      </c>
      <c r="F75" s="318">
        <v>14.5</v>
      </c>
      <c r="G75" s="319">
        <v>7.5</v>
      </c>
      <c r="H75" s="318">
        <v>359</v>
      </c>
      <c r="I75" s="317">
        <v>-0.75</v>
      </c>
      <c r="J75" s="319">
        <v>-8.8188976377952759</v>
      </c>
      <c r="K75" s="314">
        <v>46419</v>
      </c>
      <c r="L75" s="315">
        <v>29.960000000000093</v>
      </c>
      <c r="M75" s="315">
        <v>0.25</v>
      </c>
      <c r="N75" s="314">
        <v>46419</v>
      </c>
      <c r="O75" s="315">
        <v>91.485054347826122</v>
      </c>
      <c r="P75" s="317">
        <v>450.48505434782612</v>
      </c>
      <c r="Q75" s="317">
        <v>0.5</v>
      </c>
      <c r="R75" s="317">
        <v>5.5860589455065508</v>
      </c>
      <c r="S75" s="320">
        <v>-159.88994565217388</v>
      </c>
    </row>
    <row r="76" spans="1:19" ht="12.75" customHeight="1" x14ac:dyDescent="0.25">
      <c r="A76" s="314">
        <v>46447</v>
      </c>
      <c r="B76" s="315">
        <v>21.5</v>
      </c>
      <c r="C76" s="316">
        <v>374.5</v>
      </c>
      <c r="D76" s="317"/>
      <c r="E76" s="314">
        <v>46447</v>
      </c>
      <c r="F76" s="318">
        <v>14.75</v>
      </c>
      <c r="G76" s="319">
        <v>6.75</v>
      </c>
      <c r="H76" s="318">
        <v>359.75</v>
      </c>
      <c r="I76" s="317"/>
      <c r="J76" s="319">
        <v>-8.7370078740157489</v>
      </c>
      <c r="K76" s="314">
        <v>46447</v>
      </c>
      <c r="L76" s="315">
        <v>29.710000000000093</v>
      </c>
      <c r="M76" s="315"/>
      <c r="N76" s="314">
        <v>46447</v>
      </c>
      <c r="O76" s="315">
        <v>90.235054347826122</v>
      </c>
      <c r="P76" s="317">
        <v>449.98505434782612</v>
      </c>
      <c r="Q76" s="317"/>
      <c r="R76" s="317">
        <v>5.4499532273854925</v>
      </c>
      <c r="S76" s="320">
        <v>-160.63994565217388</v>
      </c>
    </row>
    <row r="77" spans="1:19" ht="12.75" customHeight="1" x14ac:dyDescent="0.25">
      <c r="A77" s="321"/>
      <c r="B77" s="315"/>
      <c r="C77" s="316"/>
      <c r="D77" s="317"/>
      <c r="E77" s="321"/>
      <c r="F77" s="318"/>
      <c r="G77" s="319"/>
      <c r="H77" s="318"/>
      <c r="I77" s="317"/>
      <c r="J77" s="319"/>
      <c r="K77" s="321"/>
      <c r="L77" s="315"/>
      <c r="M77" s="315"/>
      <c r="N77" s="321"/>
      <c r="O77" s="315"/>
      <c r="P77" s="317"/>
      <c r="Q77" s="317"/>
      <c r="R77" s="317"/>
      <c r="S77" s="320"/>
    </row>
    <row r="78" spans="1:19" ht="12.75" customHeight="1" x14ac:dyDescent="0.25">
      <c r="A78" s="321" t="s">
        <v>153</v>
      </c>
      <c r="B78" s="315">
        <v>27</v>
      </c>
      <c r="C78" s="316">
        <v>396.16666666666669</v>
      </c>
      <c r="D78" s="317">
        <v>5.4166666666666856</v>
      </c>
      <c r="E78" s="321" t="s">
        <v>153</v>
      </c>
      <c r="F78" s="318">
        <v>11</v>
      </c>
      <c r="G78" s="319">
        <v>16</v>
      </c>
      <c r="H78" s="318">
        <v>385.16666666666669</v>
      </c>
      <c r="I78" s="317">
        <v>6.4166666666666856</v>
      </c>
      <c r="J78" s="319">
        <v>-4.9303149606299215</v>
      </c>
      <c r="K78" s="321" t="s">
        <v>153</v>
      </c>
      <c r="L78" s="315">
        <v>31.376666666666779</v>
      </c>
      <c r="M78" s="315">
        <v>-1.0833333333333712</v>
      </c>
      <c r="N78" s="321" t="s">
        <v>153</v>
      </c>
      <c r="O78" s="315">
        <v>82.235054347826122</v>
      </c>
      <c r="P78" s="317">
        <v>467.40172101449281</v>
      </c>
      <c r="Q78" s="317">
        <v>3.6666666666666288</v>
      </c>
      <c r="R78" s="317">
        <v>8.038213958309564</v>
      </c>
      <c r="S78" s="320">
        <v>-167.84927536231876</v>
      </c>
    </row>
    <row r="79" spans="1:19" ht="12.75" customHeight="1" x14ac:dyDescent="0.25">
      <c r="A79" s="321" t="s">
        <v>159</v>
      </c>
      <c r="B79" s="315">
        <v>26.25</v>
      </c>
      <c r="C79" s="316">
        <v>390.75</v>
      </c>
      <c r="D79" s="317">
        <v>2.1666666666666288</v>
      </c>
      <c r="E79" s="321" t="s">
        <v>159</v>
      </c>
      <c r="F79" s="318">
        <v>12</v>
      </c>
      <c r="G79" s="319">
        <v>14.25</v>
      </c>
      <c r="H79" s="318">
        <v>378.75</v>
      </c>
      <c r="I79" s="317">
        <v>2.5833333333333144</v>
      </c>
      <c r="J79" s="319">
        <v>-5.6059055118110237</v>
      </c>
      <c r="K79" s="321" t="s">
        <v>159</v>
      </c>
      <c r="L79" s="315">
        <v>32.46000000000015</v>
      </c>
      <c r="M79" s="315">
        <v>0.66666666666668561</v>
      </c>
      <c r="N79" s="321" t="s">
        <v>159</v>
      </c>
      <c r="O79" s="315">
        <v>84.985054347826178</v>
      </c>
      <c r="P79" s="317">
        <v>463.73505434782618</v>
      </c>
      <c r="Q79" s="317">
        <v>3.75</v>
      </c>
      <c r="R79" s="317">
        <v>7.7821607250612885</v>
      </c>
      <c r="S79" s="320">
        <v>-158.34827898550722</v>
      </c>
    </row>
    <row r="80" spans="1:19" ht="12.75" customHeight="1" x14ac:dyDescent="0.25">
      <c r="A80" s="321" t="s">
        <v>160</v>
      </c>
      <c r="B80" s="315">
        <v>24.916666666666668</v>
      </c>
      <c r="C80" s="316">
        <v>388.58333333333337</v>
      </c>
      <c r="D80" s="317">
        <v>7.5</v>
      </c>
      <c r="E80" s="321" t="s">
        <v>160</v>
      </c>
      <c r="F80" s="318">
        <v>12.416666666666666</v>
      </c>
      <c r="G80" s="319">
        <v>12.500000000000002</v>
      </c>
      <c r="H80" s="318">
        <v>376.16666666666669</v>
      </c>
      <c r="I80" s="317">
        <v>7.6666666666666856</v>
      </c>
      <c r="J80" s="319">
        <v>-5.9814960629921252</v>
      </c>
      <c r="K80" s="321" t="s">
        <v>160</v>
      </c>
      <c r="L80" s="315">
        <v>31.793333333333464</v>
      </c>
      <c r="M80" s="315">
        <v>0.33333333333331439</v>
      </c>
      <c r="N80" s="321" t="s">
        <v>160</v>
      </c>
      <c r="O80" s="315">
        <v>83.818387681159493</v>
      </c>
      <c r="P80" s="317">
        <v>459.98505434782618</v>
      </c>
      <c r="Q80" s="317">
        <v>3.75</v>
      </c>
      <c r="R80" s="317">
        <v>7.2288479698848578</v>
      </c>
      <c r="S80" s="320">
        <v>-154.50661231884058</v>
      </c>
    </row>
    <row r="81" spans="1:19" ht="12.75" customHeight="1" x14ac:dyDescent="0.25">
      <c r="A81" s="321" t="s">
        <v>161</v>
      </c>
      <c r="B81" s="315">
        <v>21.916666666666668</v>
      </c>
      <c r="C81" s="316">
        <v>381.08333333333337</v>
      </c>
      <c r="D81" s="317">
        <v>9.1666666666666856</v>
      </c>
      <c r="E81" s="321" t="s">
        <v>161</v>
      </c>
      <c r="F81" s="318">
        <v>12.583333333333334</v>
      </c>
      <c r="G81" s="319">
        <v>9.3333333333333339</v>
      </c>
      <c r="H81" s="318">
        <v>368.5</v>
      </c>
      <c r="I81" s="317">
        <v>9.4166666666666288</v>
      </c>
      <c r="J81" s="319">
        <v>-7.1801837270341213</v>
      </c>
      <c r="K81" s="321" t="s">
        <v>161</v>
      </c>
      <c r="L81" s="315">
        <v>31.46000000000015</v>
      </c>
      <c r="M81" s="315">
        <v>0.75</v>
      </c>
      <c r="N81" s="321" t="s">
        <v>161</v>
      </c>
      <c r="O81" s="315">
        <v>87.735054347826178</v>
      </c>
      <c r="P81" s="317">
        <v>456.23505434782618</v>
      </c>
      <c r="Q81" s="317">
        <v>3.5</v>
      </c>
      <c r="R81" s="317">
        <v>6.6429672642410083</v>
      </c>
      <c r="S81" s="320">
        <v>-154.95661231884057</v>
      </c>
    </row>
    <row r="82" spans="1:19" ht="12.75" customHeight="1" x14ac:dyDescent="0.25">
      <c r="A82" s="321" t="s">
        <v>162</v>
      </c>
      <c r="B82" s="315">
        <v>21.75</v>
      </c>
      <c r="C82" s="316">
        <v>371.91666666666669</v>
      </c>
      <c r="D82" s="317">
        <v>-1.5</v>
      </c>
      <c r="E82" s="321" t="s">
        <v>162</v>
      </c>
      <c r="F82" s="318">
        <v>12.833333333333334</v>
      </c>
      <c r="G82" s="319">
        <v>8.9166666666666661</v>
      </c>
      <c r="H82" s="318">
        <v>359.08333333333337</v>
      </c>
      <c r="I82" s="317">
        <v>8.3333333333371229E-2</v>
      </c>
      <c r="J82" s="319">
        <v>-8.7458005249343831</v>
      </c>
      <c r="K82" s="321" t="s">
        <v>162</v>
      </c>
      <c r="L82" s="315">
        <v>30.71000000000015</v>
      </c>
      <c r="M82" s="315">
        <v>0.75</v>
      </c>
      <c r="N82" s="321" t="s">
        <v>162</v>
      </c>
      <c r="O82" s="315">
        <v>93.651721014492807</v>
      </c>
      <c r="P82" s="317">
        <v>452.73505434782618</v>
      </c>
      <c r="Q82" s="317">
        <v>2.25</v>
      </c>
      <c r="R82" s="317">
        <v>6.0373010573465207</v>
      </c>
      <c r="S82" s="320">
        <v>-158.46494565217392</v>
      </c>
    </row>
    <row r="83" spans="1:19" ht="12.75" customHeight="1" x14ac:dyDescent="0.25">
      <c r="A83" s="321" t="s">
        <v>234</v>
      </c>
      <c r="B83" s="315">
        <v>21.916666666666668</v>
      </c>
      <c r="C83" s="316">
        <v>373.41666666666669</v>
      </c>
      <c r="D83" s="317"/>
      <c r="E83" s="321" t="s">
        <v>234</v>
      </c>
      <c r="F83" s="318">
        <v>14.416666666666666</v>
      </c>
      <c r="G83" s="319">
        <v>7.5000000000000018</v>
      </c>
      <c r="H83" s="318">
        <v>359</v>
      </c>
      <c r="I83" s="317"/>
      <c r="J83" s="319">
        <v>-8.8188976377952759</v>
      </c>
      <c r="K83" s="321" t="s">
        <v>234</v>
      </c>
      <c r="L83" s="315">
        <v>29.96000000000015</v>
      </c>
      <c r="M83" s="315"/>
      <c r="N83" s="321" t="s">
        <v>234</v>
      </c>
      <c r="O83" s="315">
        <v>91.485054347826178</v>
      </c>
      <c r="P83" s="317">
        <v>450.48505434782618</v>
      </c>
      <c r="Q83" s="317"/>
      <c r="R83" s="317">
        <v>5.5858416450089221</v>
      </c>
      <c r="S83" s="320">
        <v>-159.80661231884054</v>
      </c>
    </row>
    <row r="84" spans="1:19" ht="12.75" customHeight="1" x14ac:dyDescent="0.25">
      <c r="A84" s="322">
        <v>2026</v>
      </c>
      <c r="B84" s="315">
        <v>23.708333333333332</v>
      </c>
      <c r="C84" s="316">
        <v>383.08333333333331</v>
      </c>
      <c r="D84" s="323"/>
      <c r="E84" s="332">
        <v>2026</v>
      </c>
      <c r="F84" s="318">
        <v>12.458333333333334</v>
      </c>
      <c r="G84" s="319">
        <v>11.249999999999998</v>
      </c>
      <c r="H84" s="318">
        <v>370.625</v>
      </c>
      <c r="I84" s="333"/>
      <c r="J84" s="365">
        <v>-6.8783464566929142</v>
      </c>
      <c r="K84" s="361">
        <v>2026</v>
      </c>
      <c r="L84" s="333">
        <v>31.605833333333521</v>
      </c>
      <c r="M84" s="334"/>
      <c r="N84" s="361">
        <v>2026</v>
      </c>
      <c r="O84" s="333">
        <v>87.547554347826178</v>
      </c>
      <c r="P84" s="334">
        <v>458.17255434782618</v>
      </c>
      <c r="Q84" s="334"/>
      <c r="R84" s="334">
        <v>6.9228192541334188</v>
      </c>
      <c r="S84" s="362">
        <v>-156.56911231884058</v>
      </c>
    </row>
    <row r="85" spans="1:19" ht="12.75" customHeight="1" x14ac:dyDescent="0.25">
      <c r="A85" s="331"/>
      <c r="B85" s="263"/>
      <c r="C85" s="263"/>
      <c r="D85" s="263"/>
      <c r="E85" s="263"/>
      <c r="F85" s="263"/>
      <c r="G85" s="263"/>
      <c r="H85" s="263"/>
      <c r="I85" s="268"/>
      <c r="J85" s="268"/>
      <c r="K85" s="324" t="s">
        <v>140</v>
      </c>
      <c r="L85" s="325"/>
      <c r="M85" s="268"/>
      <c r="N85" s="325"/>
      <c r="O85" s="268"/>
      <c r="P85" s="268"/>
      <c r="Q85" s="268"/>
      <c r="R85" s="268"/>
      <c r="S85" s="325"/>
    </row>
    <row r="86" spans="1:19" ht="12.75" customHeight="1" x14ac:dyDescent="0.25">
      <c r="A86" s="326"/>
      <c r="B86" s="268"/>
      <c r="C86" s="268"/>
      <c r="D86" s="268"/>
      <c r="E86" s="268"/>
      <c r="F86" s="268"/>
      <c r="G86" s="268"/>
      <c r="H86" s="268"/>
      <c r="I86" s="268"/>
      <c r="J86" s="268"/>
      <c r="K86" s="324" t="s">
        <v>141</v>
      </c>
      <c r="L86" s="325"/>
      <c r="M86" s="268"/>
      <c r="N86" s="268"/>
      <c r="O86" s="268"/>
      <c r="P86" s="268"/>
      <c r="Q86" s="268"/>
      <c r="R86" s="268"/>
      <c r="S86" s="325"/>
    </row>
    <row r="87" spans="1:19" ht="12.75" customHeight="1" x14ac:dyDescent="0.25">
      <c r="A87" s="326"/>
      <c r="B87" s="268"/>
      <c r="C87" s="268"/>
      <c r="D87" s="268"/>
      <c r="E87" s="268"/>
      <c r="F87" s="268"/>
      <c r="G87" s="268"/>
      <c r="H87" s="268"/>
      <c r="I87" s="268"/>
      <c r="J87" s="268"/>
      <c r="K87" s="324" t="s">
        <v>142</v>
      </c>
      <c r="L87" s="268"/>
      <c r="M87" s="268"/>
      <c r="N87" s="268"/>
      <c r="O87" s="268"/>
      <c r="P87" s="268"/>
      <c r="Q87" s="268"/>
      <c r="R87" s="268"/>
      <c r="S87" s="325"/>
    </row>
    <row r="88" spans="1:19" ht="12.75" customHeight="1" x14ac:dyDescent="0.25">
      <c r="A88" s="326"/>
      <c r="B88" s="268"/>
      <c r="C88" s="268"/>
      <c r="D88" s="268"/>
      <c r="E88" s="268"/>
      <c r="F88" s="268"/>
      <c r="G88" s="268"/>
      <c r="H88" s="268"/>
      <c r="I88" s="268"/>
      <c r="J88" s="268"/>
      <c r="K88" s="324" t="s">
        <v>143</v>
      </c>
      <c r="L88" s="268"/>
      <c r="M88" s="268"/>
      <c r="N88" s="268"/>
      <c r="O88" s="268"/>
      <c r="P88" s="268"/>
      <c r="Q88" s="268"/>
      <c r="R88" s="268"/>
      <c r="S88" s="325"/>
    </row>
    <row r="89" spans="1:19" ht="12.75" customHeight="1" x14ac:dyDescent="0.25">
      <c r="A89" s="326"/>
      <c r="B89" s="268"/>
      <c r="C89" s="268"/>
      <c r="D89" s="268"/>
      <c r="E89" s="268"/>
      <c r="F89" s="268"/>
      <c r="G89" s="268"/>
      <c r="H89" s="268"/>
      <c r="I89" s="268"/>
      <c r="J89" s="268"/>
      <c r="K89" s="324" t="s">
        <v>35</v>
      </c>
      <c r="L89" s="268"/>
      <c r="M89" s="268"/>
      <c r="N89" s="268"/>
      <c r="O89" s="268"/>
      <c r="P89" s="268"/>
      <c r="Q89" s="268"/>
      <c r="R89" s="268"/>
      <c r="S89" s="325"/>
    </row>
    <row r="90" spans="1:19" ht="12.75" customHeight="1" x14ac:dyDescent="0.25">
      <c r="A90" s="326"/>
      <c r="B90" s="268"/>
      <c r="C90" s="268"/>
      <c r="D90" s="268"/>
      <c r="E90" s="268"/>
      <c r="F90" s="268"/>
      <c r="G90" s="268"/>
      <c r="H90" s="268"/>
      <c r="I90" s="268"/>
      <c r="J90" s="268"/>
      <c r="K90" s="324" t="s">
        <v>36</v>
      </c>
      <c r="L90" s="268"/>
      <c r="M90" s="268"/>
      <c r="N90" s="268"/>
      <c r="O90" s="268"/>
      <c r="P90" s="268"/>
      <c r="Q90" s="268"/>
      <c r="R90" s="268"/>
      <c r="S90" s="325"/>
    </row>
    <row r="91" spans="1:19" ht="12.75" customHeight="1" x14ac:dyDescent="0.25">
      <c r="A91" s="326"/>
      <c r="B91" s="268"/>
      <c r="C91" s="268"/>
      <c r="D91" s="268"/>
      <c r="E91" s="268"/>
      <c r="F91" s="268"/>
      <c r="G91" s="268"/>
      <c r="H91" s="268"/>
      <c r="I91" s="268"/>
      <c r="J91" s="268"/>
      <c r="K91" s="324" t="s">
        <v>37</v>
      </c>
      <c r="L91" s="268"/>
      <c r="M91" s="268"/>
      <c r="N91" s="268"/>
      <c r="O91" s="268"/>
      <c r="P91" s="268"/>
      <c r="Q91" s="268"/>
      <c r="R91" s="268"/>
      <c r="S91" s="325"/>
    </row>
    <row r="92" spans="1:19" ht="12.75" customHeight="1" x14ac:dyDescent="0.25">
      <c r="A92" s="327"/>
      <c r="B92" s="328"/>
      <c r="C92" s="328"/>
      <c r="D92" s="328"/>
      <c r="E92" s="328"/>
      <c r="F92" s="328"/>
      <c r="G92" s="328"/>
      <c r="H92" s="328"/>
      <c r="I92" s="328"/>
      <c r="J92" s="328"/>
      <c r="K92" s="329" t="s">
        <v>38</v>
      </c>
      <c r="L92" s="328"/>
      <c r="M92" s="328"/>
      <c r="N92" s="328"/>
      <c r="O92" s="328"/>
      <c r="P92" s="328"/>
      <c r="Q92" s="328"/>
      <c r="R92" s="328"/>
      <c r="S92" s="330"/>
    </row>
    <row r="93" spans="1:19" ht="12.75" customHeight="1" x14ac:dyDescent="0.25"/>
    <row r="94" spans="1:19" ht="12.75" customHeight="1" x14ac:dyDescent="0.25"/>
    <row r="95" spans="1:19" ht="12.75" customHeight="1" x14ac:dyDescent="0.25"/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H28" sqref="H28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371"/>
      <c r="B2" s="626">
        <v>45909</v>
      </c>
      <c r="C2" s="626"/>
    </row>
    <row r="3" spans="1:36" x14ac:dyDescent="0.25">
      <c r="F3" s="372"/>
    </row>
    <row r="4" spans="1:36" ht="19.5" thickBot="1" x14ac:dyDescent="0.3">
      <c r="B4" s="627" t="s">
        <v>166</v>
      </c>
      <c r="C4" s="627"/>
      <c r="R4" s="363"/>
    </row>
    <row r="5" spans="1:36" ht="15.75" thickBot="1" x14ac:dyDescent="0.3">
      <c r="B5" s="628" t="s">
        <v>167</v>
      </c>
      <c r="C5" s="629"/>
      <c r="D5" s="373"/>
      <c r="E5" s="628" t="s">
        <v>168</v>
      </c>
      <c r="F5" s="630"/>
      <c r="G5" s="373"/>
      <c r="H5" s="628" t="s">
        <v>169</v>
      </c>
      <c r="I5" s="629"/>
      <c r="K5" s="628" t="s">
        <v>170</v>
      </c>
      <c r="L5" s="629"/>
      <c r="N5" s="628" t="s">
        <v>171</v>
      </c>
      <c r="O5" s="629"/>
      <c r="Q5" s="628" t="s">
        <v>172</v>
      </c>
      <c r="R5" s="629"/>
      <c r="T5" s="628" t="s">
        <v>173</v>
      </c>
      <c r="U5" s="629"/>
      <c r="W5" s="628" t="s">
        <v>174</v>
      </c>
      <c r="X5" s="629"/>
      <c r="Z5" s="628" t="s">
        <v>175</v>
      </c>
      <c r="AA5" s="629"/>
      <c r="AC5" s="628" t="s">
        <v>176</v>
      </c>
      <c r="AD5" s="629"/>
      <c r="AF5" s="628" t="s">
        <v>235</v>
      </c>
      <c r="AG5" s="629"/>
      <c r="AI5" s="628" t="s">
        <v>177</v>
      </c>
      <c r="AJ5" s="629"/>
    </row>
    <row r="6" spans="1:36" ht="15.75" thickBot="1" x14ac:dyDescent="0.3">
      <c r="B6" s="374">
        <v>45924</v>
      </c>
      <c r="C6" s="375">
        <v>-6.76</v>
      </c>
      <c r="D6" s="373"/>
      <c r="E6" s="376" t="s">
        <v>233</v>
      </c>
      <c r="F6" s="375">
        <v>66.099999999999994</v>
      </c>
      <c r="G6" s="373"/>
      <c r="H6" s="377">
        <f t="shared" ref="H6:H14" si="0">B6</f>
        <v>45924</v>
      </c>
      <c r="I6" s="375">
        <v>-3.88</v>
      </c>
      <c r="K6" s="377">
        <f t="shared" ref="K6:K16" si="1">B6</f>
        <v>45924</v>
      </c>
      <c r="L6" s="375">
        <v>2.4500000000000002</v>
      </c>
      <c r="N6" s="378" t="str">
        <f>E24</f>
        <v>Sep/Oct</v>
      </c>
      <c r="O6" s="375">
        <v>1.5</v>
      </c>
      <c r="Q6" s="377">
        <f>B6</f>
        <v>45924</v>
      </c>
      <c r="R6" s="375">
        <v>6.85</v>
      </c>
      <c r="T6" s="378" t="str">
        <f>E24</f>
        <v>Sep/Oct</v>
      </c>
      <c r="U6" s="375">
        <v>-1</v>
      </c>
      <c r="W6" s="378" t="str">
        <f>E24</f>
        <v>Sep/Oct</v>
      </c>
      <c r="X6" s="375">
        <v>2.25</v>
      </c>
      <c r="Z6" s="377">
        <f>B6</f>
        <v>45924</v>
      </c>
      <c r="AA6" s="375">
        <v>27.98</v>
      </c>
      <c r="AC6" s="377">
        <f>B6</f>
        <v>45924</v>
      </c>
      <c r="AD6" s="375">
        <v>17</v>
      </c>
      <c r="AF6" s="377">
        <f>B6</f>
        <v>45924</v>
      </c>
      <c r="AG6" s="375">
        <v>-4.08</v>
      </c>
      <c r="AI6" s="379" t="str">
        <f>E24</f>
        <v>Sep/Oct</v>
      </c>
      <c r="AJ6" s="375">
        <v>1.5</v>
      </c>
    </row>
    <row r="7" spans="1:36" ht="15.75" thickBot="1" x14ac:dyDescent="0.3">
      <c r="B7" s="380">
        <v>45954</v>
      </c>
      <c r="C7" s="381">
        <v>-6.7</v>
      </c>
      <c r="D7" s="373"/>
      <c r="E7" s="382" t="s">
        <v>270</v>
      </c>
      <c r="F7" s="375">
        <v>65.849999999999994</v>
      </c>
      <c r="G7" s="373"/>
      <c r="H7" s="384">
        <f>B7</f>
        <v>45954</v>
      </c>
      <c r="I7" s="383">
        <v>-3.89</v>
      </c>
      <c r="K7" s="385">
        <f>B7</f>
        <v>45954</v>
      </c>
      <c r="L7" s="383">
        <v>2.5</v>
      </c>
      <c r="N7" s="386" t="str">
        <f>E25</f>
        <v>Oct/Nov</v>
      </c>
      <c r="O7" s="383">
        <v>2.25</v>
      </c>
      <c r="Q7" s="387">
        <f>B7</f>
        <v>45954</v>
      </c>
      <c r="R7" s="383">
        <v>7.3</v>
      </c>
      <c r="T7" s="386" t="str">
        <f>E25</f>
        <v>Oct/Nov</v>
      </c>
      <c r="U7" s="383">
        <v>0.25</v>
      </c>
      <c r="W7" s="388" t="str">
        <f>E25</f>
        <v>Oct/Nov</v>
      </c>
      <c r="X7" s="383">
        <v>5</v>
      </c>
      <c r="Z7" s="389">
        <f>B7</f>
        <v>45954</v>
      </c>
      <c r="AA7" s="383">
        <v>30.48</v>
      </c>
      <c r="AC7" s="389">
        <f>B7</f>
        <v>45954</v>
      </c>
      <c r="AD7" s="383">
        <v>16.25</v>
      </c>
      <c r="AF7" s="387">
        <f t="shared" ref="AF7:AF17" si="2">B7</f>
        <v>45954</v>
      </c>
      <c r="AG7" s="383">
        <v>-4.1399999999999997</v>
      </c>
      <c r="AI7" s="393" t="str">
        <f t="shared" ref="AI7:AI17" si="3">E25</f>
        <v>Oct/Nov</v>
      </c>
      <c r="AJ7" s="383">
        <v>4.5</v>
      </c>
    </row>
    <row r="8" spans="1:36" ht="15.75" thickBot="1" x14ac:dyDescent="0.3">
      <c r="B8" s="374">
        <v>45985</v>
      </c>
      <c r="C8" s="375">
        <v>-7.15</v>
      </c>
      <c r="D8" s="373"/>
      <c r="E8" s="628" t="s">
        <v>178</v>
      </c>
      <c r="F8" s="630"/>
      <c r="G8" s="373"/>
      <c r="H8" s="377">
        <f t="shared" si="0"/>
        <v>45985</v>
      </c>
      <c r="I8" s="375">
        <v>-3.82</v>
      </c>
      <c r="K8" s="377">
        <f>B8</f>
        <v>45985</v>
      </c>
      <c r="L8" s="375">
        <v>2.4</v>
      </c>
      <c r="N8" s="378" t="str">
        <f>E26</f>
        <v>Nov/Dec</v>
      </c>
      <c r="O8" s="375">
        <v>1.25</v>
      </c>
      <c r="Q8" s="377">
        <f>B8</f>
        <v>45985</v>
      </c>
      <c r="R8" s="375">
        <v>7.51</v>
      </c>
      <c r="T8" s="378" t="str">
        <f>E26</f>
        <v>Nov/Dec</v>
      </c>
      <c r="U8" s="375">
        <v>0.5</v>
      </c>
      <c r="W8" s="378" t="str">
        <f>E26</f>
        <v>Nov/Dec</v>
      </c>
      <c r="X8" s="375">
        <v>4</v>
      </c>
      <c r="Z8" s="377">
        <f t="shared" ref="Z8:Z17" si="4">B8</f>
        <v>45985</v>
      </c>
      <c r="AA8" s="375">
        <v>32.479999999999997</v>
      </c>
      <c r="AC8" s="377">
        <f t="shared" ref="AC8:AC17" si="5">B8</f>
        <v>45985</v>
      </c>
      <c r="AD8" s="375">
        <v>15.75</v>
      </c>
      <c r="AF8" s="377">
        <f t="shared" si="2"/>
        <v>45985</v>
      </c>
      <c r="AG8" s="375">
        <v>-4.67</v>
      </c>
      <c r="AI8" s="379" t="str">
        <f t="shared" si="3"/>
        <v>Nov/Dec</v>
      </c>
      <c r="AJ8" s="375">
        <v>3.5</v>
      </c>
    </row>
    <row r="9" spans="1:36" ht="15.75" thickBot="1" x14ac:dyDescent="0.3">
      <c r="B9" s="380">
        <v>46015</v>
      </c>
      <c r="C9" s="381">
        <v>-7.52</v>
      </c>
      <c r="D9" s="373"/>
      <c r="E9" s="376" t="str">
        <f>E6</f>
        <v>Oct</v>
      </c>
      <c r="F9" s="391">
        <f>F6-65.66</f>
        <v>0.43999999999999773</v>
      </c>
      <c r="G9" s="373"/>
      <c r="H9" s="387">
        <f t="shared" si="0"/>
        <v>46015</v>
      </c>
      <c r="I9" s="381">
        <v>-3.75</v>
      </c>
      <c r="K9" s="387">
        <f>B9</f>
        <v>46015</v>
      </c>
      <c r="L9" s="381">
        <v>2.39</v>
      </c>
      <c r="N9" s="392" t="str">
        <f t="shared" ref="N9:N13" si="6">E27</f>
        <v>Dec/Jan</v>
      </c>
      <c r="O9" s="381">
        <v>0.75</v>
      </c>
      <c r="Q9" s="387">
        <f t="shared" ref="Q9:Q17" si="7">B9</f>
        <v>46015</v>
      </c>
      <c r="R9" s="381">
        <v>7.62</v>
      </c>
      <c r="T9" s="392" t="str">
        <f t="shared" ref="T9:T15" si="8">E27</f>
        <v>Dec/Jan</v>
      </c>
      <c r="U9" s="381">
        <v>0.75</v>
      </c>
      <c r="W9" s="392" t="str">
        <f>E27</f>
        <v>Dec/Jan</v>
      </c>
      <c r="X9" s="381">
        <v>1.75</v>
      </c>
      <c r="Z9" s="387">
        <f t="shared" si="4"/>
        <v>46015</v>
      </c>
      <c r="AA9" s="381">
        <v>33.229999999999997</v>
      </c>
      <c r="AC9" s="387">
        <f t="shared" si="5"/>
        <v>46015</v>
      </c>
      <c r="AD9" s="381">
        <v>15.25</v>
      </c>
      <c r="AF9" s="387">
        <f t="shared" si="2"/>
        <v>46015</v>
      </c>
      <c r="AG9" s="381">
        <v>-5.12</v>
      </c>
      <c r="AI9" s="393" t="str">
        <f t="shared" si="3"/>
        <v>Dec/Jan</v>
      </c>
      <c r="AJ9" s="381">
        <v>1.5</v>
      </c>
    </row>
    <row r="10" spans="1:36" ht="15.75" thickBot="1" x14ac:dyDescent="0.3">
      <c r="B10" s="374">
        <v>46046</v>
      </c>
      <c r="C10" s="375">
        <v>-7.67</v>
      </c>
      <c r="D10" s="373"/>
      <c r="E10" s="376" t="str">
        <f>E7</f>
        <v>Nov</v>
      </c>
      <c r="F10" s="394">
        <f>F7-65.38</f>
        <v>0.46999999999999886</v>
      </c>
      <c r="G10" s="373"/>
      <c r="H10" s="377">
        <f t="shared" si="0"/>
        <v>46046</v>
      </c>
      <c r="I10" s="375">
        <v>-3.72</v>
      </c>
      <c r="K10" s="377">
        <f t="shared" si="1"/>
        <v>46046</v>
      </c>
      <c r="L10" s="375">
        <v>2.35</v>
      </c>
      <c r="N10" s="378" t="str">
        <f t="shared" si="6"/>
        <v>Jan/Feb</v>
      </c>
      <c r="O10" s="375">
        <v>0.75</v>
      </c>
      <c r="Q10" s="377">
        <f t="shared" si="7"/>
        <v>46046</v>
      </c>
      <c r="R10" s="375">
        <v>7.59</v>
      </c>
      <c r="T10" s="378" t="str">
        <f t="shared" si="8"/>
        <v>Jan/Feb</v>
      </c>
      <c r="U10" s="375">
        <v>0.75</v>
      </c>
      <c r="W10" s="378" t="str">
        <f t="shared" ref="W10:W17" si="9">E28</f>
        <v>Jan/Feb</v>
      </c>
      <c r="X10" s="375">
        <v>1.5</v>
      </c>
      <c r="Z10" s="377">
        <f t="shared" si="4"/>
        <v>46046</v>
      </c>
      <c r="AA10" s="375">
        <v>33.229999999999997</v>
      </c>
      <c r="AC10" s="377">
        <f t="shared" si="5"/>
        <v>46046</v>
      </c>
      <c r="AD10" s="375">
        <v>15</v>
      </c>
      <c r="AF10" s="377">
        <f t="shared" si="2"/>
        <v>46046</v>
      </c>
      <c r="AG10" s="375">
        <v>-5.31</v>
      </c>
      <c r="AI10" s="379" t="str">
        <f t="shared" si="3"/>
        <v>Jan/Feb</v>
      </c>
      <c r="AJ10" s="375">
        <v>1</v>
      </c>
    </row>
    <row r="11" spans="1:36" ht="15.75" thickBot="1" x14ac:dyDescent="0.3">
      <c r="B11" s="380">
        <v>46078</v>
      </c>
      <c r="C11" s="381">
        <v>-7.78</v>
      </c>
      <c r="D11" s="373"/>
      <c r="E11" s="373"/>
      <c r="F11" s="373"/>
      <c r="G11" s="373"/>
      <c r="H11" s="387">
        <f>B11</f>
        <v>46078</v>
      </c>
      <c r="I11" s="381">
        <v>-3.7</v>
      </c>
      <c r="K11" s="387">
        <f t="shared" si="1"/>
        <v>46078</v>
      </c>
      <c r="L11" s="381">
        <v>2.2799999999999998</v>
      </c>
      <c r="N11" s="392" t="str">
        <f t="shared" si="6"/>
        <v>Feb/Mar</v>
      </c>
      <c r="O11" s="381">
        <v>0.75</v>
      </c>
      <c r="Q11" s="387">
        <f>B11</f>
        <v>46078</v>
      </c>
      <c r="R11" s="381">
        <v>7.51</v>
      </c>
      <c r="T11" s="392" t="str">
        <f t="shared" si="8"/>
        <v>Feb/Mar</v>
      </c>
      <c r="U11" s="381">
        <v>1</v>
      </c>
      <c r="W11" s="392" t="str">
        <f t="shared" si="9"/>
        <v>Feb/Mar</v>
      </c>
      <c r="X11" s="381">
        <v>0.75</v>
      </c>
      <c r="Z11" s="387">
        <f t="shared" si="4"/>
        <v>46078</v>
      </c>
      <c r="AA11" s="381">
        <v>33.229999999999997</v>
      </c>
      <c r="AC11" s="387">
        <f>B11</f>
        <v>46078</v>
      </c>
      <c r="AD11" s="381">
        <v>14.5</v>
      </c>
      <c r="AF11" s="387">
        <f t="shared" si="2"/>
        <v>46078</v>
      </c>
      <c r="AG11" s="381">
        <v>-5.5</v>
      </c>
      <c r="AI11" s="393" t="str">
        <f t="shared" si="3"/>
        <v>Feb/Mar</v>
      </c>
      <c r="AJ11" s="381">
        <v>0.25</v>
      </c>
    </row>
    <row r="12" spans="1:36" ht="15.75" thickBot="1" x14ac:dyDescent="0.3">
      <c r="B12" s="374">
        <v>46106</v>
      </c>
      <c r="C12" s="375">
        <v>-7.8</v>
      </c>
      <c r="D12" s="373"/>
      <c r="F12" s="373"/>
      <c r="G12" s="373"/>
      <c r="H12" s="377">
        <f t="shared" si="0"/>
        <v>46106</v>
      </c>
      <c r="I12" s="375">
        <v>-3.69</v>
      </c>
      <c r="K12" s="377">
        <f t="shared" si="1"/>
        <v>46106</v>
      </c>
      <c r="L12" s="375">
        <v>2.19</v>
      </c>
      <c r="N12" s="378" t="str">
        <f t="shared" si="6"/>
        <v>Mar/Apr</v>
      </c>
      <c r="O12" s="375">
        <v>0.75</v>
      </c>
      <c r="Q12" s="377">
        <f t="shared" si="7"/>
        <v>46106</v>
      </c>
      <c r="R12" s="375">
        <v>7.38</v>
      </c>
      <c r="T12" s="378" t="str">
        <f t="shared" si="8"/>
        <v>Mar/Apr</v>
      </c>
      <c r="U12" s="375">
        <v>1</v>
      </c>
      <c r="W12" s="378" t="str">
        <f t="shared" si="9"/>
        <v>Mar/Apr</v>
      </c>
      <c r="X12" s="375">
        <v>0.75</v>
      </c>
      <c r="Z12" s="377">
        <f t="shared" si="4"/>
        <v>46106</v>
      </c>
      <c r="AA12" s="375">
        <v>32.979999999999997</v>
      </c>
      <c r="AC12" s="377">
        <f t="shared" si="5"/>
        <v>46106</v>
      </c>
      <c r="AD12" s="375">
        <v>14</v>
      </c>
      <c r="AF12" s="377">
        <f t="shared" si="2"/>
        <v>46106</v>
      </c>
      <c r="AG12" s="375">
        <v>-5.59</v>
      </c>
      <c r="AI12" s="379" t="str">
        <f>E30</f>
        <v>Mar/Apr</v>
      </c>
      <c r="AJ12" s="375">
        <v>0.25</v>
      </c>
    </row>
    <row r="13" spans="1:36" ht="15.75" thickBot="1" x14ac:dyDescent="0.3">
      <c r="B13" s="380">
        <v>46117</v>
      </c>
      <c r="C13" s="381">
        <v>-7.81</v>
      </c>
      <c r="D13" s="373"/>
      <c r="F13" s="363"/>
      <c r="G13" s="373"/>
      <c r="H13" s="387">
        <f t="shared" si="0"/>
        <v>46117</v>
      </c>
      <c r="I13" s="381">
        <v>-3.68</v>
      </c>
      <c r="K13" s="387">
        <f>B13</f>
        <v>46117</v>
      </c>
      <c r="L13" s="381">
        <v>2.09</v>
      </c>
      <c r="N13" s="392" t="str">
        <f t="shared" si="6"/>
        <v>Apr/May</v>
      </c>
      <c r="O13" s="381">
        <v>0.75</v>
      </c>
      <c r="Q13" s="387">
        <f t="shared" si="7"/>
        <v>46117</v>
      </c>
      <c r="R13" s="381">
        <v>7.25</v>
      </c>
      <c r="T13" s="392" t="str">
        <f t="shared" si="8"/>
        <v>Apr/May</v>
      </c>
      <c r="U13" s="381">
        <v>1.25</v>
      </c>
      <c r="W13" s="392" t="str">
        <f>E31</f>
        <v>Apr/May</v>
      </c>
      <c r="X13" s="381">
        <v>1.25</v>
      </c>
      <c r="Z13" s="387">
        <f>B13</f>
        <v>46117</v>
      </c>
      <c r="AA13" s="381">
        <v>32.729999999999997</v>
      </c>
      <c r="AC13" s="387">
        <f t="shared" si="5"/>
        <v>46117</v>
      </c>
      <c r="AD13" s="381">
        <v>13.5</v>
      </c>
      <c r="AF13" s="387">
        <f t="shared" si="2"/>
        <v>46117</v>
      </c>
      <c r="AG13" s="381">
        <v>-5.68</v>
      </c>
      <c r="AI13" s="393" t="str">
        <f t="shared" si="3"/>
        <v>Apr/May</v>
      </c>
      <c r="AJ13" s="381">
        <v>0.25</v>
      </c>
    </row>
    <row r="14" spans="1:36" ht="15.75" thickBot="1" x14ac:dyDescent="0.3">
      <c r="B14" s="374">
        <v>46167</v>
      </c>
      <c r="C14" s="375">
        <v>-7.81</v>
      </c>
      <c r="D14" s="373"/>
      <c r="G14" s="373"/>
      <c r="H14" s="377">
        <f t="shared" si="0"/>
        <v>46167</v>
      </c>
      <c r="I14" s="375">
        <v>-3.68</v>
      </c>
      <c r="K14" s="377">
        <f t="shared" si="1"/>
        <v>46167</v>
      </c>
      <c r="L14" s="375">
        <v>2.0099999999999998</v>
      </c>
      <c r="N14" s="378" t="str">
        <f>E32</f>
        <v>May/Jun</v>
      </c>
      <c r="O14" s="375">
        <v>1</v>
      </c>
      <c r="Q14" s="377">
        <f t="shared" si="7"/>
        <v>46167</v>
      </c>
      <c r="R14" s="375">
        <v>7.09</v>
      </c>
      <c r="T14" s="378" t="str">
        <f t="shared" si="8"/>
        <v>May/Jun</v>
      </c>
      <c r="U14" s="375">
        <v>1.25</v>
      </c>
      <c r="W14" s="378" t="str">
        <f t="shared" si="9"/>
        <v>May/Jun</v>
      </c>
      <c r="X14" s="375">
        <v>1.5</v>
      </c>
      <c r="Z14" s="377">
        <f>B14</f>
        <v>46167</v>
      </c>
      <c r="AA14" s="375">
        <v>32.229999999999997</v>
      </c>
      <c r="AC14" s="377">
        <f t="shared" si="5"/>
        <v>46167</v>
      </c>
      <c r="AD14" s="375">
        <v>12.5</v>
      </c>
      <c r="AF14" s="377">
        <f t="shared" si="2"/>
        <v>46167</v>
      </c>
      <c r="AG14" s="375">
        <v>-5.84</v>
      </c>
      <c r="AI14" s="379" t="str">
        <f t="shared" si="3"/>
        <v>May/Jun</v>
      </c>
      <c r="AJ14" s="375">
        <v>0.75</v>
      </c>
    </row>
    <row r="15" spans="1:36" ht="15.75" thickBot="1" x14ac:dyDescent="0.3">
      <c r="B15" s="395" t="s">
        <v>179</v>
      </c>
      <c r="C15" s="383">
        <v>-7.13</v>
      </c>
      <c r="D15" s="396"/>
      <c r="F15" s="363"/>
      <c r="G15" s="373"/>
      <c r="H15" s="382" t="str">
        <f>B15</f>
        <v>Q4-25</v>
      </c>
      <c r="I15" s="383">
        <v>-3.81</v>
      </c>
      <c r="K15" s="386" t="str">
        <f t="shared" si="1"/>
        <v>Q4-25</v>
      </c>
      <c r="L15" s="383">
        <v>2.4300000000000002</v>
      </c>
      <c r="N15" s="386" t="str">
        <f t="shared" ref="N15:N16" si="10">E33</f>
        <v>Q4/Q126</v>
      </c>
      <c r="O15" s="383">
        <v>3.08</v>
      </c>
      <c r="Q15" s="386" t="str">
        <f t="shared" si="7"/>
        <v>Q4-25</v>
      </c>
      <c r="R15" s="383">
        <v>7.48</v>
      </c>
      <c r="T15" s="386" t="str">
        <f t="shared" si="8"/>
        <v>Q4/Q126</v>
      </c>
      <c r="U15" s="383">
        <v>2</v>
      </c>
      <c r="W15" s="388" t="str">
        <f t="shared" si="9"/>
        <v>Q4/Q126</v>
      </c>
      <c r="X15" s="383">
        <v>7.34</v>
      </c>
      <c r="Z15" s="390" t="str">
        <f>B15</f>
        <v>Q4-25</v>
      </c>
      <c r="AA15" s="383">
        <v>32.06</v>
      </c>
      <c r="AC15" s="390" t="str">
        <f t="shared" si="5"/>
        <v>Q4-25</v>
      </c>
      <c r="AD15" s="383">
        <v>15.75</v>
      </c>
      <c r="AF15" s="387" t="str">
        <f t="shared" si="2"/>
        <v>Q4-25</v>
      </c>
      <c r="AG15" s="383">
        <v>-4.6500000000000004</v>
      </c>
      <c r="AI15" s="393" t="str">
        <f t="shared" si="3"/>
        <v>Q4/Q126</v>
      </c>
      <c r="AJ15" s="383">
        <v>6.09</v>
      </c>
    </row>
    <row r="16" spans="1:36" ht="15.75" thickBot="1" x14ac:dyDescent="0.3">
      <c r="B16" s="397" t="s">
        <v>236</v>
      </c>
      <c r="C16" s="375">
        <v>-7.75</v>
      </c>
      <c r="D16" s="396"/>
      <c r="E16" s="400"/>
      <c r="G16" s="373"/>
      <c r="H16" s="378" t="str">
        <f>B16</f>
        <v>Q1-26</v>
      </c>
      <c r="I16" s="375">
        <v>-3.7</v>
      </c>
      <c r="K16" s="379" t="str">
        <f t="shared" si="1"/>
        <v>Q1-26</v>
      </c>
      <c r="L16" s="375">
        <v>2.27</v>
      </c>
      <c r="N16" s="378" t="str">
        <f t="shared" si="10"/>
        <v>Q1/Q2</v>
      </c>
      <c r="O16" s="375">
        <v>2.33</v>
      </c>
      <c r="Q16" s="398" t="str">
        <f t="shared" si="7"/>
        <v>Q1-26</v>
      </c>
      <c r="R16" s="375">
        <v>7.5</v>
      </c>
      <c r="T16" s="378" t="str">
        <f>E34</f>
        <v>Q1/Q2</v>
      </c>
      <c r="U16" s="375">
        <v>3.16</v>
      </c>
      <c r="W16" s="399" t="str">
        <f t="shared" si="9"/>
        <v>Q1/Q2</v>
      </c>
      <c r="X16" s="375">
        <v>3.08</v>
      </c>
      <c r="Z16" s="379" t="str">
        <f t="shared" si="4"/>
        <v>Q1-26</v>
      </c>
      <c r="AA16" s="375">
        <v>33.14</v>
      </c>
      <c r="AC16" s="379" t="str">
        <f t="shared" si="5"/>
        <v>Q1-26</v>
      </c>
      <c r="AD16" s="375">
        <v>14.5</v>
      </c>
      <c r="AF16" s="377" t="str">
        <f t="shared" si="2"/>
        <v>Q1-26</v>
      </c>
      <c r="AG16" s="375">
        <v>-5.46</v>
      </c>
      <c r="AI16" s="379" t="str">
        <f t="shared" si="3"/>
        <v>Q1/Q2</v>
      </c>
      <c r="AJ16" s="375">
        <v>1.1599999999999999</v>
      </c>
    </row>
    <row r="17" spans="1:62" ht="15.75" thickBot="1" x14ac:dyDescent="0.3">
      <c r="B17" s="395" t="s">
        <v>237</v>
      </c>
      <c r="C17" s="381">
        <v>-7.84</v>
      </c>
      <c r="D17" s="373"/>
      <c r="F17" s="400"/>
      <c r="G17" s="373"/>
      <c r="H17" s="382" t="str">
        <f t="shared" ref="H17" si="11">B17</f>
        <v>Q2-26</v>
      </c>
      <c r="I17" s="383">
        <v>-3.68</v>
      </c>
      <c r="K17" s="386" t="str">
        <f>B17</f>
        <v>Q2-26</v>
      </c>
      <c r="L17" s="383">
        <v>2</v>
      </c>
      <c r="N17" s="390" t="str">
        <f>E35</f>
        <v>Q2/Q3</v>
      </c>
      <c r="O17" s="383">
        <v>3.17</v>
      </c>
      <c r="Q17" s="382" t="str">
        <f t="shared" si="7"/>
        <v>Q2-26</v>
      </c>
      <c r="R17" s="383">
        <v>7.08</v>
      </c>
      <c r="S17" s="363"/>
      <c r="T17" s="390" t="str">
        <f>E35</f>
        <v>Q2/Q3</v>
      </c>
      <c r="U17" s="383">
        <v>3.75</v>
      </c>
      <c r="W17" s="399" t="str">
        <f t="shared" si="9"/>
        <v>Q2/Q3</v>
      </c>
      <c r="X17" s="383">
        <v>7.08</v>
      </c>
      <c r="Z17" s="390" t="str">
        <f t="shared" si="4"/>
        <v>Q2-26</v>
      </c>
      <c r="AA17" s="383">
        <v>32.31</v>
      </c>
      <c r="AC17" s="390" t="str">
        <f t="shared" si="5"/>
        <v>Q2-26</v>
      </c>
      <c r="AD17" s="383">
        <v>12.58</v>
      </c>
      <c r="AF17" s="387" t="str">
        <f t="shared" si="2"/>
        <v>Q2-26</v>
      </c>
      <c r="AG17" s="383">
        <v>-5.86</v>
      </c>
      <c r="AH17" s="155"/>
      <c r="AI17" s="393" t="str">
        <f t="shared" si="3"/>
        <v>Q2/Q3</v>
      </c>
      <c r="AJ17" s="383">
        <v>4.5</v>
      </c>
    </row>
    <row r="18" spans="1:62" ht="15.75" thickBot="1" x14ac:dyDescent="0.3">
      <c r="B18" s="628" t="s">
        <v>180</v>
      </c>
      <c r="C18" s="630"/>
      <c r="D18" s="373"/>
      <c r="E18" s="400"/>
      <c r="F18" s="400"/>
      <c r="G18" s="373"/>
      <c r="H18" s="628" t="s">
        <v>181</v>
      </c>
      <c r="I18" s="630"/>
      <c r="K18" s="628" t="s">
        <v>182</v>
      </c>
      <c r="L18" s="630"/>
      <c r="N18" s="628" t="s">
        <v>181</v>
      </c>
      <c r="O18" s="630"/>
      <c r="Q18" s="628" t="s">
        <v>182</v>
      </c>
      <c r="R18" s="630"/>
      <c r="T18" s="628" t="s">
        <v>181</v>
      </c>
      <c r="U18" s="630"/>
      <c r="W18" s="628" t="s">
        <v>181</v>
      </c>
      <c r="X18" s="630"/>
      <c r="Z18" s="628" t="s">
        <v>181</v>
      </c>
      <c r="AA18" s="630"/>
      <c r="AC18" s="628" t="s">
        <v>181</v>
      </c>
      <c r="AD18" s="630"/>
      <c r="AF18" s="628" t="s">
        <v>181</v>
      </c>
      <c r="AG18" s="630"/>
      <c r="AI18" s="628" t="s">
        <v>181</v>
      </c>
      <c r="AJ18" s="630"/>
    </row>
    <row r="19" spans="1:62" ht="15.75" thickBot="1" x14ac:dyDescent="0.3">
      <c r="B19" s="631">
        <v>391</v>
      </c>
      <c r="C19" s="632"/>
      <c r="D19" s="373"/>
      <c r="E19" s="373"/>
      <c r="F19" s="400"/>
      <c r="G19" s="373"/>
      <c r="H19" s="631"/>
      <c r="I19" s="633"/>
      <c r="K19" s="634">
        <v>1698</v>
      </c>
      <c r="L19" s="635"/>
      <c r="M19" s="373"/>
      <c r="N19" s="634">
        <v>230</v>
      </c>
      <c r="O19" s="635"/>
      <c r="P19" s="373"/>
      <c r="Q19" s="634">
        <v>1669</v>
      </c>
      <c r="R19" s="635"/>
      <c r="S19" s="373"/>
      <c r="T19" s="634">
        <v>240</v>
      </c>
      <c r="U19" s="635"/>
      <c r="V19" s="373"/>
      <c r="W19" s="631">
        <v>390</v>
      </c>
      <c r="X19" s="632"/>
      <c r="Y19" s="373"/>
      <c r="Z19" s="631">
        <v>121</v>
      </c>
      <c r="AA19" s="632"/>
      <c r="AB19" s="373"/>
      <c r="AC19" s="631">
        <v>298</v>
      </c>
      <c r="AD19" s="632"/>
      <c r="AE19" s="373"/>
      <c r="AF19" s="631">
        <v>102</v>
      </c>
      <c r="AG19" s="632"/>
      <c r="AI19" s="631">
        <v>281</v>
      </c>
      <c r="AJ19" s="632"/>
    </row>
    <row r="20" spans="1:62" ht="15.75" thickBot="1" x14ac:dyDescent="0.3">
      <c r="B20" s="628" t="s">
        <v>183</v>
      </c>
      <c r="C20" s="630"/>
      <c r="D20" s="373"/>
      <c r="E20" s="373"/>
      <c r="F20" s="400"/>
      <c r="G20" s="373"/>
      <c r="H20" s="628" t="s">
        <v>183</v>
      </c>
      <c r="I20" s="630"/>
      <c r="J20" s="373"/>
      <c r="K20" s="628" t="s">
        <v>183</v>
      </c>
      <c r="L20" s="630"/>
      <c r="M20" s="373"/>
      <c r="N20" s="628" t="s">
        <v>183</v>
      </c>
      <c r="O20" s="630"/>
      <c r="P20" s="373"/>
      <c r="Q20" s="628" t="s">
        <v>183</v>
      </c>
      <c r="R20" s="630"/>
      <c r="S20" s="373"/>
      <c r="T20" s="628" t="s">
        <v>183</v>
      </c>
      <c r="U20" s="630"/>
      <c r="V20" s="373"/>
      <c r="W20" s="628" t="s">
        <v>183</v>
      </c>
      <c r="X20" s="630"/>
      <c r="Y20" s="373"/>
      <c r="Z20" s="628" t="s">
        <v>183</v>
      </c>
      <c r="AA20" s="630"/>
      <c r="AB20" s="373"/>
      <c r="AC20" s="628" t="s">
        <v>183</v>
      </c>
      <c r="AD20" s="630"/>
      <c r="AE20" s="373"/>
      <c r="AF20" s="628" t="s">
        <v>183</v>
      </c>
      <c r="AG20" s="630"/>
      <c r="AI20" s="628" t="s">
        <v>183</v>
      </c>
      <c r="AJ20" s="630"/>
    </row>
    <row r="21" spans="1:62" ht="15.75" thickBot="1" x14ac:dyDescent="0.3">
      <c r="B21" s="634">
        <f>B19-B70</f>
        <v>122</v>
      </c>
      <c r="C21" s="635"/>
      <c r="D21" s="373"/>
      <c r="F21" s="400"/>
      <c r="G21" s="373"/>
      <c r="H21" s="634"/>
      <c r="I21" s="635"/>
      <c r="J21" s="373"/>
      <c r="K21" s="634">
        <f>K19-E70</f>
        <v>1465</v>
      </c>
      <c r="L21" s="635"/>
      <c r="M21" s="373"/>
      <c r="N21" s="634">
        <f>N19-H70</f>
        <v>150</v>
      </c>
      <c r="O21" s="635"/>
      <c r="P21" s="373"/>
      <c r="Q21" s="634">
        <f>Q19-K70</f>
        <v>681</v>
      </c>
      <c r="R21" s="632"/>
      <c r="S21" s="373"/>
      <c r="T21" s="631">
        <f>T19-N70</f>
        <v>120</v>
      </c>
      <c r="U21" s="632"/>
      <c r="V21" s="373"/>
      <c r="W21" s="631">
        <f>W19-Q70</f>
        <v>162</v>
      </c>
      <c r="X21" s="632"/>
      <c r="Y21" s="373"/>
      <c r="Z21" s="631">
        <f>Z19-T70</f>
        <v>90</v>
      </c>
      <c r="AA21" s="632"/>
      <c r="AB21" s="373"/>
      <c r="AC21" s="631">
        <f>AC19-W70</f>
        <v>132</v>
      </c>
      <c r="AD21" s="632"/>
      <c r="AF21" s="631">
        <f>AF19-Z70</f>
        <v>19</v>
      </c>
      <c r="AG21" s="632"/>
      <c r="AI21" s="631">
        <f>AI19-AC70</f>
        <v>136</v>
      </c>
      <c r="AJ21" s="632"/>
    </row>
    <row r="22" spans="1:62" ht="15.75" thickBot="1" x14ac:dyDescent="0.3">
      <c r="AZ22" s="373"/>
      <c r="BA22" s="373"/>
      <c r="BB22" s="373"/>
      <c r="BC22" s="373"/>
      <c r="BD22" s="373"/>
      <c r="BE22" s="373"/>
      <c r="BF22" s="373"/>
      <c r="BG22" s="373"/>
      <c r="BH22" s="373"/>
      <c r="BI22" s="373"/>
      <c r="BJ22" s="373"/>
    </row>
    <row r="23" spans="1:62" ht="15.75" thickBot="1" x14ac:dyDescent="0.3">
      <c r="B23" s="628" t="s">
        <v>184</v>
      </c>
      <c r="C23" s="629"/>
      <c r="D23" s="373"/>
      <c r="E23" s="628" t="s">
        <v>185</v>
      </c>
      <c r="F23" s="630"/>
      <c r="G23" s="373"/>
      <c r="H23" s="628" t="s">
        <v>186</v>
      </c>
      <c r="I23" s="629"/>
      <c r="J23" s="373"/>
      <c r="K23" s="628" t="s">
        <v>187</v>
      </c>
      <c r="L23" s="629"/>
      <c r="M23" s="373"/>
      <c r="N23" s="628" t="s">
        <v>188</v>
      </c>
      <c r="O23" s="629"/>
      <c r="P23" s="373"/>
      <c r="Q23" s="628" t="s">
        <v>189</v>
      </c>
      <c r="R23" s="629"/>
      <c r="S23" s="373"/>
      <c r="T23" s="628" t="s">
        <v>190</v>
      </c>
      <c r="U23" s="629"/>
      <c r="V23" s="373"/>
      <c r="W23" s="628" t="s">
        <v>191</v>
      </c>
      <c r="X23" s="629"/>
      <c r="Y23" s="373"/>
      <c r="Z23" s="628" t="s">
        <v>192</v>
      </c>
      <c r="AA23" s="629"/>
      <c r="AB23" s="373"/>
      <c r="AC23" s="628" t="s">
        <v>193</v>
      </c>
      <c r="AD23" s="629"/>
      <c r="AE23" s="373"/>
      <c r="AF23" s="628" t="s">
        <v>194</v>
      </c>
      <c r="AG23" s="629"/>
      <c r="AZ23" s="373"/>
      <c r="BA23" s="373"/>
      <c r="BB23" s="373"/>
      <c r="BC23" s="373"/>
      <c r="BD23" s="373"/>
      <c r="BE23" s="373"/>
      <c r="BF23" s="373"/>
      <c r="BG23" s="373"/>
      <c r="BH23" s="373"/>
      <c r="BI23" s="373"/>
      <c r="BJ23" s="373"/>
    </row>
    <row r="24" spans="1:62" ht="15.75" thickBot="1" x14ac:dyDescent="0.3">
      <c r="A24" s="2">
        <f>DATE(YEAR(B24), MONTH(B24), 1)</f>
        <v>45901</v>
      </c>
      <c r="B24" s="377">
        <f>B6</f>
        <v>45924</v>
      </c>
      <c r="C24" s="401">
        <f>C25+F24</f>
        <v>59.399999999999991</v>
      </c>
      <c r="D24" s="373"/>
      <c r="E24" s="397" t="s">
        <v>196</v>
      </c>
      <c r="F24" s="375">
        <v>1.65</v>
      </c>
      <c r="G24" s="373"/>
      <c r="H24" s="377">
        <f>B6</f>
        <v>45924</v>
      </c>
      <c r="I24" s="375">
        <v>-0.24</v>
      </c>
      <c r="J24" s="373"/>
      <c r="K24" s="377">
        <f t="shared" ref="K24:K35" si="12">B6</f>
        <v>45924</v>
      </c>
      <c r="L24" s="401">
        <f>I24+C6</f>
        <v>-7</v>
      </c>
      <c r="M24" s="396"/>
      <c r="N24" s="377">
        <f>B6</f>
        <v>45924</v>
      </c>
      <c r="O24" s="402"/>
      <c r="P24" s="373"/>
      <c r="Q24" s="377">
        <f t="shared" ref="Q24:Q34" si="13">B6</f>
        <v>45924</v>
      </c>
      <c r="R24" s="401">
        <f>R25+U24</f>
        <v>72.499999999999986</v>
      </c>
      <c r="S24" s="373"/>
      <c r="T24" s="378" t="str">
        <f>E24</f>
        <v>Sep/Oct</v>
      </c>
      <c r="U24" s="375">
        <v>1.3</v>
      </c>
      <c r="V24" s="2">
        <f>DATE(YEAR(W24), MONTH(W24), 1)</f>
        <v>45901</v>
      </c>
      <c r="W24" s="377">
        <f t="shared" ref="W24:W35" si="14">B6</f>
        <v>45924</v>
      </c>
      <c r="X24" s="375">
        <v>3.66</v>
      </c>
      <c r="Y24" s="373"/>
      <c r="Z24" s="377">
        <f t="shared" ref="Z24:Z35" si="15">B6</f>
        <v>45924</v>
      </c>
      <c r="AA24" s="375">
        <v>6.12</v>
      </c>
      <c r="AB24" s="373"/>
      <c r="AC24" s="377">
        <f t="shared" ref="AC24:AC35" si="16">B6</f>
        <v>45924</v>
      </c>
      <c r="AD24" s="375">
        <v>2.91</v>
      </c>
      <c r="AE24" s="373"/>
      <c r="AF24" s="377">
        <f>B6</f>
        <v>45924</v>
      </c>
      <c r="AG24" s="375">
        <f>AG25+AJ6</f>
        <v>378.68999999999994</v>
      </c>
      <c r="AZ24" s="373"/>
      <c r="BA24" s="373"/>
      <c r="BB24" s="373"/>
      <c r="BC24" s="373"/>
      <c r="BD24" s="373"/>
      <c r="BE24" s="373"/>
      <c r="BF24" s="373"/>
      <c r="BG24" s="373"/>
      <c r="BH24" s="373"/>
      <c r="BI24" s="373"/>
      <c r="BJ24" s="373"/>
    </row>
    <row r="25" spans="1:62" ht="18" customHeight="1" thickBot="1" x14ac:dyDescent="0.3">
      <c r="A25" s="2">
        <f t="shared" ref="A25:A32" si="17">DATE(YEAR(B25), MONTH(B25), 1)</f>
        <v>45931</v>
      </c>
      <c r="B25" s="387">
        <f t="shared" ref="B25:B34" si="18">B7</f>
        <v>45954</v>
      </c>
      <c r="C25" s="402">
        <f>F6+L25</f>
        <v>57.749999999999993</v>
      </c>
      <c r="D25" s="373"/>
      <c r="E25" s="403" t="s">
        <v>197</v>
      </c>
      <c r="F25" s="381">
        <v>0.95</v>
      </c>
      <c r="G25" s="373"/>
      <c r="H25" s="384">
        <f>B7</f>
        <v>45954</v>
      </c>
      <c r="I25" s="383">
        <v>-1.65</v>
      </c>
      <c r="J25" s="373"/>
      <c r="K25" s="384">
        <f t="shared" si="12"/>
        <v>45954</v>
      </c>
      <c r="L25" s="402">
        <f>SUM(I25,C7)</f>
        <v>-8.35</v>
      </c>
      <c r="M25" s="396"/>
      <c r="N25" s="384">
        <f t="shared" ref="N25:N34" si="19">B7</f>
        <v>45954</v>
      </c>
      <c r="O25" s="402">
        <f>C25-AF60-I7</f>
        <v>-4.4600000000000009</v>
      </c>
      <c r="P25" s="396"/>
      <c r="Q25" s="384">
        <f t="shared" si="13"/>
        <v>45954</v>
      </c>
      <c r="R25" s="404">
        <f>SUM(F6,AA25)</f>
        <v>71.199999999999989</v>
      </c>
      <c r="S25" s="373"/>
      <c r="T25" s="388" t="str">
        <f t="shared" ref="T25:T34" si="20">E25</f>
        <v>Oct/Nov</v>
      </c>
      <c r="U25" s="383">
        <v>0.4</v>
      </c>
      <c r="V25" s="2">
        <f t="shared" ref="V25:V32" si="21">DATE(YEAR(W25), MONTH(W25), 1)</f>
        <v>45931</v>
      </c>
      <c r="W25" s="384">
        <f t="shared" si="14"/>
        <v>45954</v>
      </c>
      <c r="X25" s="383">
        <v>2.6</v>
      </c>
      <c r="Y25" s="373"/>
      <c r="Z25" s="384">
        <f t="shared" si="15"/>
        <v>45954</v>
      </c>
      <c r="AA25" s="383">
        <v>5.0999999999999996</v>
      </c>
      <c r="AB25" s="373"/>
      <c r="AC25" s="384">
        <f t="shared" si="16"/>
        <v>45954</v>
      </c>
      <c r="AD25" s="383">
        <v>4.21</v>
      </c>
      <c r="AE25" s="373"/>
      <c r="AF25" s="387">
        <f t="shared" ref="AF25:AF34" si="22">B7</f>
        <v>45954</v>
      </c>
      <c r="AG25" s="383">
        <f>(F6+C7)*6.35</f>
        <v>377.18999999999994</v>
      </c>
      <c r="AZ25" s="373"/>
      <c r="BA25" s="373"/>
      <c r="BB25" s="373"/>
      <c r="BC25" s="373"/>
      <c r="BD25" s="373"/>
      <c r="BE25" s="373"/>
      <c r="BF25" s="373"/>
      <c r="BG25" s="373"/>
      <c r="BH25" s="373"/>
      <c r="BI25" s="373"/>
      <c r="BJ25" s="373"/>
    </row>
    <row r="26" spans="1:62" ht="15.75" thickBot="1" x14ac:dyDescent="0.3">
      <c r="A26" s="2">
        <f t="shared" si="17"/>
        <v>45962</v>
      </c>
      <c r="B26" s="377">
        <f t="shared" si="18"/>
        <v>45985</v>
      </c>
      <c r="C26" s="401">
        <f t="shared" ref="C26:C32" si="23">C25-F25</f>
        <v>56.79999999999999</v>
      </c>
      <c r="D26" s="373"/>
      <c r="E26" s="397" t="s">
        <v>198</v>
      </c>
      <c r="F26" s="375">
        <v>0.6</v>
      </c>
      <c r="G26" s="373"/>
      <c r="H26" s="377">
        <f t="shared" ref="H26:H35" si="24">B8</f>
        <v>45985</v>
      </c>
      <c r="I26" s="375">
        <v>-1.89</v>
      </c>
      <c r="J26" s="373"/>
      <c r="K26" s="377">
        <f t="shared" si="12"/>
        <v>45985</v>
      </c>
      <c r="L26" s="401">
        <f>SUM(I26,C8)</f>
        <v>-9.0400000000000009</v>
      </c>
      <c r="M26" s="396"/>
      <c r="N26" s="377">
        <f t="shared" si="19"/>
        <v>45985</v>
      </c>
      <c r="O26" s="401">
        <f>C26-AF61-I8</f>
        <v>-5.230000000000004</v>
      </c>
      <c r="P26" s="396"/>
      <c r="Q26" s="377">
        <f t="shared" si="13"/>
        <v>45985</v>
      </c>
      <c r="R26" s="401">
        <f>R25-U25</f>
        <v>70.799999999999983</v>
      </c>
      <c r="S26" s="373"/>
      <c r="T26" s="399" t="str">
        <f t="shared" si="20"/>
        <v>Nov/Dec</v>
      </c>
      <c r="U26" s="375">
        <v>0.25</v>
      </c>
      <c r="V26" s="2">
        <f t="shared" si="21"/>
        <v>45962</v>
      </c>
      <c r="W26" s="377">
        <f t="shared" si="14"/>
        <v>45985</v>
      </c>
      <c r="X26" s="375">
        <v>2.5499999999999998</v>
      </c>
      <c r="Y26" s="373"/>
      <c r="Z26" s="377">
        <f t="shared" si="15"/>
        <v>45985</v>
      </c>
      <c r="AA26" s="375">
        <v>4.96</v>
      </c>
      <c r="AB26" s="373"/>
      <c r="AC26" s="377">
        <f>B8</f>
        <v>45985</v>
      </c>
      <c r="AD26" s="375">
        <v>4.37</v>
      </c>
      <c r="AE26" s="373"/>
      <c r="AF26" s="377">
        <f t="shared" si="22"/>
        <v>45985</v>
      </c>
      <c r="AG26" s="375">
        <f t="shared" ref="AG26:AG32" si="25">AG25-AJ7</f>
        <v>372.68999999999994</v>
      </c>
      <c r="AZ26" s="373"/>
      <c r="BA26" s="373"/>
      <c r="BB26" s="373"/>
      <c r="BC26" s="373"/>
      <c r="BD26" s="373"/>
      <c r="BE26" s="373"/>
      <c r="BF26" s="373"/>
      <c r="BG26" s="373"/>
      <c r="BH26" s="373"/>
      <c r="BI26" s="373"/>
      <c r="BJ26" s="373"/>
    </row>
    <row r="27" spans="1:62" ht="15.75" thickBot="1" x14ac:dyDescent="0.3">
      <c r="A27" s="2">
        <f t="shared" si="17"/>
        <v>45992</v>
      </c>
      <c r="B27" s="387">
        <f t="shared" si="18"/>
        <v>46015</v>
      </c>
      <c r="C27" s="402">
        <f t="shared" si="23"/>
        <v>56.199999999999989</v>
      </c>
      <c r="D27" s="373"/>
      <c r="E27" s="395" t="s">
        <v>199</v>
      </c>
      <c r="F27" s="381">
        <v>0.45</v>
      </c>
      <c r="G27" s="373"/>
      <c r="H27" s="387">
        <f t="shared" si="24"/>
        <v>46015</v>
      </c>
      <c r="I27" s="381">
        <v>-1.94</v>
      </c>
      <c r="J27" s="373"/>
      <c r="K27" s="387">
        <f t="shared" si="12"/>
        <v>46015</v>
      </c>
      <c r="L27" s="402">
        <f t="shared" ref="L27:L32" si="26">SUM(I27,C9)</f>
        <v>-9.4599999999999991</v>
      </c>
      <c r="M27" s="396"/>
      <c r="N27" s="387">
        <f t="shared" si="19"/>
        <v>46015</v>
      </c>
      <c r="O27" s="405">
        <f t="shared" ref="O27:O31" si="27">C27-AF62-I9</f>
        <v>-5.7200000000000131</v>
      </c>
      <c r="P27" s="373"/>
      <c r="Q27" s="387">
        <f t="shared" si="13"/>
        <v>46015</v>
      </c>
      <c r="R27" s="402">
        <f t="shared" ref="R27:R32" si="28">R26-U26</f>
        <v>70.549999999999983</v>
      </c>
      <c r="S27" s="373"/>
      <c r="T27" s="388" t="str">
        <f t="shared" si="20"/>
        <v>Dec/Jan</v>
      </c>
      <c r="U27" s="381">
        <v>0.15</v>
      </c>
      <c r="V27" s="2">
        <f t="shared" si="21"/>
        <v>45992</v>
      </c>
      <c r="W27" s="387">
        <f t="shared" si="14"/>
        <v>46015</v>
      </c>
      <c r="X27" s="381">
        <v>2.5</v>
      </c>
      <c r="Y27" s="373"/>
      <c r="Z27" s="387">
        <f t="shared" si="15"/>
        <v>46015</v>
      </c>
      <c r="AA27" s="381">
        <v>4.88</v>
      </c>
      <c r="AB27" s="373"/>
      <c r="AC27" s="387">
        <f t="shared" si="16"/>
        <v>46015</v>
      </c>
      <c r="AD27" s="381">
        <v>4.34</v>
      </c>
      <c r="AE27" s="373"/>
      <c r="AF27" s="387">
        <f t="shared" si="22"/>
        <v>46015</v>
      </c>
      <c r="AG27" s="381">
        <f t="shared" si="25"/>
        <v>369.18999999999994</v>
      </c>
      <c r="AZ27" s="373"/>
      <c r="BA27" s="373"/>
      <c r="BB27" s="373"/>
      <c r="BC27" s="373"/>
      <c r="BD27" s="373"/>
      <c r="BE27" s="373"/>
      <c r="BF27" s="373"/>
      <c r="BG27" s="373"/>
      <c r="BH27" s="373"/>
      <c r="BI27" s="373"/>
      <c r="BJ27" s="373"/>
    </row>
    <row r="28" spans="1:62" ht="15.75" thickBot="1" x14ac:dyDescent="0.3">
      <c r="A28" s="2">
        <f t="shared" si="17"/>
        <v>46023</v>
      </c>
      <c r="B28" s="377">
        <f t="shared" si="18"/>
        <v>46046</v>
      </c>
      <c r="C28" s="401">
        <f t="shared" si="23"/>
        <v>55.749999999999986</v>
      </c>
      <c r="D28" s="373"/>
      <c r="E28" s="397" t="s">
        <v>238</v>
      </c>
      <c r="F28" s="375">
        <v>0.06</v>
      </c>
      <c r="G28" s="373"/>
      <c r="H28" s="377">
        <f t="shared" si="24"/>
        <v>46046</v>
      </c>
      <c r="I28" s="375">
        <v>-2.15</v>
      </c>
      <c r="J28" s="373"/>
      <c r="K28" s="377">
        <f t="shared" si="12"/>
        <v>46046</v>
      </c>
      <c r="L28" s="401">
        <f t="shared" si="26"/>
        <v>-9.82</v>
      </c>
      <c r="M28" s="396"/>
      <c r="N28" s="377">
        <f t="shared" si="19"/>
        <v>46046</v>
      </c>
      <c r="O28" s="401">
        <f>C28-AF63-I10</f>
        <v>-6.120000000000017</v>
      </c>
      <c r="P28" s="373"/>
      <c r="Q28" s="377">
        <f t="shared" si="13"/>
        <v>46046</v>
      </c>
      <c r="R28" s="401">
        <f t="shared" si="28"/>
        <v>70.399999999999977</v>
      </c>
      <c r="S28" s="373"/>
      <c r="T28" s="399" t="str">
        <f t="shared" si="20"/>
        <v>Jan/Feb</v>
      </c>
      <c r="U28" s="375">
        <v>0.12</v>
      </c>
      <c r="V28" s="2">
        <f t="shared" si="21"/>
        <v>46023</v>
      </c>
      <c r="W28" s="377">
        <f t="shared" si="14"/>
        <v>46046</v>
      </c>
      <c r="X28" s="375">
        <v>2.4700000000000002</v>
      </c>
      <c r="Y28" s="373"/>
      <c r="Z28" s="377">
        <f t="shared" si="15"/>
        <v>46046</v>
      </c>
      <c r="AA28" s="375">
        <v>4.82</v>
      </c>
      <c r="AB28" s="373"/>
      <c r="AC28" s="377">
        <f t="shared" si="16"/>
        <v>46046</v>
      </c>
      <c r="AD28" s="375">
        <v>4.5199999999999996</v>
      </c>
      <c r="AE28" s="373"/>
      <c r="AF28" s="377">
        <f t="shared" si="22"/>
        <v>46046</v>
      </c>
      <c r="AG28" s="375">
        <f t="shared" si="25"/>
        <v>367.68999999999994</v>
      </c>
      <c r="AZ28" s="373"/>
      <c r="BA28" s="373"/>
      <c r="BB28" s="373"/>
      <c r="BC28" s="373"/>
      <c r="BD28" s="373"/>
      <c r="BE28" s="373"/>
      <c r="BF28" s="373"/>
      <c r="BG28" s="373"/>
      <c r="BH28" s="373"/>
      <c r="BI28" s="373"/>
      <c r="BJ28" s="373"/>
    </row>
    <row r="29" spans="1:62" ht="15.75" thickBot="1" x14ac:dyDescent="0.3">
      <c r="A29" s="2">
        <f t="shared" si="17"/>
        <v>46054</v>
      </c>
      <c r="B29" s="387">
        <f t="shared" si="18"/>
        <v>46078</v>
      </c>
      <c r="C29" s="402">
        <f t="shared" si="23"/>
        <v>55.689999999999984</v>
      </c>
      <c r="D29" s="373"/>
      <c r="E29" s="395" t="s">
        <v>239</v>
      </c>
      <c r="F29" s="381">
        <v>-0.01</v>
      </c>
      <c r="G29" s="373"/>
      <c r="H29" s="387">
        <f t="shared" si="24"/>
        <v>46078</v>
      </c>
      <c r="I29" s="381">
        <v>-2.0499999999999998</v>
      </c>
      <c r="J29" s="373"/>
      <c r="K29" s="387">
        <f t="shared" si="12"/>
        <v>46078</v>
      </c>
      <c r="L29" s="402">
        <f t="shared" si="26"/>
        <v>-9.83</v>
      </c>
      <c r="M29" s="396"/>
      <c r="N29" s="387">
        <f t="shared" si="19"/>
        <v>46078</v>
      </c>
      <c r="O29" s="405">
        <f t="shared" si="27"/>
        <v>-6.1600000000000135</v>
      </c>
      <c r="P29" s="373"/>
      <c r="Q29" s="387">
        <f t="shared" si="13"/>
        <v>46078</v>
      </c>
      <c r="R29" s="402">
        <f t="shared" si="28"/>
        <v>70.279999999999973</v>
      </c>
      <c r="S29" s="373"/>
      <c r="T29" s="388" t="str">
        <f t="shared" si="20"/>
        <v>Feb/Mar</v>
      </c>
      <c r="U29" s="381">
        <v>0.12</v>
      </c>
      <c r="V29" s="2">
        <f t="shared" si="21"/>
        <v>46054</v>
      </c>
      <c r="W29" s="387">
        <f t="shared" si="14"/>
        <v>46078</v>
      </c>
      <c r="X29" s="381">
        <v>2.4700000000000002</v>
      </c>
      <c r="Y29" s="373"/>
      <c r="Z29" s="387">
        <f t="shared" si="15"/>
        <v>46078</v>
      </c>
      <c r="AA29" s="381">
        <v>4.75</v>
      </c>
      <c r="AB29" s="373"/>
      <c r="AC29" s="387">
        <f t="shared" si="16"/>
        <v>46078</v>
      </c>
      <c r="AD29" s="381">
        <v>4.34</v>
      </c>
      <c r="AE29" s="373"/>
      <c r="AF29" s="387">
        <f t="shared" si="22"/>
        <v>46078</v>
      </c>
      <c r="AG29" s="381">
        <f t="shared" si="25"/>
        <v>366.68999999999994</v>
      </c>
      <c r="AI29" s="363"/>
      <c r="AZ29" s="373"/>
      <c r="BA29" s="373"/>
      <c r="BB29" s="373"/>
      <c r="BC29" s="373"/>
      <c r="BD29" s="373"/>
      <c r="BE29" s="373"/>
      <c r="BF29" s="373"/>
      <c r="BG29" s="373"/>
      <c r="BH29" s="373"/>
      <c r="BI29" s="373"/>
      <c r="BJ29" s="373"/>
    </row>
    <row r="30" spans="1:62" ht="15.75" thickBot="1" x14ac:dyDescent="0.3">
      <c r="A30" s="2">
        <f t="shared" si="17"/>
        <v>46082</v>
      </c>
      <c r="B30" s="377">
        <f t="shared" si="18"/>
        <v>46106</v>
      </c>
      <c r="C30" s="401">
        <f t="shared" si="23"/>
        <v>55.699999999999982</v>
      </c>
      <c r="D30" s="373"/>
      <c r="E30" s="397" t="s">
        <v>240</v>
      </c>
      <c r="F30" s="375">
        <v>0.04</v>
      </c>
      <c r="G30" s="373"/>
      <c r="H30" s="377">
        <f t="shared" si="24"/>
        <v>46106</v>
      </c>
      <c r="I30" s="440">
        <v>-2</v>
      </c>
      <c r="J30" s="373"/>
      <c r="K30" s="377">
        <f t="shared" si="12"/>
        <v>46106</v>
      </c>
      <c r="L30" s="401">
        <f t="shared" si="26"/>
        <v>-9.8000000000000007</v>
      </c>
      <c r="M30" s="396"/>
      <c r="N30" s="377">
        <f t="shared" si="19"/>
        <v>46106</v>
      </c>
      <c r="O30" s="401">
        <f t="shared" si="27"/>
        <v>-6.1400000000000201</v>
      </c>
      <c r="P30" s="373"/>
      <c r="Q30" s="377">
        <f t="shared" si="13"/>
        <v>46106</v>
      </c>
      <c r="R30" s="401">
        <f t="shared" si="28"/>
        <v>70.159999999999968</v>
      </c>
      <c r="S30" s="373"/>
      <c r="T30" s="399" t="str">
        <f t="shared" si="20"/>
        <v>Mar/Apr</v>
      </c>
      <c r="U30" s="375">
        <v>0.12</v>
      </c>
      <c r="V30" s="2">
        <f t="shared" si="21"/>
        <v>46082</v>
      </c>
      <c r="W30" s="377">
        <f t="shared" si="14"/>
        <v>46106</v>
      </c>
      <c r="X30" s="375">
        <v>2.4700000000000002</v>
      </c>
      <c r="Y30" s="373"/>
      <c r="Z30" s="377">
        <f t="shared" si="15"/>
        <v>46106</v>
      </c>
      <c r="AA30" s="375">
        <v>4.66</v>
      </c>
      <c r="AB30" s="373"/>
      <c r="AC30" s="377">
        <f t="shared" si="16"/>
        <v>46106</v>
      </c>
      <c r="AD30" s="375">
        <v>4.21</v>
      </c>
      <c r="AE30" s="373"/>
      <c r="AF30" s="377">
        <f t="shared" si="22"/>
        <v>46106</v>
      </c>
      <c r="AG30" s="375">
        <f t="shared" si="25"/>
        <v>366.43999999999994</v>
      </c>
      <c r="AI30" s="363"/>
      <c r="AZ30" s="373"/>
      <c r="BA30" s="373"/>
      <c r="BB30" s="373"/>
      <c r="BC30" s="373"/>
      <c r="BD30" s="373"/>
      <c r="BE30" s="373"/>
      <c r="BF30" s="373"/>
      <c r="BG30" s="373"/>
      <c r="BH30" s="373"/>
      <c r="BI30" s="373"/>
      <c r="BJ30" s="373"/>
    </row>
    <row r="31" spans="1:62" ht="15.75" thickBot="1" x14ac:dyDescent="0.3">
      <c r="A31" s="2">
        <f t="shared" si="17"/>
        <v>46113</v>
      </c>
      <c r="B31" s="387">
        <f t="shared" si="18"/>
        <v>46117</v>
      </c>
      <c r="C31" s="402">
        <f t="shared" si="23"/>
        <v>55.659999999999982</v>
      </c>
      <c r="D31" s="373"/>
      <c r="E31" s="395" t="s">
        <v>195</v>
      </c>
      <c r="F31" s="381">
        <v>0.04</v>
      </c>
      <c r="G31" s="373"/>
      <c r="H31" s="387">
        <f t="shared" si="24"/>
        <v>46117</v>
      </c>
      <c r="I31" s="381">
        <v>-2</v>
      </c>
      <c r="J31" s="373"/>
      <c r="K31" s="387">
        <f t="shared" si="12"/>
        <v>46117</v>
      </c>
      <c r="L31" s="402">
        <f t="shared" si="26"/>
        <v>-9.8099999999999987</v>
      </c>
      <c r="M31" s="396"/>
      <c r="N31" s="387">
        <f t="shared" si="19"/>
        <v>46117</v>
      </c>
      <c r="O31" s="405">
        <f t="shared" si="27"/>
        <v>-6.170000000000023</v>
      </c>
      <c r="P31" s="396"/>
      <c r="Q31" s="387">
        <f t="shared" si="13"/>
        <v>46117</v>
      </c>
      <c r="R31" s="402">
        <f t="shared" si="28"/>
        <v>70.039999999999964</v>
      </c>
      <c r="S31" s="373"/>
      <c r="T31" s="388" t="str">
        <f t="shared" si="20"/>
        <v>Apr/May</v>
      </c>
      <c r="U31" s="381">
        <v>0.12</v>
      </c>
      <c r="V31" s="2">
        <f t="shared" si="21"/>
        <v>46113</v>
      </c>
      <c r="W31" s="387">
        <f t="shared" si="14"/>
        <v>46117</v>
      </c>
      <c r="X31" s="381">
        <v>2.4700000000000002</v>
      </c>
      <c r="Y31" s="373"/>
      <c r="Z31" s="387">
        <f t="shared" si="15"/>
        <v>46117</v>
      </c>
      <c r="AA31" s="381">
        <v>4.57</v>
      </c>
      <c r="AB31" s="373"/>
      <c r="AC31" s="387">
        <f t="shared" si="16"/>
        <v>46117</v>
      </c>
      <c r="AD31" s="381">
        <v>4.13</v>
      </c>
      <c r="AE31" s="373"/>
      <c r="AF31" s="387">
        <f t="shared" si="22"/>
        <v>46117</v>
      </c>
      <c r="AG31" s="381">
        <f t="shared" si="25"/>
        <v>366.18999999999994</v>
      </c>
      <c r="AZ31" s="373"/>
      <c r="BA31" s="373"/>
      <c r="BB31" s="373"/>
      <c r="BC31" s="373"/>
      <c r="BD31" s="373"/>
      <c r="BE31" s="373"/>
      <c r="BF31" s="373"/>
      <c r="BG31" s="373"/>
      <c r="BH31" s="373"/>
      <c r="BI31" s="373"/>
      <c r="BJ31" s="373"/>
    </row>
    <row r="32" spans="1:62" ht="15.75" thickBot="1" x14ac:dyDescent="0.3">
      <c r="A32" s="2">
        <f t="shared" si="17"/>
        <v>46143</v>
      </c>
      <c r="B32" s="406">
        <f t="shared" si="18"/>
        <v>46167</v>
      </c>
      <c r="C32" s="401">
        <f t="shared" si="23"/>
        <v>55.619999999999983</v>
      </c>
      <c r="D32" s="373"/>
      <c r="E32" s="397" t="s">
        <v>271</v>
      </c>
      <c r="F32" s="375">
        <v>7.0000000000000007E-2</v>
      </c>
      <c r="G32" s="373"/>
      <c r="H32" s="377">
        <f t="shared" si="24"/>
        <v>46167</v>
      </c>
      <c r="I32" s="440">
        <v>-2</v>
      </c>
      <c r="J32" s="373"/>
      <c r="K32" s="377">
        <f t="shared" si="12"/>
        <v>46167</v>
      </c>
      <c r="L32" s="401">
        <f t="shared" si="26"/>
        <v>-9.8099999999999987</v>
      </c>
      <c r="M32" s="396"/>
      <c r="N32" s="377">
        <f t="shared" si="19"/>
        <v>46167</v>
      </c>
      <c r="O32" s="401">
        <f>C32-AF67-I14</f>
        <v>-6.1700000000000159</v>
      </c>
      <c r="P32" s="396"/>
      <c r="Q32" s="377">
        <f t="shared" si="13"/>
        <v>46167</v>
      </c>
      <c r="R32" s="401">
        <f t="shared" si="28"/>
        <v>69.919999999999959</v>
      </c>
      <c r="S32" s="373"/>
      <c r="T32" s="399" t="str">
        <f t="shared" si="20"/>
        <v>May/Jun</v>
      </c>
      <c r="U32" s="375">
        <v>0.16</v>
      </c>
      <c r="V32" s="2">
        <f t="shared" si="21"/>
        <v>46143</v>
      </c>
      <c r="W32" s="377">
        <f t="shared" si="14"/>
        <v>46167</v>
      </c>
      <c r="X32" s="375">
        <v>2.4700000000000002</v>
      </c>
      <c r="Y32" s="373"/>
      <c r="Z32" s="377">
        <f t="shared" si="15"/>
        <v>46167</v>
      </c>
      <c r="AA32" s="375">
        <v>4.49</v>
      </c>
      <c r="AB32" s="373"/>
      <c r="AC32" s="377">
        <f t="shared" si="16"/>
        <v>46167</v>
      </c>
      <c r="AD32" s="375">
        <v>3.97</v>
      </c>
      <c r="AE32" s="373"/>
      <c r="AF32" s="377">
        <f t="shared" si="22"/>
        <v>46167</v>
      </c>
      <c r="AG32" s="375">
        <f t="shared" si="25"/>
        <v>365.93999999999994</v>
      </c>
      <c r="AZ32" s="373"/>
      <c r="BA32" s="373"/>
      <c r="BB32" s="373"/>
      <c r="BC32" s="373"/>
      <c r="BD32" s="373"/>
      <c r="BE32" s="373"/>
      <c r="BF32" s="373"/>
      <c r="BG32" s="373"/>
      <c r="BH32" s="373"/>
      <c r="BI32" s="373"/>
      <c r="BJ32" s="373"/>
    </row>
    <row r="33" spans="2:62" ht="15.75" thickBot="1" x14ac:dyDescent="0.3">
      <c r="B33" s="392" t="str">
        <f t="shared" si="18"/>
        <v>Q4-25</v>
      </c>
      <c r="C33" s="402">
        <f>AVERAGE(C25:C27)</f>
        <v>56.916666666666657</v>
      </c>
      <c r="D33" s="373"/>
      <c r="E33" s="403" t="s">
        <v>201</v>
      </c>
      <c r="F33" s="383">
        <v>1.21</v>
      </c>
      <c r="G33" s="373"/>
      <c r="H33" s="382" t="str">
        <f t="shared" si="24"/>
        <v>Q4-25</v>
      </c>
      <c r="I33" s="383">
        <v>-1.83</v>
      </c>
      <c r="J33" s="373"/>
      <c r="K33" s="382" t="str">
        <f t="shared" si="12"/>
        <v>Q4-25</v>
      </c>
      <c r="L33" s="401">
        <f>I33+C15</f>
        <v>-8.9600000000000009</v>
      </c>
      <c r="M33" s="396"/>
      <c r="N33" s="382" t="str">
        <f t="shared" si="19"/>
        <v>Q4-25</v>
      </c>
      <c r="O33" s="405">
        <f>AVERAGE(O25:O27)</f>
        <v>-5.1366666666666729</v>
      </c>
      <c r="P33" s="396"/>
      <c r="Q33" s="382" t="str">
        <f>B15</f>
        <v>Q4-25</v>
      </c>
      <c r="R33" s="407">
        <f>AVERAGE(R25:R27)</f>
        <v>70.84999999999998</v>
      </c>
      <c r="S33" s="373"/>
      <c r="T33" s="382" t="str">
        <f t="shared" si="20"/>
        <v>Q4/Q126</v>
      </c>
      <c r="U33" s="383">
        <v>0.56999999999999995</v>
      </c>
      <c r="V33" s="373"/>
      <c r="W33" s="382" t="str">
        <f t="shared" si="14"/>
        <v>Q4-25</v>
      </c>
      <c r="X33" s="383">
        <v>2.5499999999999998</v>
      </c>
      <c r="Y33" s="373"/>
      <c r="Z33" s="382" t="str">
        <f t="shared" si="15"/>
        <v>Q4-25</v>
      </c>
      <c r="AA33" s="383">
        <v>4.9800000000000004</v>
      </c>
      <c r="AB33" s="373"/>
      <c r="AC33" s="382" t="str">
        <f t="shared" si="16"/>
        <v>Q4-25</v>
      </c>
      <c r="AD33" s="383">
        <v>4.3099999999999996</v>
      </c>
      <c r="AE33" s="373"/>
      <c r="AF33" s="387" t="str">
        <f t="shared" si="22"/>
        <v>Q4-25</v>
      </c>
      <c r="AG33" s="381">
        <f>AVERAGE(AG25:AG27)</f>
        <v>373.02333333333326</v>
      </c>
      <c r="AZ33" s="373"/>
      <c r="BA33" s="373"/>
      <c r="BB33" s="373"/>
      <c r="BC33" s="373"/>
      <c r="BD33" s="373"/>
      <c r="BE33" s="373"/>
      <c r="BF33" s="373"/>
      <c r="BG33" s="373"/>
      <c r="BH33" s="373"/>
      <c r="BI33" s="373"/>
      <c r="BJ33" s="373"/>
    </row>
    <row r="34" spans="2:62" ht="15.75" thickBot="1" x14ac:dyDescent="0.3">
      <c r="B34" s="399" t="str">
        <f t="shared" si="18"/>
        <v>Q1-26</v>
      </c>
      <c r="C34" s="408">
        <f>AVERAGE(C28:C30)</f>
        <v>55.713333333333317</v>
      </c>
      <c r="D34" s="373"/>
      <c r="E34" s="397" t="s">
        <v>241</v>
      </c>
      <c r="F34" s="375">
        <v>0.1</v>
      </c>
      <c r="G34" s="373"/>
      <c r="H34" s="378" t="str">
        <f t="shared" si="24"/>
        <v>Q1-26</v>
      </c>
      <c r="I34" s="375">
        <v>-2.0699999999999998</v>
      </c>
      <c r="J34" s="373"/>
      <c r="K34" s="378" t="str">
        <f t="shared" si="12"/>
        <v>Q1-26</v>
      </c>
      <c r="L34" s="401">
        <f>I34+C16</f>
        <v>-9.82</v>
      </c>
      <c r="M34" s="396"/>
      <c r="N34" s="378" t="str">
        <f t="shared" si="19"/>
        <v>Q1-26</v>
      </c>
      <c r="O34" s="401">
        <f>AVERAGE(O28:O30)</f>
        <v>-6.1400000000000174</v>
      </c>
      <c r="P34" s="373"/>
      <c r="Q34" s="378" t="str">
        <f t="shared" si="13"/>
        <v>Q1-26</v>
      </c>
      <c r="R34" s="401">
        <f>AVERAGE(R28:R30)</f>
        <v>70.279999999999973</v>
      </c>
      <c r="S34" s="373"/>
      <c r="T34" s="378" t="str">
        <f t="shared" si="20"/>
        <v>Q1/Q2</v>
      </c>
      <c r="U34" s="375">
        <v>0.37</v>
      </c>
      <c r="V34" s="373"/>
      <c r="W34" s="378" t="str">
        <f t="shared" si="14"/>
        <v>Q1-26</v>
      </c>
      <c r="X34" s="375">
        <v>2.4700000000000002</v>
      </c>
      <c r="Y34" s="373"/>
      <c r="Z34" s="378" t="str">
        <f t="shared" si="15"/>
        <v>Q1-26</v>
      </c>
      <c r="AA34" s="375">
        <v>4.75</v>
      </c>
      <c r="AC34" s="378" t="str">
        <f t="shared" si="16"/>
        <v>Q1-26</v>
      </c>
      <c r="AD34" s="375">
        <v>4.3499999999999996</v>
      </c>
      <c r="AE34" s="373"/>
      <c r="AF34" s="377" t="str">
        <f t="shared" si="22"/>
        <v>Q1-26</v>
      </c>
      <c r="AG34" s="375">
        <f>AVERAGE(AG28:AG30)</f>
        <v>366.93999999999988</v>
      </c>
      <c r="AZ34" s="373"/>
      <c r="BA34" s="373"/>
      <c r="BB34" s="373"/>
      <c r="BC34" s="373"/>
      <c r="BD34" s="373"/>
      <c r="BE34" s="373"/>
      <c r="BF34" s="373"/>
      <c r="BG34" s="373"/>
      <c r="BH34" s="373"/>
      <c r="BI34" s="373"/>
      <c r="BJ34" s="373"/>
    </row>
    <row r="35" spans="2:62" ht="15.75" thickBot="1" x14ac:dyDescent="0.3">
      <c r="B35" s="387"/>
      <c r="C35" s="402"/>
      <c r="D35" s="373"/>
      <c r="E35" s="403" t="s">
        <v>200</v>
      </c>
      <c r="F35" s="381">
        <v>0.37</v>
      </c>
      <c r="G35" s="373"/>
      <c r="H35" s="378" t="str">
        <f t="shared" si="24"/>
        <v>Q2-26</v>
      </c>
      <c r="I35" s="381">
        <v>-1.99</v>
      </c>
      <c r="J35" s="373"/>
      <c r="K35" s="378" t="str">
        <f t="shared" si="12"/>
        <v>Q2-26</v>
      </c>
      <c r="L35" s="402">
        <f>C17+I35</f>
        <v>-9.83</v>
      </c>
      <c r="M35" s="373"/>
      <c r="N35" s="378"/>
      <c r="O35" s="405"/>
      <c r="P35" s="363"/>
      <c r="Q35" s="378"/>
      <c r="R35" s="407"/>
      <c r="S35" s="373"/>
      <c r="T35" s="409" t="str">
        <f>E35</f>
        <v>Q2/Q3</v>
      </c>
      <c r="U35" s="383">
        <v>0.6</v>
      </c>
      <c r="V35" s="373"/>
      <c r="W35" s="382" t="str">
        <f t="shared" si="14"/>
        <v>Q2-26</v>
      </c>
      <c r="X35" s="383">
        <v>2.4700000000000002</v>
      </c>
      <c r="Y35" s="373"/>
      <c r="Z35" s="378" t="str">
        <f t="shared" si="15"/>
        <v>Q2-26</v>
      </c>
      <c r="AA35" s="383">
        <v>4.47</v>
      </c>
      <c r="AB35" s="373"/>
      <c r="AC35" s="378" t="str">
        <f t="shared" si="16"/>
        <v>Q2-26</v>
      </c>
      <c r="AD35" s="383">
        <v>3.97</v>
      </c>
      <c r="AE35" s="373"/>
      <c r="AF35" s="377"/>
      <c r="AG35" s="381"/>
      <c r="AZ35" s="373"/>
      <c r="BA35" s="373"/>
      <c r="BB35" s="373"/>
      <c r="BC35" s="373"/>
      <c r="BD35" s="373"/>
      <c r="BE35" s="373"/>
      <c r="BF35" s="373"/>
      <c r="BG35" s="373"/>
      <c r="BH35" s="373"/>
      <c r="BI35" s="373"/>
      <c r="BJ35" s="373"/>
    </row>
    <row r="36" spans="2:62" ht="15.75" thickBot="1" x14ac:dyDescent="0.3">
      <c r="B36" s="628" t="s">
        <v>202</v>
      </c>
      <c r="C36" s="630"/>
      <c r="D36" s="373"/>
      <c r="E36" s="628" t="s">
        <v>181</v>
      </c>
      <c r="F36" s="630"/>
      <c r="G36" s="373"/>
      <c r="H36" s="628" t="s">
        <v>181</v>
      </c>
      <c r="I36" s="630"/>
      <c r="J36" s="373"/>
      <c r="K36" s="628" t="s">
        <v>181</v>
      </c>
      <c r="L36" s="630"/>
      <c r="M36" s="373"/>
      <c r="N36" s="628" t="s">
        <v>181</v>
      </c>
      <c r="O36" s="630"/>
      <c r="P36" s="373"/>
      <c r="Q36" s="628" t="s">
        <v>181</v>
      </c>
      <c r="R36" s="630"/>
      <c r="S36" s="373"/>
      <c r="T36" s="628" t="s">
        <v>181</v>
      </c>
      <c r="U36" s="630"/>
      <c r="V36" s="373"/>
      <c r="W36" s="628" t="s">
        <v>181</v>
      </c>
      <c r="X36" s="630"/>
      <c r="Y36" s="373"/>
      <c r="Z36" s="628" t="s">
        <v>181</v>
      </c>
      <c r="AA36" s="630"/>
      <c r="AB36" s="373"/>
      <c r="AC36" s="628" t="s">
        <v>181</v>
      </c>
      <c r="AD36" s="630"/>
      <c r="AE36" s="373"/>
      <c r="AF36" s="628" t="s">
        <v>181</v>
      </c>
      <c r="AG36" s="630"/>
    </row>
    <row r="37" spans="2:62" ht="15.75" thickBot="1" x14ac:dyDescent="0.3">
      <c r="B37" s="634">
        <v>287</v>
      </c>
      <c r="C37" s="635"/>
      <c r="D37" s="373"/>
      <c r="E37" s="634">
        <v>56</v>
      </c>
      <c r="F37" s="635"/>
      <c r="G37" s="373"/>
      <c r="H37" s="634">
        <v>6</v>
      </c>
      <c r="I37" s="635"/>
      <c r="J37" s="373"/>
      <c r="K37" s="631">
        <v>171</v>
      </c>
      <c r="L37" s="632"/>
      <c r="M37" s="373"/>
      <c r="N37" s="631"/>
      <c r="O37" s="632"/>
      <c r="P37" s="373"/>
      <c r="Q37" s="631">
        <v>65</v>
      </c>
      <c r="R37" s="632"/>
      <c r="S37" s="373"/>
      <c r="T37" s="631">
        <v>0</v>
      </c>
      <c r="U37" s="632"/>
      <c r="V37" s="373"/>
      <c r="W37" s="631"/>
      <c r="X37" s="632"/>
      <c r="Y37" s="373"/>
      <c r="Z37" s="631">
        <v>0</v>
      </c>
      <c r="AA37" s="632"/>
      <c r="AB37" s="373"/>
      <c r="AC37" s="631"/>
      <c r="AD37" s="632"/>
      <c r="AE37" s="373"/>
      <c r="AF37" s="631"/>
      <c r="AG37" s="632"/>
    </row>
    <row r="38" spans="2:62" ht="15.75" thickBot="1" x14ac:dyDescent="0.3">
      <c r="B38" s="628" t="s">
        <v>183</v>
      </c>
      <c r="C38" s="630"/>
      <c r="D38" s="373"/>
      <c r="E38" s="628" t="s">
        <v>183</v>
      </c>
      <c r="F38" s="630"/>
      <c r="G38" s="373"/>
      <c r="H38" s="628" t="s">
        <v>183</v>
      </c>
      <c r="I38" s="630"/>
      <c r="J38" s="373"/>
      <c r="K38" s="628" t="s">
        <v>183</v>
      </c>
      <c r="L38" s="630"/>
      <c r="M38" s="373"/>
      <c r="N38" s="628" t="s">
        <v>183</v>
      </c>
      <c r="O38" s="630"/>
      <c r="P38" s="373"/>
      <c r="Q38" s="628" t="s">
        <v>183</v>
      </c>
      <c r="R38" s="630"/>
      <c r="S38" s="373"/>
      <c r="T38" s="628" t="s">
        <v>183</v>
      </c>
      <c r="U38" s="630"/>
      <c r="V38" s="373"/>
      <c r="W38" s="628" t="s">
        <v>183</v>
      </c>
      <c r="X38" s="630"/>
      <c r="Y38" s="373"/>
      <c r="Z38" s="628" t="s">
        <v>183</v>
      </c>
      <c r="AA38" s="630"/>
      <c r="AB38" s="373"/>
      <c r="AC38" s="628" t="s">
        <v>183</v>
      </c>
      <c r="AD38" s="630"/>
      <c r="AE38" s="373"/>
      <c r="AF38" s="628" t="s">
        <v>183</v>
      </c>
      <c r="AG38" s="630"/>
    </row>
    <row r="39" spans="2:62" ht="15.75" thickBot="1" x14ac:dyDescent="0.3">
      <c r="B39" s="634">
        <f>B37-B62</f>
        <v>-326</v>
      </c>
      <c r="C39" s="635"/>
      <c r="D39" s="373"/>
      <c r="E39" s="634">
        <f>E37-E62</f>
        <v>-202</v>
      </c>
      <c r="F39" s="635"/>
      <c r="G39" s="373"/>
      <c r="H39" s="634">
        <f>H37-H62</f>
        <v>6</v>
      </c>
      <c r="I39" s="635"/>
      <c r="J39" s="373"/>
      <c r="K39" s="631">
        <f>K37-K62</f>
        <v>-134</v>
      </c>
      <c r="L39" s="632"/>
      <c r="M39" s="373"/>
      <c r="N39" s="631"/>
      <c r="O39" s="632"/>
      <c r="P39" s="373"/>
      <c r="Q39" s="631">
        <f>Q37-Q62</f>
        <v>-70</v>
      </c>
      <c r="R39" s="632"/>
      <c r="S39" s="373"/>
      <c r="T39" s="631">
        <f>T37-T62</f>
        <v>0</v>
      </c>
      <c r="U39" s="632"/>
      <c r="V39" s="373"/>
      <c r="W39" s="631"/>
      <c r="X39" s="632"/>
      <c r="Y39" s="373"/>
      <c r="Z39" s="631">
        <f>Z37-Z62</f>
        <v>-13</v>
      </c>
      <c r="AA39" s="632"/>
      <c r="AB39" s="373"/>
      <c r="AC39" s="631"/>
      <c r="AD39" s="632"/>
      <c r="AE39" s="373"/>
      <c r="AF39" s="631"/>
      <c r="AG39" s="632"/>
    </row>
    <row r="40" spans="2:62" x14ac:dyDescent="0.25">
      <c r="B40" s="410"/>
      <c r="C40" s="410"/>
      <c r="D40" s="373"/>
      <c r="E40" s="410"/>
      <c r="F40" s="410"/>
      <c r="G40" s="373"/>
      <c r="H40" s="410"/>
      <c r="I40" s="410"/>
      <c r="J40" s="373"/>
      <c r="K40" s="411"/>
      <c r="L40" s="411"/>
      <c r="M40" s="373"/>
      <c r="N40" s="411"/>
      <c r="O40" s="411"/>
      <c r="P40" s="373"/>
      <c r="Q40" s="411"/>
      <c r="R40" s="411"/>
      <c r="S40" s="373"/>
      <c r="T40" s="411"/>
      <c r="U40" s="411"/>
      <c r="V40" s="373"/>
      <c r="W40" s="411"/>
      <c r="X40" s="411"/>
      <c r="Y40" s="373"/>
      <c r="Z40" s="411"/>
      <c r="AA40" s="411"/>
      <c r="AB40" s="373"/>
      <c r="AC40" s="411"/>
      <c r="AD40" s="411"/>
      <c r="AE40" s="373"/>
      <c r="AF40" s="373"/>
      <c r="AG40" s="373"/>
    </row>
    <row r="41" spans="2:62" ht="19.5" thickBot="1" x14ac:dyDescent="0.3">
      <c r="B41" s="636" t="s">
        <v>203</v>
      </c>
      <c r="C41" s="636"/>
      <c r="D41" s="373"/>
      <c r="E41" s="373"/>
      <c r="F41" s="373"/>
      <c r="G41" s="373"/>
      <c r="H41" s="373"/>
      <c r="I41" s="373"/>
      <c r="J41" s="373"/>
      <c r="K41" s="373"/>
      <c r="L41" s="373"/>
      <c r="M41" s="373"/>
      <c r="O41" s="373"/>
      <c r="P41" s="373"/>
      <c r="Q41" s="373"/>
      <c r="R41" s="373"/>
      <c r="S41" s="373"/>
      <c r="T41" s="373"/>
      <c r="U41" s="373"/>
      <c r="V41" s="373"/>
      <c r="W41" s="373"/>
      <c r="X41" s="396"/>
      <c r="Y41" s="373"/>
      <c r="Z41" s="396"/>
      <c r="AA41" s="373"/>
      <c r="AB41" s="373"/>
      <c r="AC41" s="373"/>
      <c r="AD41" s="373"/>
      <c r="AE41" s="373"/>
      <c r="AF41" s="373"/>
      <c r="AG41" s="373"/>
    </row>
    <row r="42" spans="2:62" ht="15.75" thickBot="1" x14ac:dyDescent="0.3">
      <c r="B42" s="628" t="s">
        <v>167</v>
      </c>
      <c r="C42" s="629"/>
      <c r="D42" s="373"/>
      <c r="E42" s="628" t="s">
        <v>170</v>
      </c>
      <c r="F42" s="629"/>
      <c r="G42" s="373"/>
      <c r="H42" s="628" t="s">
        <v>171</v>
      </c>
      <c r="I42" s="629"/>
      <c r="J42" s="373"/>
      <c r="K42" s="628" t="s">
        <v>172</v>
      </c>
      <c r="L42" s="629"/>
      <c r="M42" s="373"/>
      <c r="N42" s="628" t="s">
        <v>173</v>
      </c>
      <c r="O42" s="629"/>
      <c r="P42" s="373"/>
      <c r="Q42" s="628" t="s">
        <v>174</v>
      </c>
      <c r="R42" s="629"/>
      <c r="T42" s="628" t="s">
        <v>175</v>
      </c>
      <c r="U42" s="629"/>
      <c r="V42" s="373"/>
      <c r="W42" s="628" t="s">
        <v>176</v>
      </c>
      <c r="X42" s="629"/>
      <c r="Y42" s="373"/>
      <c r="Z42" s="637" t="s">
        <v>235</v>
      </c>
      <c r="AA42" s="638"/>
      <c r="AB42" s="373"/>
      <c r="AC42" s="628" t="s">
        <v>177</v>
      </c>
      <c r="AD42" s="629"/>
      <c r="AE42" s="373"/>
      <c r="AF42" s="628" t="s">
        <v>194</v>
      </c>
      <c r="AG42" s="629"/>
    </row>
    <row r="43" spans="2:62" ht="15.75" thickBot="1" x14ac:dyDescent="0.3">
      <c r="B43" s="377">
        <f>B6</f>
        <v>45924</v>
      </c>
      <c r="C43" s="375">
        <v>-6.86</v>
      </c>
      <c r="D43" s="441"/>
      <c r="E43" s="377">
        <f>B6</f>
        <v>45924</v>
      </c>
      <c r="F43" s="375">
        <v>2.48</v>
      </c>
      <c r="G43" s="441"/>
      <c r="H43" s="412" t="str">
        <f>E24</f>
        <v>Sep/Oct</v>
      </c>
      <c r="I43" s="375">
        <v>1.5</v>
      </c>
      <c r="J43" s="441"/>
      <c r="K43" s="377">
        <f>B6</f>
        <v>45924</v>
      </c>
      <c r="L43" s="375">
        <v>6.89</v>
      </c>
      <c r="M43" s="441"/>
      <c r="N43" s="412" t="str">
        <f>E24</f>
        <v>Sep/Oct</v>
      </c>
      <c r="O43" s="375">
        <v>-1</v>
      </c>
      <c r="P43" s="441"/>
      <c r="Q43" s="412" t="str">
        <f>E24</f>
        <v>Sep/Oct</v>
      </c>
      <c r="R43" s="375">
        <v>2.25</v>
      </c>
      <c r="S43" s="155"/>
      <c r="T43" s="377">
        <f>B6</f>
        <v>45924</v>
      </c>
      <c r="U43" s="375">
        <v>27.98</v>
      </c>
      <c r="V43" s="441"/>
      <c r="W43" s="377">
        <f>B6</f>
        <v>45924</v>
      </c>
      <c r="X43" s="375">
        <v>17.25</v>
      </c>
      <c r="Y43" s="441"/>
      <c r="Z43" s="377">
        <f>B24</f>
        <v>45924</v>
      </c>
      <c r="AA43" s="375">
        <v>-4.1399999999999997</v>
      </c>
      <c r="AB43" s="441"/>
      <c r="AC43" s="378" t="str">
        <f>E24</f>
        <v>Sep/Oct</v>
      </c>
      <c r="AD43" s="375">
        <v>1.5</v>
      </c>
      <c r="AE43" s="441"/>
      <c r="AF43" s="377">
        <f>B24</f>
        <v>45924</v>
      </c>
      <c r="AG43" s="375">
        <f>AG44+AD43</f>
        <v>399.25</v>
      </c>
    </row>
    <row r="44" spans="2:62" ht="15.75" thickBot="1" x14ac:dyDescent="0.3">
      <c r="B44" s="387">
        <f>B7</f>
        <v>45954</v>
      </c>
      <c r="C44" s="381">
        <v>-6.78</v>
      </c>
      <c r="D44" s="441"/>
      <c r="E44" s="387">
        <f>B7</f>
        <v>45954</v>
      </c>
      <c r="F44" s="381">
        <v>2.5499999999999998</v>
      </c>
      <c r="G44" s="441"/>
      <c r="H44" s="442" t="str">
        <f>E25</f>
        <v>Oct/Nov</v>
      </c>
      <c r="I44" s="381">
        <v>2.25</v>
      </c>
      <c r="J44" s="441"/>
      <c r="K44" s="387">
        <f>B7</f>
        <v>45954</v>
      </c>
      <c r="L44" s="381">
        <v>7.35</v>
      </c>
      <c r="M44" s="441"/>
      <c r="N44" s="442" t="str">
        <f>E25</f>
        <v>Oct/Nov</v>
      </c>
      <c r="O44" s="381">
        <v>0.25</v>
      </c>
      <c r="P44" s="441"/>
      <c r="Q44" s="442" t="str">
        <f>E25</f>
        <v>Oct/Nov</v>
      </c>
      <c r="R44" s="381">
        <v>5</v>
      </c>
      <c r="S44" s="155"/>
      <c r="T44" s="387">
        <f>B7</f>
        <v>45954</v>
      </c>
      <c r="U44" s="381">
        <v>30.48</v>
      </c>
      <c r="V44" s="441"/>
      <c r="W44" s="387">
        <f>B7</f>
        <v>45954</v>
      </c>
      <c r="X44" s="381">
        <v>16.5</v>
      </c>
      <c r="Y44" s="441"/>
      <c r="Z44" s="387">
        <f t="shared" ref="Z44:Z45" si="29">B25</f>
        <v>45954</v>
      </c>
      <c r="AA44" s="381">
        <v>-4.18</v>
      </c>
      <c r="AB44" s="441"/>
      <c r="AC44" s="392" t="str">
        <f t="shared" ref="AC44:AC48" si="30">E25</f>
        <v>Oct/Nov</v>
      </c>
      <c r="AD44" s="381">
        <v>4.5</v>
      </c>
      <c r="AE44" s="441"/>
      <c r="AF44" s="387">
        <f t="shared" ref="AF44:AF49" si="31">B25</f>
        <v>45954</v>
      </c>
      <c r="AG44" s="381">
        <v>397.75</v>
      </c>
    </row>
    <row r="45" spans="2:62" ht="15.75" thickBot="1" x14ac:dyDescent="0.3">
      <c r="B45" s="377">
        <f>B8</f>
        <v>45985</v>
      </c>
      <c r="C45" s="375">
        <v>-7.21</v>
      </c>
      <c r="D45" s="441"/>
      <c r="E45" s="377">
        <f>B8</f>
        <v>45985</v>
      </c>
      <c r="F45" s="375">
        <v>2.5</v>
      </c>
      <c r="G45" s="441"/>
      <c r="H45" s="412" t="str">
        <f>E26</f>
        <v>Nov/Dec</v>
      </c>
      <c r="I45" s="375">
        <v>1.5</v>
      </c>
      <c r="J45" s="441"/>
      <c r="K45" s="377">
        <f>B8</f>
        <v>45985</v>
      </c>
      <c r="L45" s="375">
        <v>7.58</v>
      </c>
      <c r="M45" s="441"/>
      <c r="N45" s="412" t="str">
        <f>E26</f>
        <v>Nov/Dec</v>
      </c>
      <c r="O45" s="375">
        <v>0.5</v>
      </c>
      <c r="P45" s="441"/>
      <c r="Q45" s="412" t="str">
        <f>E26</f>
        <v>Nov/Dec</v>
      </c>
      <c r="R45" s="375">
        <v>4</v>
      </c>
      <c r="S45" s="155"/>
      <c r="T45" s="377">
        <f>B8</f>
        <v>45985</v>
      </c>
      <c r="U45" s="375">
        <v>32.479999999999997</v>
      </c>
      <c r="V45" s="441"/>
      <c r="W45" s="377">
        <f>B8</f>
        <v>45985</v>
      </c>
      <c r="X45" s="375">
        <v>16</v>
      </c>
      <c r="Y45" s="441"/>
      <c r="Z45" s="377">
        <f t="shared" si="29"/>
        <v>45985</v>
      </c>
      <c r="AA45" s="375">
        <v>-4.7</v>
      </c>
      <c r="AB45" s="441"/>
      <c r="AC45" s="378" t="str">
        <f t="shared" si="30"/>
        <v>Nov/Dec</v>
      </c>
      <c r="AD45" s="375">
        <v>3.5</v>
      </c>
      <c r="AE45" s="441"/>
      <c r="AF45" s="377">
        <f t="shared" si="31"/>
        <v>45985</v>
      </c>
      <c r="AG45" s="375">
        <f>AG44-AD44</f>
        <v>393.25</v>
      </c>
    </row>
    <row r="46" spans="2:62" ht="15.75" thickBot="1" x14ac:dyDescent="0.3">
      <c r="B46" s="392" t="str">
        <f>B15</f>
        <v>Q4-25</v>
      </c>
      <c r="C46" s="381">
        <v>-7.19</v>
      </c>
      <c r="D46" s="441"/>
      <c r="E46" s="392" t="str">
        <f>B15</f>
        <v>Q4-25</v>
      </c>
      <c r="F46" s="381">
        <v>2.48</v>
      </c>
      <c r="G46" s="441"/>
      <c r="H46" s="392" t="str">
        <f>E33</f>
        <v>Q4/Q126</v>
      </c>
      <c r="I46" s="381">
        <v>3.25</v>
      </c>
      <c r="J46" s="441"/>
      <c r="K46" s="392" t="str">
        <f>B15</f>
        <v>Q4-25</v>
      </c>
      <c r="L46" s="381">
        <v>7.55</v>
      </c>
      <c r="M46" s="441"/>
      <c r="N46" s="392" t="str">
        <f t="shared" ref="N46:N48" si="32">E33</f>
        <v>Q4/Q126</v>
      </c>
      <c r="O46" s="381">
        <v>2</v>
      </c>
      <c r="P46" s="441"/>
      <c r="Q46" s="392" t="str">
        <f t="shared" ref="Q46:Q48" si="33">E33</f>
        <v>Q4/Q126</v>
      </c>
      <c r="R46" s="381">
        <v>7.33</v>
      </c>
      <c r="S46" s="155"/>
      <c r="T46" s="393" t="str">
        <f>B15</f>
        <v>Q4-25</v>
      </c>
      <c r="U46" s="381">
        <v>32.14</v>
      </c>
      <c r="V46" s="441"/>
      <c r="W46" s="393" t="str">
        <f>B15</f>
        <v>Q4-25</v>
      </c>
      <c r="X46" s="381">
        <v>16</v>
      </c>
      <c r="Y46" s="441"/>
      <c r="Z46" s="387" t="str">
        <f>B33</f>
        <v>Q4-25</v>
      </c>
      <c r="AA46" s="381">
        <v>-4.67</v>
      </c>
      <c r="AB46" s="441"/>
      <c r="AC46" s="392" t="str">
        <f t="shared" si="30"/>
        <v>Dec/Jan</v>
      </c>
      <c r="AD46" s="381">
        <v>1.5</v>
      </c>
      <c r="AE46" s="441"/>
      <c r="AF46" s="387">
        <f t="shared" si="31"/>
        <v>46015</v>
      </c>
      <c r="AG46" s="381">
        <f>AG45-AD45</f>
        <v>389.75</v>
      </c>
    </row>
    <row r="47" spans="2:62" ht="15.75" thickBot="1" x14ac:dyDescent="0.3">
      <c r="B47" s="378" t="str">
        <f>B16</f>
        <v>Q1-26</v>
      </c>
      <c r="C47" s="440">
        <v>-7.77</v>
      </c>
      <c r="D47" s="441"/>
      <c r="E47" s="379" t="str">
        <f>B16</f>
        <v>Q1-26</v>
      </c>
      <c r="F47" s="375">
        <v>2.3199999999999998</v>
      </c>
      <c r="G47" s="441"/>
      <c r="H47" s="378" t="str">
        <f>E34</f>
        <v>Q1/Q2</v>
      </c>
      <c r="I47" s="375">
        <v>2.33</v>
      </c>
      <c r="J47" s="441"/>
      <c r="K47" s="379" t="str">
        <f>B16</f>
        <v>Q1-26</v>
      </c>
      <c r="L47" s="375">
        <v>7.58</v>
      </c>
      <c r="M47" s="441"/>
      <c r="N47" s="378" t="str">
        <f t="shared" si="32"/>
        <v>Q1/Q2</v>
      </c>
      <c r="O47" s="440">
        <v>3.17</v>
      </c>
      <c r="P47" s="441"/>
      <c r="Q47" s="399" t="str">
        <f t="shared" si="33"/>
        <v>Q1/Q2</v>
      </c>
      <c r="R47" s="440">
        <v>3.09</v>
      </c>
      <c r="S47" s="155"/>
      <c r="T47" s="443" t="str">
        <f>B16</f>
        <v>Q1-26</v>
      </c>
      <c r="U47" s="440">
        <v>33.39</v>
      </c>
      <c r="V47" s="441"/>
      <c r="W47" s="443" t="str">
        <f>B16</f>
        <v>Q1-26</v>
      </c>
      <c r="X47" s="440">
        <v>14.58</v>
      </c>
      <c r="Y47" s="441"/>
      <c r="Z47" s="406" t="str">
        <f>B34</f>
        <v>Q1-26</v>
      </c>
      <c r="AA47" s="440">
        <v>-5.48</v>
      </c>
      <c r="AB47" s="441"/>
      <c r="AC47" s="378" t="str">
        <f t="shared" si="30"/>
        <v>Jan/Feb</v>
      </c>
      <c r="AD47" s="440">
        <v>0.75</v>
      </c>
      <c r="AE47" s="441"/>
      <c r="AF47" s="377">
        <f t="shared" si="31"/>
        <v>46046</v>
      </c>
      <c r="AG47" s="440">
        <f>AG46-AD46</f>
        <v>388.25</v>
      </c>
    </row>
    <row r="48" spans="2:62" ht="15.75" thickBot="1" x14ac:dyDescent="0.3">
      <c r="B48" s="392" t="str">
        <f>B17</f>
        <v>Q2-26</v>
      </c>
      <c r="C48" s="381">
        <v>-7.84</v>
      </c>
      <c r="D48" s="441"/>
      <c r="E48" s="392" t="str">
        <f>B17</f>
        <v>Q2-26</v>
      </c>
      <c r="F48" s="381">
        <v>2.04</v>
      </c>
      <c r="G48" s="441"/>
      <c r="H48" s="392" t="str">
        <f>E35</f>
        <v>Q2/Q3</v>
      </c>
      <c r="I48" s="381">
        <v>3.17</v>
      </c>
      <c r="J48" s="441"/>
      <c r="K48" s="392" t="str">
        <f>B17</f>
        <v>Q2-26</v>
      </c>
      <c r="L48" s="381">
        <v>7.17</v>
      </c>
      <c r="M48" s="441"/>
      <c r="N48" s="392" t="str">
        <f t="shared" si="32"/>
        <v>Q2/Q3</v>
      </c>
      <c r="O48" s="381">
        <v>4.16</v>
      </c>
      <c r="P48" s="441"/>
      <c r="Q48" s="392" t="str">
        <f t="shared" si="33"/>
        <v>Q2/Q3</v>
      </c>
      <c r="R48" s="381">
        <v>7.08</v>
      </c>
      <c r="S48" s="155"/>
      <c r="T48" s="393" t="str">
        <f>B17</f>
        <v>Q2-26</v>
      </c>
      <c r="U48" s="381">
        <v>32.56</v>
      </c>
      <c r="V48" s="441"/>
      <c r="W48" s="393" t="str">
        <f>B17</f>
        <v>Q2-26</v>
      </c>
      <c r="X48" s="381">
        <v>12.58</v>
      </c>
      <c r="Y48" s="441"/>
      <c r="Z48" s="387" t="str">
        <f>K35</f>
        <v>Q2-26</v>
      </c>
      <c r="AA48" s="381">
        <v>-5.87</v>
      </c>
      <c r="AB48" s="441"/>
      <c r="AC48" s="392" t="str">
        <f t="shared" si="30"/>
        <v>Feb/Mar</v>
      </c>
      <c r="AD48" s="381">
        <v>0.25</v>
      </c>
      <c r="AE48" s="441"/>
      <c r="AF48" s="387">
        <f t="shared" si="31"/>
        <v>46078</v>
      </c>
      <c r="AG48" s="381">
        <f>AG47-AD47</f>
        <v>387.5</v>
      </c>
    </row>
    <row r="49" spans="2:35" ht="15.75" thickBot="1" x14ac:dyDescent="0.3">
      <c r="B49" s="628" t="s">
        <v>180</v>
      </c>
      <c r="C49" s="630"/>
      <c r="D49" s="441"/>
      <c r="E49" s="628" t="s">
        <v>182</v>
      </c>
      <c r="F49" s="630"/>
      <c r="G49" s="373"/>
      <c r="H49" s="628" t="s">
        <v>181</v>
      </c>
      <c r="I49" s="630"/>
      <c r="J49" s="373"/>
      <c r="K49" s="628" t="s">
        <v>182</v>
      </c>
      <c r="L49" s="630"/>
      <c r="M49" s="441"/>
      <c r="N49" s="628" t="s">
        <v>181</v>
      </c>
      <c r="O49" s="630"/>
      <c r="P49" s="441"/>
      <c r="Q49" s="628" t="s">
        <v>181</v>
      </c>
      <c r="R49" s="630"/>
      <c r="S49" s="155"/>
      <c r="T49" s="628" t="s">
        <v>181</v>
      </c>
      <c r="U49" s="630"/>
      <c r="V49" s="441"/>
      <c r="W49" s="628" t="s">
        <v>181</v>
      </c>
      <c r="X49" s="630"/>
      <c r="Y49" s="441"/>
      <c r="Z49" s="628" t="s">
        <v>181</v>
      </c>
      <c r="AA49" s="630"/>
      <c r="AB49" s="441"/>
      <c r="AC49" s="443" t="str">
        <f>E33</f>
        <v>Q4/Q126</v>
      </c>
      <c r="AD49" s="375">
        <v>5.92</v>
      </c>
      <c r="AE49" s="441"/>
      <c r="AF49" s="377">
        <f t="shared" si="31"/>
        <v>46106</v>
      </c>
      <c r="AG49" s="375">
        <f>AVERAGE(AG44:AG46)</f>
        <v>393.58333333333331</v>
      </c>
    </row>
    <row r="50" spans="2:35" ht="15.75" thickBot="1" x14ac:dyDescent="0.3">
      <c r="B50" s="631"/>
      <c r="C50" s="632"/>
      <c r="D50" s="363"/>
      <c r="E50" s="631"/>
      <c r="F50" s="632"/>
      <c r="G50" s="373"/>
      <c r="H50" s="634"/>
      <c r="I50" s="635"/>
      <c r="J50" s="373"/>
      <c r="K50" s="631"/>
      <c r="L50" s="632"/>
      <c r="M50" s="373"/>
      <c r="N50" s="631"/>
      <c r="O50" s="632"/>
      <c r="P50" s="373"/>
      <c r="Q50" s="631"/>
      <c r="R50" s="632"/>
      <c r="S50" s="373"/>
      <c r="T50" s="631"/>
      <c r="U50" s="632"/>
      <c r="V50" s="373"/>
      <c r="W50" s="631"/>
      <c r="X50" s="632"/>
      <c r="Y50" s="373"/>
      <c r="Z50" s="631"/>
      <c r="AA50" s="632"/>
      <c r="AB50" s="373"/>
      <c r="AC50" s="443" t="str">
        <f t="shared" ref="AC50:AC51" si="34">E34</f>
        <v>Q1/Q2</v>
      </c>
      <c r="AD50" s="381">
        <v>1.08</v>
      </c>
      <c r="AE50" s="373"/>
      <c r="AF50" s="387" t="str">
        <f>B33</f>
        <v>Q4-25</v>
      </c>
      <c r="AG50" s="383">
        <f>AVERAGE(AG44:AG46)</f>
        <v>393.58333333333331</v>
      </c>
    </row>
    <row r="51" spans="2:35" ht="15.75" thickBot="1" x14ac:dyDescent="0.3">
      <c r="B51" s="411"/>
      <c r="C51" s="411"/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411"/>
      <c r="P51" s="411"/>
      <c r="R51" s="411"/>
      <c r="S51" s="411"/>
      <c r="T51" s="411"/>
      <c r="U51" s="411"/>
      <c r="V51" s="411"/>
      <c r="W51" s="411"/>
      <c r="X51" s="411"/>
      <c r="Y51" s="411"/>
      <c r="Z51" s="411"/>
      <c r="AA51" s="411"/>
      <c r="AB51" s="411"/>
      <c r="AC51" s="443" t="str">
        <f t="shared" si="34"/>
        <v>Q2/Q3</v>
      </c>
      <c r="AD51" s="375">
        <v>4.5</v>
      </c>
      <c r="AE51" s="411"/>
      <c r="AF51" s="443" t="str">
        <f>B16</f>
        <v>Q1-26</v>
      </c>
      <c r="AG51" s="440">
        <f>AVERAGE(AG47:AG49)</f>
        <v>389.77777777777777</v>
      </c>
    </row>
    <row r="52" spans="2:35" ht="17.25" customHeight="1" thickBot="1" x14ac:dyDescent="0.3">
      <c r="B52" s="411"/>
      <c r="C52" s="411"/>
      <c r="D52" s="411"/>
      <c r="E52" s="411"/>
      <c r="F52" s="413"/>
      <c r="G52" s="411"/>
      <c r="H52" s="411"/>
      <c r="I52" s="411"/>
      <c r="J52" s="411"/>
      <c r="K52" s="411"/>
      <c r="L52" s="411"/>
      <c r="M52" s="411"/>
      <c r="N52" s="411"/>
      <c r="O52" s="411"/>
      <c r="P52" s="411"/>
      <c r="Q52" s="411"/>
      <c r="R52" s="411"/>
      <c r="S52" s="411"/>
      <c r="T52" s="411"/>
      <c r="U52" s="411"/>
      <c r="V52" s="411"/>
      <c r="W52" s="411"/>
      <c r="X52" s="411"/>
      <c r="Y52" s="411"/>
      <c r="Z52" s="411"/>
      <c r="AA52" s="411"/>
      <c r="AB52" s="411"/>
      <c r="AC52" s="628" t="s">
        <v>181</v>
      </c>
      <c r="AD52" s="630"/>
      <c r="AE52" s="411"/>
      <c r="AF52" s="628" t="s">
        <v>181</v>
      </c>
      <c r="AG52" s="630"/>
    </row>
    <row r="53" spans="2:35" ht="17.25" customHeight="1" thickBot="1" x14ac:dyDescent="0.3">
      <c r="B53" s="411"/>
      <c r="C53" s="411"/>
      <c r="D53" s="373"/>
      <c r="E53" s="411"/>
      <c r="F53" s="413"/>
      <c r="G53" s="373"/>
      <c r="H53" s="411"/>
      <c r="I53" s="411"/>
      <c r="J53" s="373"/>
      <c r="K53" s="373"/>
      <c r="L53" s="411"/>
      <c r="M53" s="373"/>
      <c r="N53" s="411"/>
      <c r="O53" s="411"/>
      <c r="P53" s="373"/>
      <c r="Q53" s="411"/>
      <c r="R53" s="411"/>
      <c r="T53" s="411"/>
      <c r="U53" s="411"/>
      <c r="V53" s="373"/>
      <c r="W53" s="411"/>
      <c r="X53" s="411"/>
      <c r="Y53" s="373"/>
      <c r="Z53" s="411"/>
      <c r="AA53" s="411"/>
      <c r="AB53" s="373"/>
      <c r="AC53" s="631"/>
      <c r="AD53" s="632"/>
      <c r="AE53" s="373"/>
      <c r="AF53" s="445"/>
      <c r="AG53" s="446"/>
    </row>
    <row r="54" spans="2:35" ht="17.25" customHeight="1" x14ac:dyDescent="0.25">
      <c r="B54" s="411"/>
      <c r="C54" s="411"/>
      <c r="D54" s="373"/>
      <c r="E54" s="411"/>
      <c r="F54" s="413"/>
      <c r="G54" s="373"/>
      <c r="H54" s="411"/>
      <c r="I54" s="411"/>
      <c r="J54" s="373"/>
      <c r="K54" s="373"/>
      <c r="L54" s="411"/>
      <c r="M54" s="373"/>
      <c r="N54" s="411"/>
      <c r="O54" s="411"/>
      <c r="P54" s="373"/>
      <c r="Q54" s="411"/>
      <c r="R54" s="411"/>
      <c r="T54" s="411"/>
      <c r="U54" s="411"/>
      <c r="V54" s="373"/>
      <c r="W54" s="411"/>
      <c r="X54" s="411"/>
      <c r="Y54" s="373"/>
      <c r="AB54" s="411"/>
      <c r="AC54" s="411"/>
      <c r="AD54" s="411"/>
      <c r="AE54" s="373"/>
      <c r="AF54" s="373"/>
      <c r="AG54" s="373"/>
    </row>
    <row r="55" spans="2:35" ht="17.25" customHeight="1" x14ac:dyDescent="0.25">
      <c r="B55" s="411"/>
      <c r="C55" s="411"/>
      <c r="D55" s="373"/>
      <c r="E55" s="411"/>
      <c r="F55" s="413"/>
      <c r="G55" s="373"/>
      <c r="H55" s="411"/>
      <c r="I55" s="411"/>
      <c r="J55" s="373"/>
      <c r="K55" s="373"/>
      <c r="L55" s="411"/>
      <c r="M55" s="373"/>
      <c r="N55" s="411"/>
      <c r="O55" s="411"/>
      <c r="P55" s="373"/>
      <c r="Q55" s="411"/>
      <c r="R55" s="411"/>
      <c r="T55" s="411"/>
      <c r="U55" s="411"/>
      <c r="V55" s="373"/>
      <c r="W55" s="411"/>
      <c r="X55" s="411"/>
      <c r="Y55" s="373"/>
      <c r="AB55" s="411"/>
      <c r="AC55" s="411"/>
      <c r="AD55" s="373"/>
      <c r="AE55" s="373"/>
      <c r="AG55" s="373"/>
    </row>
    <row r="56" spans="2:35" ht="18.75" customHeight="1" x14ac:dyDescent="0.25">
      <c r="B56" s="414"/>
      <c r="F56" s="413"/>
      <c r="K56" s="373"/>
      <c r="AA56" s="411"/>
      <c r="AB56" s="411"/>
      <c r="AC56" s="411"/>
      <c r="AD56" s="373"/>
      <c r="AI56" s="444"/>
    </row>
    <row r="57" spans="2:35" ht="18.75" customHeight="1" x14ac:dyDescent="0.25">
      <c r="B57" s="414"/>
      <c r="F57" s="413"/>
      <c r="K57" s="373"/>
      <c r="AA57" s="411"/>
      <c r="AB57" s="411"/>
      <c r="AC57" s="411"/>
      <c r="AD57" s="373"/>
    </row>
    <row r="58" spans="2:35" x14ac:dyDescent="0.25">
      <c r="F58" s="413"/>
      <c r="K58" s="373"/>
      <c r="AA58" s="411"/>
      <c r="AB58" s="411"/>
      <c r="AC58" s="411"/>
      <c r="AD58" s="373"/>
    </row>
    <row r="59" spans="2:35" ht="15.75" thickBot="1" x14ac:dyDescent="0.3">
      <c r="B59" s="415" t="s">
        <v>204</v>
      </c>
      <c r="AA59" s="411"/>
      <c r="AB59" s="411"/>
      <c r="AC59" s="411"/>
      <c r="AF59" s="396">
        <v>66.37</v>
      </c>
    </row>
    <row r="60" spans="2:35" ht="15.75" thickBot="1" x14ac:dyDescent="0.3">
      <c r="B60" s="628" t="s">
        <v>205</v>
      </c>
      <c r="C60" s="629"/>
      <c r="D60" s="373"/>
      <c r="E60" s="628" t="s">
        <v>206</v>
      </c>
      <c r="F60" s="630"/>
      <c r="G60" s="373"/>
      <c r="H60" s="628" t="s">
        <v>207</v>
      </c>
      <c r="I60" s="629"/>
      <c r="J60" s="373"/>
      <c r="K60" s="628" t="s">
        <v>187</v>
      </c>
      <c r="L60" s="629"/>
      <c r="M60" s="373"/>
      <c r="N60" s="628" t="s">
        <v>188</v>
      </c>
      <c r="O60" s="629"/>
      <c r="P60" s="373"/>
      <c r="Q60" s="628" t="s">
        <v>189</v>
      </c>
      <c r="R60" s="629"/>
      <c r="S60" s="373"/>
      <c r="T60" s="628" t="s">
        <v>190</v>
      </c>
      <c r="U60" s="629"/>
      <c r="V60" s="373"/>
      <c r="W60" s="628" t="s">
        <v>191</v>
      </c>
      <c r="X60" s="629"/>
      <c r="Y60" s="373"/>
      <c r="Z60" s="628" t="s">
        <v>192</v>
      </c>
      <c r="AA60" s="629"/>
      <c r="AB60" s="373"/>
      <c r="AC60" s="628" t="s">
        <v>193</v>
      </c>
      <c r="AD60" s="629"/>
      <c r="AF60" s="373">
        <v>66.099999999999994</v>
      </c>
    </row>
    <row r="61" spans="2:35" ht="15.75" thickBot="1" x14ac:dyDescent="0.3">
      <c r="B61" s="628" t="s">
        <v>208</v>
      </c>
      <c r="C61" s="630"/>
      <c r="D61" s="373"/>
      <c r="E61" s="628" t="s">
        <v>208</v>
      </c>
      <c r="F61" s="630"/>
      <c r="G61" s="373"/>
      <c r="H61" s="628" t="s">
        <v>208</v>
      </c>
      <c r="I61" s="630"/>
      <c r="J61" s="373"/>
      <c r="K61" s="628" t="s">
        <v>208</v>
      </c>
      <c r="L61" s="630"/>
      <c r="M61" s="373"/>
      <c r="N61" s="628" t="s">
        <v>208</v>
      </c>
      <c r="O61" s="630"/>
      <c r="P61" s="373"/>
      <c r="Q61" s="628" t="s">
        <v>208</v>
      </c>
      <c r="R61" s="630"/>
      <c r="S61" s="373"/>
      <c r="T61" s="628" t="s">
        <v>208</v>
      </c>
      <c r="U61" s="630"/>
      <c r="V61" s="373"/>
      <c r="W61" s="628" t="s">
        <v>208</v>
      </c>
      <c r="X61" s="630"/>
      <c r="Y61" s="373"/>
      <c r="Z61" s="628" t="s">
        <v>208</v>
      </c>
      <c r="AA61" s="630"/>
      <c r="AB61" s="373"/>
      <c r="AC61" s="628" t="s">
        <v>208</v>
      </c>
      <c r="AD61" s="630"/>
      <c r="AF61" s="363">
        <v>65.849999999999994</v>
      </c>
    </row>
    <row r="62" spans="2:35" ht="15.75" thickBot="1" x14ac:dyDescent="0.3">
      <c r="B62" s="634">
        <v>613</v>
      </c>
      <c r="C62" s="635"/>
      <c r="D62" s="373"/>
      <c r="E62" s="634">
        <v>258</v>
      </c>
      <c r="F62" s="635"/>
      <c r="G62" s="373"/>
      <c r="H62" s="634">
        <v>0</v>
      </c>
      <c r="I62" s="635"/>
      <c r="J62" s="373"/>
      <c r="K62" s="631">
        <v>305</v>
      </c>
      <c r="L62" s="632"/>
      <c r="M62" s="373"/>
      <c r="N62" s="631"/>
      <c r="O62" s="632"/>
      <c r="P62" s="373"/>
      <c r="Q62" s="631">
        <v>135</v>
      </c>
      <c r="R62" s="632"/>
      <c r="S62" s="373"/>
      <c r="T62" s="631">
        <v>0</v>
      </c>
      <c r="U62" s="632"/>
      <c r="V62" s="373"/>
      <c r="W62" s="631"/>
      <c r="X62" s="632"/>
      <c r="Y62" s="373"/>
      <c r="Z62" s="631">
        <v>13</v>
      </c>
      <c r="AA62" s="632"/>
      <c r="AB62" s="373"/>
      <c r="AC62" s="631"/>
      <c r="AD62" s="632"/>
      <c r="AE62" s="373"/>
      <c r="AF62" s="373">
        <v>65.67</v>
      </c>
      <c r="AG62" s="373"/>
    </row>
    <row r="63" spans="2:35" x14ac:dyDescent="0.25">
      <c r="B63" s="411"/>
      <c r="C63" s="411"/>
      <c r="D63" s="411"/>
      <c r="E63" s="411"/>
      <c r="F63" s="411"/>
      <c r="G63" s="411"/>
      <c r="H63" s="411"/>
      <c r="I63" s="411"/>
      <c r="J63" s="411"/>
      <c r="K63" s="411"/>
      <c r="L63" s="411"/>
      <c r="M63" s="411"/>
      <c r="N63" s="411"/>
      <c r="O63" s="411"/>
      <c r="P63" s="411"/>
      <c r="Q63" s="411"/>
      <c r="R63" s="411"/>
      <c r="S63" s="411"/>
      <c r="T63" s="411"/>
      <c r="U63" s="411"/>
      <c r="V63" s="411"/>
      <c r="W63" s="411"/>
      <c r="X63" s="411"/>
      <c r="Y63" s="411"/>
      <c r="Z63" s="411"/>
      <c r="AA63" s="411"/>
      <c r="AB63" s="411"/>
      <c r="AC63" s="411"/>
      <c r="AD63" s="411"/>
      <c r="AF63" s="396">
        <v>65.59</v>
      </c>
    </row>
    <row r="64" spans="2:35" x14ac:dyDescent="0.25">
      <c r="B64" s="411"/>
      <c r="C64" s="411"/>
      <c r="D64" s="411"/>
      <c r="E64" s="411"/>
      <c r="F64" s="411"/>
      <c r="G64" s="411"/>
      <c r="H64" s="411"/>
      <c r="I64" s="411"/>
      <c r="J64" s="411"/>
      <c r="K64" s="411"/>
      <c r="L64" s="411"/>
      <c r="M64" s="411"/>
      <c r="N64" s="411"/>
      <c r="O64" s="411"/>
      <c r="P64" s="411"/>
      <c r="Q64" s="411"/>
      <c r="R64" s="411"/>
      <c r="S64" s="411"/>
      <c r="T64" s="411"/>
      <c r="U64" s="411"/>
      <c r="V64" s="411"/>
      <c r="W64" s="411"/>
      <c r="X64" s="411"/>
      <c r="Y64" s="411"/>
      <c r="Z64" s="411"/>
      <c r="AA64" s="411"/>
      <c r="AB64" s="411"/>
      <c r="AC64" s="411"/>
      <c r="AD64" s="411"/>
      <c r="AF64" s="396">
        <v>65.55</v>
      </c>
    </row>
    <row r="65" spans="2:32" x14ac:dyDescent="0.25">
      <c r="AF65" s="373">
        <v>65.53</v>
      </c>
    </row>
    <row r="66" spans="2:32" x14ac:dyDescent="0.25">
      <c r="AF66" s="373">
        <v>65.510000000000005</v>
      </c>
    </row>
    <row r="67" spans="2:32" ht="15.75" thickBot="1" x14ac:dyDescent="0.3">
      <c r="B67" s="415" t="s">
        <v>209</v>
      </c>
      <c r="K67" s="373"/>
      <c r="L67" s="373"/>
      <c r="M67" s="373"/>
      <c r="N67" s="373"/>
      <c r="AF67" s="373">
        <v>65.47</v>
      </c>
    </row>
    <row r="68" spans="2:32" ht="15.75" thickBot="1" x14ac:dyDescent="0.3">
      <c r="B68" s="628" t="s">
        <v>167</v>
      </c>
      <c r="C68" s="629"/>
      <c r="E68" s="628" t="s">
        <v>170</v>
      </c>
      <c r="F68" s="629"/>
      <c r="H68" s="628" t="s">
        <v>171</v>
      </c>
      <c r="I68" s="629"/>
      <c r="K68" s="628" t="s">
        <v>172</v>
      </c>
      <c r="L68" s="629"/>
      <c r="N68" s="628" t="s">
        <v>173</v>
      </c>
      <c r="O68" s="629"/>
      <c r="Q68" s="628" t="s">
        <v>174</v>
      </c>
      <c r="R68" s="629"/>
      <c r="T68" s="628" t="s">
        <v>175</v>
      </c>
      <c r="U68" s="629"/>
      <c r="W68" s="628" t="s">
        <v>176</v>
      </c>
      <c r="X68" s="629"/>
      <c r="Z68" s="628" t="s">
        <v>235</v>
      </c>
      <c r="AA68" s="629"/>
      <c r="AC68" s="628" t="s">
        <v>177</v>
      </c>
      <c r="AD68" s="629"/>
    </row>
    <row r="69" spans="2:32" ht="15.75" thickBot="1" x14ac:dyDescent="0.3">
      <c r="B69" s="628" t="s">
        <v>208</v>
      </c>
      <c r="C69" s="629"/>
      <c r="E69" s="628" t="s">
        <v>208</v>
      </c>
      <c r="F69" s="630"/>
      <c r="H69" s="628" t="s">
        <v>208</v>
      </c>
      <c r="I69" s="630"/>
      <c r="K69" s="628" t="s">
        <v>208</v>
      </c>
      <c r="L69" s="630"/>
      <c r="N69" s="628" t="s">
        <v>208</v>
      </c>
      <c r="O69" s="630"/>
      <c r="Q69" s="628" t="s">
        <v>208</v>
      </c>
      <c r="R69" s="630"/>
      <c r="T69" s="628" t="s">
        <v>208</v>
      </c>
      <c r="U69" s="630"/>
      <c r="W69" s="628" t="s">
        <v>208</v>
      </c>
      <c r="X69" s="630"/>
      <c r="Z69" s="628" t="s">
        <v>208</v>
      </c>
      <c r="AA69" s="630"/>
      <c r="AC69" s="628" t="s">
        <v>208</v>
      </c>
      <c r="AD69" s="630"/>
    </row>
    <row r="70" spans="2:32" ht="15.75" thickBot="1" x14ac:dyDescent="0.3">
      <c r="B70" s="631">
        <v>269</v>
      </c>
      <c r="C70" s="632"/>
      <c r="D70" s="373"/>
      <c r="E70" s="634">
        <v>233</v>
      </c>
      <c r="F70" s="635"/>
      <c r="G70" s="373"/>
      <c r="H70" s="634">
        <v>80</v>
      </c>
      <c r="I70" s="635"/>
      <c r="J70" s="373"/>
      <c r="K70" s="634">
        <v>988</v>
      </c>
      <c r="L70" s="635"/>
      <c r="M70" s="373"/>
      <c r="N70" s="634">
        <v>120</v>
      </c>
      <c r="O70" s="635"/>
      <c r="P70" s="373"/>
      <c r="Q70" s="631">
        <v>228</v>
      </c>
      <c r="R70" s="632"/>
      <c r="S70" s="373"/>
      <c r="T70" s="631">
        <v>31</v>
      </c>
      <c r="U70" s="632"/>
      <c r="V70" s="373"/>
      <c r="W70" s="631">
        <v>166</v>
      </c>
      <c r="X70" s="632"/>
      <c r="Y70" s="373"/>
      <c r="Z70" s="631">
        <v>83</v>
      </c>
      <c r="AA70" s="632"/>
      <c r="AC70" s="631">
        <v>145</v>
      </c>
      <c r="AD70" s="632"/>
    </row>
    <row r="86" spans="13:13" x14ac:dyDescent="0.25">
      <c r="M86" s="363"/>
    </row>
  </sheetData>
  <mergeCells count="207">
    <mergeCell ref="AC68:AD68"/>
    <mergeCell ref="AC69:AD69"/>
    <mergeCell ref="AI5:AJ5"/>
    <mergeCell ref="AI18:AJ18"/>
    <mergeCell ref="AI19:AJ19"/>
    <mergeCell ref="AI20:AJ20"/>
    <mergeCell ref="AI21:AJ21"/>
    <mergeCell ref="AF42:AG42"/>
    <mergeCell ref="Z49:AA49"/>
    <mergeCell ref="Z50:AA50"/>
    <mergeCell ref="AF52:AG52"/>
    <mergeCell ref="AC61:AD61"/>
    <mergeCell ref="AC62:AD62"/>
    <mergeCell ref="AC52:AD52"/>
    <mergeCell ref="AC53:AD53"/>
    <mergeCell ref="AC60:AD60"/>
    <mergeCell ref="Z42:AA42"/>
    <mergeCell ref="AC42:AD42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B50:C50"/>
    <mergeCell ref="E50:F50"/>
    <mergeCell ref="H50:I50"/>
    <mergeCell ref="K50:L50"/>
    <mergeCell ref="N50:O50"/>
    <mergeCell ref="Q50:R50"/>
    <mergeCell ref="T50:U50"/>
    <mergeCell ref="W50:X50"/>
    <mergeCell ref="T42:U42"/>
    <mergeCell ref="W42:X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MAIN</vt:lpstr>
      <vt:lpstr>Premium</vt:lpstr>
      <vt:lpstr>Freight</vt:lpstr>
      <vt:lpstr>Loading Arrival</vt:lpstr>
      <vt:lpstr>SKIKDA TO USGC</vt:lpstr>
      <vt:lpstr>SKIKDA TO ROTT</vt:lpstr>
      <vt:lpstr>ARZEW TO USGC</vt:lpstr>
      <vt:lpstr>ARZEW TO ROTT</vt:lpstr>
      <vt:lpstr>IRAQ TO MED</vt:lpstr>
      <vt:lpstr>IRAQ TO ROTT</vt:lpstr>
      <vt:lpstr>IRAQ TO USGC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2025-09-11T07:53:06Z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