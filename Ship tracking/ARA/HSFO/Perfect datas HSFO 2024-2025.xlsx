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\\gvaps1\USR6\CHGE\desktop\Fuel desk\HSFO\Daily report\Used on daily basis\"/>
    </mc:Choice>
  </mc:AlternateContent>
  <xr:revisionPtr revIDLastSave="0" documentId="13_ncr:1_{7E2C6577-021C-4F21-B15B-DE730BEC166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Net export-import" sheetId="6" r:id="rId1"/>
    <sheet name="Net export-import table" sheetId="7" r:id="rId2"/>
    <sheet name="HSFO import flows graph" sheetId="1" r:id="rId3"/>
    <sheet name="Table import" sheetId="4" r:id="rId4"/>
    <sheet name="HSSR flows" sheetId="3" r:id="rId5"/>
    <sheet name="Sheet1" sheetId="5" r:id="rId6"/>
  </sheets>
  <definedNames>
    <definedName name="_xlnm._FilterDatabase" localSheetId="2" hidden="1">'HSFO import flows graph'!$D$1:$G$253</definedName>
    <definedName name="_xlnm._FilterDatabase" localSheetId="3" hidden="1">'Table import'!$A$1:$G$698</definedName>
  </definedNames>
  <calcPr calcId="191029"/>
  <pivotCaches>
    <pivotCache cacheId="4" r:id="rId7"/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99" i="4" l="1"/>
  <c r="F800" i="4"/>
  <c r="F797" i="4"/>
  <c r="F798" i="4"/>
  <c r="E345" i="1"/>
  <c r="E346" i="1" s="1"/>
  <c r="E347" i="1" s="1"/>
  <c r="E348" i="1" s="1"/>
  <c r="E349" i="1" s="1"/>
  <c r="E350" i="1" s="1"/>
  <c r="E351" i="1" s="1"/>
  <c r="E352" i="1" s="1"/>
  <c r="F793" i="4" l="1"/>
  <c r="F794" i="4"/>
  <c r="F795" i="4"/>
  <c r="F796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E333" i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F780" i="4" l="1"/>
  <c r="F779" i="4"/>
  <c r="F772" i="4"/>
  <c r="F773" i="4"/>
  <c r="F774" i="4"/>
  <c r="F775" i="4"/>
  <c r="F776" i="4"/>
  <c r="F777" i="4"/>
  <c r="F778" i="4"/>
  <c r="E323" i="1"/>
  <c r="E324" i="1" s="1"/>
  <c r="E325" i="1" s="1"/>
  <c r="E326" i="1" s="1"/>
  <c r="E327" i="1" s="1"/>
  <c r="E328" i="1" s="1"/>
  <c r="E329" i="1" s="1"/>
  <c r="E330" i="1" s="1"/>
  <c r="E331" i="1" s="1"/>
  <c r="E332" i="1" s="1"/>
  <c r="F771" i="4"/>
  <c r="F770" i="4"/>
  <c r="F769" i="4"/>
  <c r="F767" i="4"/>
  <c r="F768" i="4"/>
  <c r="F766" i="4"/>
  <c r="F760" i="4"/>
  <c r="F764" i="4"/>
  <c r="F759" i="4"/>
  <c r="E311" i="1"/>
  <c r="F763" i="4"/>
  <c r="F758" i="4"/>
  <c r="F761" i="4"/>
  <c r="F762" i="4"/>
  <c r="F765" i="4"/>
  <c r="F755" i="4"/>
  <c r="F754" i="4"/>
  <c r="E305" i="1"/>
  <c r="E306" i="1" s="1"/>
  <c r="E307" i="1" s="1"/>
  <c r="E308" i="1" s="1"/>
  <c r="E309" i="1" s="1"/>
  <c r="E310" i="1" s="1"/>
  <c r="F756" i="4"/>
  <c r="F757" i="4"/>
  <c r="F753" i="4"/>
  <c r="F751" i="4"/>
  <c r="F749" i="4"/>
  <c r="F752" i="4"/>
  <c r="F744" i="4"/>
  <c r="F741" i="4"/>
  <c r="F742" i="4"/>
  <c r="F748" i="4"/>
  <c r="F747" i="4"/>
  <c r="F745" i="4"/>
  <c r="F740" i="4"/>
  <c r="E293" i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F728" i="4"/>
  <c r="F729" i="4"/>
  <c r="F730" i="4"/>
  <c r="F731" i="4"/>
  <c r="F732" i="4"/>
  <c r="F733" i="4"/>
  <c r="F734" i="4"/>
  <c r="F735" i="4"/>
  <c r="F736" i="4"/>
  <c r="F737" i="4"/>
  <c r="F738" i="4"/>
  <c r="F739" i="4"/>
  <c r="F743" i="4"/>
  <c r="F746" i="4"/>
  <c r="F750" i="4"/>
  <c r="G713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E312" i="1" l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AB186" i="6"/>
  <c r="AA186" i="6"/>
  <c r="Z186" i="6"/>
  <c r="AC187" i="6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C256" i="6" s="1"/>
  <c r="AC257" i="6" s="1"/>
  <c r="AC258" i="6" s="1"/>
  <c r="AC259" i="6" s="1"/>
  <c r="AC260" i="6" s="1"/>
  <c r="AC261" i="6" s="1"/>
  <c r="AC262" i="6" s="1"/>
  <c r="AC263" i="6" s="1"/>
  <c r="AC264" i="6" s="1"/>
  <c r="AC265" i="6" s="1"/>
  <c r="AC266" i="6" s="1"/>
  <c r="AC267" i="6" s="1"/>
  <c r="AC268" i="6" s="1"/>
  <c r="AC269" i="6" s="1"/>
  <c r="AC270" i="6" s="1"/>
  <c r="AC271" i="6" s="1"/>
  <c r="AC272" i="6" s="1"/>
  <c r="AC273" i="6" s="1"/>
  <c r="AC274" i="6" s="1"/>
  <c r="AC275" i="6" s="1"/>
  <c r="AC276" i="6" s="1"/>
  <c r="AC277" i="6" s="1"/>
  <c r="AC278" i="6" s="1"/>
  <c r="AC279" i="6" s="1"/>
  <c r="AC280" i="6" s="1"/>
  <c r="AC281" i="6" s="1"/>
  <c r="AC282" i="6" s="1"/>
  <c r="AC283" i="6" s="1"/>
  <c r="AC284" i="6" s="1"/>
  <c r="AC285" i="6" s="1"/>
  <c r="AC286" i="6" s="1"/>
  <c r="AC287" i="6" s="1"/>
  <c r="AC288" i="6" s="1"/>
  <c r="AC289" i="6" s="1"/>
  <c r="AC290" i="6" s="1"/>
  <c r="AC291" i="6" s="1"/>
  <c r="AC292" i="6" s="1"/>
  <c r="AC293" i="6" s="1"/>
  <c r="AC294" i="6" s="1"/>
  <c r="AC295" i="6" s="1"/>
  <c r="AC296" i="6" s="1"/>
  <c r="AC297" i="6" s="1"/>
  <c r="AC298" i="6" s="1"/>
  <c r="AC299" i="6" s="1"/>
  <c r="AC300" i="6" s="1"/>
  <c r="AC301" i="6" s="1"/>
  <c r="AC302" i="6" s="1"/>
  <c r="AC303" i="6" s="1"/>
  <c r="AC304" i="6" s="1"/>
  <c r="AC305" i="6" s="1"/>
  <c r="AC306" i="6" s="1"/>
  <c r="AC307" i="6" s="1"/>
  <c r="AC308" i="6" s="1"/>
  <c r="AC309" i="6" s="1"/>
  <c r="AC310" i="6" s="1"/>
  <c r="AC311" i="6" s="1"/>
  <c r="AC312" i="6" s="1"/>
  <c r="AC313" i="6" s="1"/>
  <c r="AC186" i="6"/>
  <c r="E243" i="6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41" i="6"/>
  <c r="E242" i="6" s="1"/>
  <c r="E186" i="6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F720" i="7" l="1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E310" i="6"/>
  <c r="E311" i="6" s="1"/>
  <c r="E312" i="6" s="1"/>
  <c r="E313" i="6" s="1"/>
  <c r="E279" i="1"/>
  <c r="E280" i="1" l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697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E290" i="6"/>
  <c r="E291" i="6" s="1"/>
  <c r="E292" i="6" s="1"/>
  <c r="E293" i="6" s="1"/>
  <c r="E294" i="6" s="1"/>
  <c r="E295" i="6" s="1"/>
  <c r="E296" i="6" s="1"/>
  <c r="E297" i="6" s="1"/>
  <c r="E298" i="6" s="1"/>
  <c r="E267" i="6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11" i="6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171" i="6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53" i="6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37" i="6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17" i="6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10" i="6"/>
  <c r="E111" i="6" s="1"/>
  <c r="E112" i="6" s="1"/>
  <c r="E113" i="6" s="1"/>
  <c r="E114" i="6" s="1"/>
  <c r="E115" i="6" s="1"/>
  <c r="E116" i="6" s="1"/>
  <c r="E94" i="6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72" i="6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45" i="6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27" i="6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2" i="6"/>
  <c r="E3" i="6" s="1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99" i="6" l="1"/>
  <c r="E300" i="6" s="1"/>
  <c r="E301" i="6" s="1"/>
  <c r="E302" i="6" s="1"/>
  <c r="E303" i="6" s="1"/>
  <c r="E304" i="6" s="1"/>
  <c r="E305" i="6" s="1"/>
  <c r="E306" i="6" s="1"/>
  <c r="E307" i="6" s="1"/>
  <c r="E308" i="6" s="1"/>
  <c r="E309" i="6" s="1"/>
  <c r="E266" i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G699" i="4" l="1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C8" i="3" l="1"/>
  <c r="E247" i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186" i="1" l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4" i="1" s="1"/>
  <c r="T285" i="1" s="1"/>
  <c r="T286" i="1" s="1"/>
  <c r="T289" i="1" s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110" i="1"/>
  <c r="E111" i="1" s="1"/>
  <c r="E112" i="1" s="1"/>
  <c r="E113" i="1" s="1"/>
  <c r="E114" i="1" s="1"/>
  <c r="E115" i="1" s="1"/>
  <c r="E116" i="1" s="1"/>
  <c r="E171" i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53" i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17" i="1"/>
  <c r="E118" i="1" s="1"/>
  <c r="E94" i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72" i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187" i="1" l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119" i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F719" i="4"/>
  <c r="F724" i="4"/>
  <c r="F715" i="4"/>
  <c r="F716" i="4"/>
  <c r="F717" i="4"/>
  <c r="F718" i="4"/>
  <c r="F720" i="4"/>
  <c r="F722" i="4"/>
  <c r="F723" i="4"/>
  <c r="F727" i="4"/>
  <c r="F721" i="4"/>
  <c r="F714" i="4"/>
  <c r="F726" i="4"/>
  <c r="F725" i="4"/>
</calcChain>
</file>

<file path=xl/sharedStrings.xml><?xml version="1.0" encoding="utf-8"?>
<sst xmlns="http://schemas.openxmlformats.org/spreadsheetml/2006/main" count="4357" uniqueCount="191">
  <si>
    <t>ORIGIN PORT</t>
  </si>
  <si>
    <t>ORIGIN COUNTRY</t>
  </si>
  <si>
    <t>Khor Al Zubair [IQ]</t>
  </si>
  <si>
    <t>Iraq</t>
  </si>
  <si>
    <t>Klaipeda [LT]</t>
  </si>
  <si>
    <t>Lithuania</t>
  </si>
  <si>
    <t>United Kingdom</t>
  </si>
  <si>
    <t>Hamburg [DE]</t>
  </si>
  <si>
    <t>Germany</t>
  </si>
  <si>
    <t>Houston, TX [US]</t>
  </si>
  <si>
    <t>United States</t>
  </si>
  <si>
    <t>Swinoujscie [PL]</t>
  </si>
  <si>
    <t>Poland</t>
  </si>
  <si>
    <t>Aliaga [TR]</t>
  </si>
  <si>
    <t>Turkey</t>
  </si>
  <si>
    <t>Brownsville, TX [US]</t>
  </si>
  <si>
    <t>Gdansk [PL]</t>
  </si>
  <si>
    <t>Jose Terminal [VE]</t>
  </si>
  <si>
    <t>Venezuela</t>
  </si>
  <si>
    <t>Quebec [CA]</t>
  </si>
  <si>
    <t>Canada</t>
  </si>
  <si>
    <t>Lazaro Cardenas [MX]</t>
  </si>
  <si>
    <t>Mexico</t>
  </si>
  <si>
    <t>Agioi Theodoroi [GR]</t>
  </si>
  <si>
    <t>Greece</t>
  </si>
  <si>
    <t>Manzanillo [MX]</t>
  </si>
  <si>
    <t>Coatzacoalcos, Pajaritos [MX]</t>
  </si>
  <si>
    <t>Augusta [IT]</t>
  </si>
  <si>
    <t>Italy</t>
  </si>
  <si>
    <t>Tampico Tam [MX]</t>
  </si>
  <si>
    <t>Jizan [SA]</t>
  </si>
  <si>
    <t>Saudi Arabia</t>
  </si>
  <si>
    <t>Burgas (Bourgas) [BG]</t>
  </si>
  <si>
    <t>Bulgaria</t>
  </si>
  <si>
    <t>Amuay Bay [VE]</t>
  </si>
  <si>
    <t>Bilbao [ES]</t>
  </si>
  <si>
    <t>Spain</t>
  </si>
  <si>
    <t>Fujairah [AE]</t>
  </si>
  <si>
    <t>United Arab Emirates</t>
  </si>
  <si>
    <t>Clarkson [CA]</t>
  </si>
  <si>
    <t>Marsaxlokk [MT]</t>
  </si>
  <si>
    <t>Malta</t>
  </si>
  <si>
    <t>Montreal [CA]</t>
  </si>
  <si>
    <t>St Eustatius [NL]</t>
  </si>
  <si>
    <t>Caribbean Netherlands</t>
  </si>
  <si>
    <t>Livorno [IT]</t>
  </si>
  <si>
    <t>Stigsnaes [DK]</t>
  </si>
  <si>
    <t>Denmark</t>
  </si>
  <si>
    <t>Wilhelmshaven, NI [DE]</t>
  </si>
  <si>
    <t>Cork [IE]</t>
  </si>
  <si>
    <t>Ireland</t>
  </si>
  <si>
    <t>Saint John, NB [CA]</t>
  </si>
  <si>
    <t>Oxelosund [SE]</t>
  </si>
  <si>
    <t>Sweden</t>
  </si>
  <si>
    <t>Colombia</t>
  </si>
  <si>
    <t>Bahamas</t>
  </si>
  <si>
    <t>QUANTITY (Kt)</t>
  </si>
  <si>
    <t>Cumulative Quantity</t>
  </si>
  <si>
    <t>Brazil</t>
  </si>
  <si>
    <t>Yanbu</t>
  </si>
  <si>
    <t>Month</t>
  </si>
  <si>
    <t>Day</t>
  </si>
  <si>
    <t>Year</t>
  </si>
  <si>
    <t>In transit</t>
  </si>
  <si>
    <t>ALEXANDER</t>
  </si>
  <si>
    <t>HSFO - HSSR</t>
  </si>
  <si>
    <t>Netherlands</t>
  </si>
  <si>
    <t>HSFO</t>
  </si>
  <si>
    <t>ALBERT</t>
  </si>
  <si>
    <t>Suezmax</t>
  </si>
  <si>
    <t xml:space="preserve">BREST </t>
  </si>
  <si>
    <t>Kuwait</t>
  </si>
  <si>
    <t>Exxon</t>
  </si>
  <si>
    <t>Column Labels</t>
  </si>
  <si>
    <t>Grand Total</t>
  </si>
  <si>
    <t>Row Labels</t>
  </si>
  <si>
    <t>YEAR</t>
  </si>
  <si>
    <t>MONTH</t>
  </si>
  <si>
    <t>DAY</t>
  </si>
  <si>
    <t>FROM_COUNTRY</t>
  </si>
  <si>
    <t>TO_COUNTRY</t>
  </si>
  <si>
    <t>QTY_MT</t>
  </si>
  <si>
    <t>QTY_KT</t>
  </si>
  <si>
    <t>Russia</t>
  </si>
  <si>
    <t>Belgium</t>
  </si>
  <si>
    <t>Estonia</t>
  </si>
  <si>
    <t>Latvia</t>
  </si>
  <si>
    <t>Portugal</t>
  </si>
  <si>
    <t>Jordan</t>
  </si>
  <si>
    <t>Bahrain</t>
  </si>
  <si>
    <t>Oman</t>
  </si>
  <si>
    <t>Malaysia</t>
  </si>
  <si>
    <t>Romania</t>
  </si>
  <si>
    <t>Finland</t>
  </si>
  <si>
    <t>Chile</t>
  </si>
  <si>
    <t>Algeria</t>
  </si>
  <si>
    <t>Georgia</t>
  </si>
  <si>
    <t>Singapore</t>
  </si>
  <si>
    <t>Senegal</t>
  </si>
  <si>
    <t>Columbia</t>
  </si>
  <si>
    <t>Sum of QTY_KT</t>
  </si>
  <si>
    <t>FEZZAN</t>
  </si>
  <si>
    <t>SONGA JADE</t>
  </si>
  <si>
    <t>NIKE</t>
  </si>
  <si>
    <t>SONGA ORION</t>
  </si>
  <si>
    <t xml:space="preserve">SONGA JADE </t>
  </si>
  <si>
    <t>SONGA RUBY</t>
  </si>
  <si>
    <t>KRITI HERO</t>
  </si>
  <si>
    <t>[SA]</t>
  </si>
  <si>
    <t>[GRE]</t>
  </si>
  <si>
    <t>ELISALEX SCHULTE</t>
  </si>
  <si>
    <t>SONGA PEARL</t>
  </si>
  <si>
    <t>HANS MAERSK</t>
  </si>
  <si>
    <t>SONGA OPAL</t>
  </si>
  <si>
    <t>EAGLE BINTULU</t>
  </si>
  <si>
    <t>NEW ABILITY</t>
  </si>
  <si>
    <t>KRITI JADE</t>
  </si>
  <si>
    <t xml:space="preserve">SONGA AURORA </t>
  </si>
  <si>
    <t>YANKUL SILVER</t>
  </si>
  <si>
    <t>HAFNIA AFRICA</t>
  </si>
  <si>
    <t>AMAZON FALCON</t>
  </si>
  <si>
    <t>VS PROSPERA</t>
  </si>
  <si>
    <t>[BAH]</t>
  </si>
  <si>
    <t>[MEX]</t>
  </si>
  <si>
    <t>[USA]</t>
  </si>
  <si>
    <t>[COL]</t>
  </si>
  <si>
    <t>SONGA ATLANTIC</t>
  </si>
  <si>
    <t>RADIANT SEA</t>
  </si>
  <si>
    <t>ALQADISIA</t>
  </si>
  <si>
    <t xml:space="preserve">Egypt </t>
  </si>
  <si>
    <t>USA</t>
  </si>
  <si>
    <t>SONGA SAPPHIRE</t>
  </si>
  <si>
    <t>GREEN SPINEL</t>
  </si>
  <si>
    <t>TP AFFINITY</t>
  </si>
  <si>
    <t>EAGLE KUANTAN</t>
  </si>
  <si>
    <t>[PER]</t>
  </si>
  <si>
    <t>CABO FROWARD</t>
  </si>
  <si>
    <t>PHAETHON</t>
  </si>
  <si>
    <t>Peru</t>
  </si>
  <si>
    <t>SEA PUMA</t>
  </si>
  <si>
    <t>NOTHERN SPIRIT</t>
  </si>
  <si>
    <t>France</t>
  </si>
  <si>
    <t>Stocks</t>
  </si>
  <si>
    <t>South Africa</t>
  </si>
  <si>
    <t>PACIFIC SARAH</t>
  </si>
  <si>
    <t>PORTINARI</t>
  </si>
  <si>
    <t>PGC MARINA</t>
  </si>
  <si>
    <t>[BRA]</t>
  </si>
  <si>
    <t>HAFNIA ZAMBESI</t>
  </si>
  <si>
    <t>PERSEUS STAR</t>
  </si>
  <si>
    <t>CIELO DI CAPRI</t>
  </si>
  <si>
    <t>BRO ANNA</t>
  </si>
  <si>
    <t>STI ACTION</t>
  </si>
  <si>
    <t>[CAN]</t>
  </si>
  <si>
    <t>MINERVA CORALIA</t>
  </si>
  <si>
    <t>BOUVARDIA</t>
  </si>
  <si>
    <t>[TR]</t>
  </si>
  <si>
    <t>KYRAKATINGO</t>
  </si>
  <si>
    <t>SONGA PEARl</t>
  </si>
  <si>
    <t>ALFA ALANDIA</t>
  </si>
  <si>
    <t>[SAU]</t>
  </si>
  <si>
    <t>JASMIN JOY</t>
  </si>
  <si>
    <t>HELLESPONT PROTECTOR</t>
  </si>
  <si>
    <t>UOG HERMES</t>
  </si>
  <si>
    <t>JATULI</t>
  </si>
  <si>
    <t>LANCING</t>
  </si>
  <si>
    <t>EVROTAS</t>
  </si>
  <si>
    <t>APACHE</t>
  </si>
  <si>
    <t>SOLAR NAAMA</t>
  </si>
  <si>
    <t>HAFNIA TORRES</t>
  </si>
  <si>
    <t>KRITI SAMARIA</t>
  </si>
  <si>
    <t>STENDBERG</t>
  </si>
  <si>
    <t>AIGEORGIS</t>
  </si>
  <si>
    <t>CHIOS I</t>
  </si>
  <si>
    <t>CALYPSO</t>
  </si>
  <si>
    <t>PS AMALFI</t>
  </si>
  <si>
    <t>GH MADISON</t>
  </si>
  <si>
    <t>SAFEEN ELONA</t>
  </si>
  <si>
    <t>CABO MISAKI</t>
  </si>
  <si>
    <t>PATMOS I</t>
  </si>
  <si>
    <t>EAGLE BRASILIA</t>
  </si>
  <si>
    <t>[PAK]</t>
  </si>
  <si>
    <t>MINERVA LYDIA</t>
  </si>
  <si>
    <t>NAFSIKA</t>
  </si>
  <si>
    <t>Pakistan</t>
  </si>
  <si>
    <t>ADAM</t>
  </si>
  <si>
    <t>CAPE TALLIN</t>
  </si>
  <si>
    <t>EMMY SCHULTE</t>
  </si>
  <si>
    <t>MINDORO STAR</t>
  </si>
  <si>
    <t>CHEMTRANS NOVA</t>
  </si>
  <si>
    <t>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</si>
</sst>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NumberFormat="1"/>
    <xf numFmtId="0" fontId="0" fillId="0" borderId="10" xfId="0" applyFont="1" applyBorder="1"/>
    <xf numFmtId="0" fontId="0" fillId="0" borderId="10" xfId="0" applyNumberFormat="1" applyFont="1" applyBorder="1"/>
    <xf numFmtId="0" fontId="0" fillId="33" borderId="0" xfId="0" applyNumberFormat="1" applyFill="1"/>
    <xf numFmtId="0" fontId="0" fillId="33" borderId="0" xfId="0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34" borderId="0" xfId="0" applyNumberFormat="1" applyFill="1"/>
    <xf numFmtId="0" fontId="0" fillId="34" borderId="0" xfId="0" applyFill="1"/>
    <xf numFmtId="0" fontId="0" fillId="0" borderId="0" xfId="0" applyNumberFormat="1" applyFill="1"/>
    <xf numFmtId="0" fontId="0" fillId="0" borderId="0" xfId="0" applyFill="1"/>
    <xf numFmtId="0" fontId="0" fillId="34" borderId="0" xfId="0" applyFill="1" applyBorder="1"/>
    <xf numFmtId="0" fontId="14" fillId="0" borderId="0" xfId="0" applyFont="1" applyAlignment="1">
      <alignment horizontal="left" indent="1"/>
    </xf>
    <xf numFmtId="1" fontId="14" fillId="0" borderId="0" xfId="0" applyNumberFormat="1" applyFont="1"/>
    <xf numFmtId="0" fontId="18" fillId="0" borderId="0" xfId="0" applyFont="1" applyAlignment="1">
      <alignment horizontal="left" indent="1"/>
    </xf>
    <xf numFmtId="1" fontId="18" fillId="0" borderId="0" xfId="0" applyNumberFormat="1" applyFont="1"/>
    <xf numFmtId="0" fontId="0" fillId="0" borderId="0" xfId="0" applyNumberFormat="1" applyFill="1" applyBorder="1"/>
    <xf numFmtId="0" fontId="0" fillId="0" borderId="11" xfId="0" applyNumberFormat="1" applyFont="1" applyFill="1" applyBorder="1"/>
    <xf numFmtId="0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sng" baseline="0">
                <a:solidFill>
                  <a:sysClr val="windowText" lastClr="000000"/>
                </a:solidFill>
                <a:effectLst/>
              </a:rPr>
              <a:t>Global imports/exports of HSFO in Europe (blending pool)</a:t>
            </a:r>
            <a:endParaRPr lang="en-GB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092315848005276E-2"/>
          <c:y val="0.10241492424607626"/>
          <c:w val="0.82764197285438112"/>
          <c:h val="0.81235580483508973"/>
        </c:manualLayout>
      </c:layout>
      <c:scatterChart>
        <c:scatterStyle val="lineMarker"/>
        <c:varyColors val="0"/>
        <c:ser>
          <c:idx val="0"/>
          <c:order val="0"/>
          <c:tx>
            <c:v>Jan.24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export-import'!$C$2:$C$26</c:f>
              <c:numCache>
                <c:formatCode>General</c:formatCode>
                <c:ptCount val="25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16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28</c:v>
                </c:pt>
                <c:pt idx="15">
                  <c:v>28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30</c:v>
                </c:pt>
                <c:pt idx="21">
                  <c:v>30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</c:numCache>
            </c:numRef>
          </c:xVal>
          <c:yVal>
            <c:numRef>
              <c:f>'Net export-import'!$E$2:$E$26</c:f>
              <c:numCache>
                <c:formatCode>General</c:formatCode>
                <c:ptCount val="25"/>
                <c:pt idx="0">
                  <c:v>2.762</c:v>
                </c:pt>
                <c:pt idx="1">
                  <c:v>4.5309999999999997</c:v>
                </c:pt>
                <c:pt idx="2">
                  <c:v>21.253</c:v>
                </c:pt>
                <c:pt idx="3">
                  <c:v>38.350999999999999</c:v>
                </c:pt>
                <c:pt idx="4">
                  <c:v>54.751999999999995</c:v>
                </c:pt>
                <c:pt idx="5">
                  <c:v>70.671999999999997</c:v>
                </c:pt>
                <c:pt idx="6">
                  <c:v>74.688999999999993</c:v>
                </c:pt>
                <c:pt idx="7">
                  <c:v>85.033999999999992</c:v>
                </c:pt>
                <c:pt idx="8">
                  <c:v>87.009999999999991</c:v>
                </c:pt>
                <c:pt idx="9">
                  <c:v>147.12199999999999</c:v>
                </c:pt>
                <c:pt idx="10">
                  <c:v>149.45999999999998</c:v>
                </c:pt>
                <c:pt idx="11">
                  <c:v>163.84399999999999</c:v>
                </c:pt>
                <c:pt idx="12">
                  <c:v>178.84299999999999</c:v>
                </c:pt>
                <c:pt idx="13">
                  <c:v>224.43</c:v>
                </c:pt>
                <c:pt idx="14">
                  <c:v>241.55500000000001</c:v>
                </c:pt>
                <c:pt idx="15">
                  <c:v>258.68</c:v>
                </c:pt>
                <c:pt idx="16">
                  <c:v>296.06200000000001</c:v>
                </c:pt>
                <c:pt idx="17">
                  <c:v>392.786</c:v>
                </c:pt>
                <c:pt idx="18">
                  <c:v>409.50799999999998</c:v>
                </c:pt>
                <c:pt idx="19">
                  <c:v>426.22299999999996</c:v>
                </c:pt>
                <c:pt idx="20">
                  <c:v>431.73899999999998</c:v>
                </c:pt>
                <c:pt idx="21">
                  <c:v>433.91799999999995</c:v>
                </c:pt>
                <c:pt idx="22">
                  <c:v>446.07599999999996</c:v>
                </c:pt>
                <c:pt idx="23">
                  <c:v>457.96499999999997</c:v>
                </c:pt>
                <c:pt idx="24">
                  <c:v>478.52799999999996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68-45E4-AD8D-CE0E00E33975}"/>
            </c:ext>
          </c:extLst>
        </c:ser>
        <c:ser>
          <c:idx val="1"/>
          <c:order val="1"/>
          <c:tx>
            <c:v>Feb.24</c:v>
          </c:tx>
          <c:spPr>
            <a:ln w="1905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export-import'!$C$27:$C$44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17</c:v>
                </c:pt>
                <c:pt idx="8">
                  <c:v>17</c:v>
                </c:pt>
                <c:pt idx="9">
                  <c:v>19</c:v>
                </c:pt>
                <c:pt idx="10">
                  <c:v>19</c:v>
                </c:pt>
                <c:pt idx="11">
                  <c:v>21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</c:numCache>
            </c:numRef>
          </c:xVal>
          <c:yVal>
            <c:numRef>
              <c:f>'Net export-import'!$E$27:$E$44</c:f>
              <c:numCache>
                <c:formatCode>General</c:formatCode>
                <c:ptCount val="18"/>
                <c:pt idx="0">
                  <c:v>11.677</c:v>
                </c:pt>
                <c:pt idx="1">
                  <c:v>26.706</c:v>
                </c:pt>
                <c:pt idx="2">
                  <c:v>43.694000000000003</c:v>
                </c:pt>
                <c:pt idx="3">
                  <c:v>60.409000000000006</c:v>
                </c:pt>
                <c:pt idx="4">
                  <c:v>201.83100000000002</c:v>
                </c:pt>
                <c:pt idx="5">
                  <c:v>211.721</c:v>
                </c:pt>
                <c:pt idx="6">
                  <c:v>215.42400000000001</c:v>
                </c:pt>
                <c:pt idx="7">
                  <c:v>220.51600000000002</c:v>
                </c:pt>
                <c:pt idx="8">
                  <c:v>230.27800000000002</c:v>
                </c:pt>
                <c:pt idx="9">
                  <c:v>240.60000000000002</c:v>
                </c:pt>
                <c:pt idx="10">
                  <c:v>246.93900000000002</c:v>
                </c:pt>
                <c:pt idx="11">
                  <c:v>261.03400000000005</c:v>
                </c:pt>
                <c:pt idx="12">
                  <c:v>313.68300000000005</c:v>
                </c:pt>
                <c:pt idx="13">
                  <c:v>321.51700000000005</c:v>
                </c:pt>
                <c:pt idx="14">
                  <c:v>323.89700000000005</c:v>
                </c:pt>
                <c:pt idx="15">
                  <c:v>354.53300000000007</c:v>
                </c:pt>
                <c:pt idx="16">
                  <c:v>394.11700000000008</c:v>
                </c:pt>
                <c:pt idx="17">
                  <c:v>463.40400000000011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68-45E4-AD8D-CE0E00E33975}"/>
            </c:ext>
          </c:extLst>
        </c:ser>
        <c:ser>
          <c:idx val="2"/>
          <c:order val="2"/>
          <c:tx>
            <c:v>Mar.24</c:v>
          </c:tx>
          <c:spPr>
            <a:ln w="19050" cap="rnd">
              <a:solidFill>
                <a:schemeClr val="bg2">
                  <a:lumMod val="9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export-import'!$C$45:$C$71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9</c:v>
                </c:pt>
                <c:pt idx="9">
                  <c:v>12</c:v>
                </c:pt>
                <c:pt idx="10">
                  <c:v>12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18</c:v>
                </c:pt>
                <c:pt idx="19">
                  <c:v>18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23</c:v>
                </c:pt>
                <c:pt idx="24">
                  <c:v>25</c:v>
                </c:pt>
                <c:pt idx="25">
                  <c:v>25</c:v>
                </c:pt>
                <c:pt idx="26">
                  <c:v>29</c:v>
                </c:pt>
              </c:numCache>
            </c:numRef>
          </c:xVal>
          <c:yVal>
            <c:numRef>
              <c:f>'Net export-import'!$E$45:$E$71</c:f>
              <c:numCache>
                <c:formatCode>General</c:formatCode>
                <c:ptCount val="27"/>
                <c:pt idx="0">
                  <c:v>17.036999999999999</c:v>
                </c:pt>
                <c:pt idx="1">
                  <c:v>113.78100000000001</c:v>
                </c:pt>
                <c:pt idx="2">
                  <c:v>130.50300000000001</c:v>
                </c:pt>
                <c:pt idx="3">
                  <c:v>141.21300000000002</c:v>
                </c:pt>
                <c:pt idx="4">
                  <c:v>147.21000000000004</c:v>
                </c:pt>
                <c:pt idx="5">
                  <c:v>192.93800000000005</c:v>
                </c:pt>
                <c:pt idx="6">
                  <c:v>200.61400000000003</c:v>
                </c:pt>
                <c:pt idx="7">
                  <c:v>204.70100000000002</c:v>
                </c:pt>
                <c:pt idx="8">
                  <c:v>220.79400000000001</c:v>
                </c:pt>
                <c:pt idx="9">
                  <c:v>231.75</c:v>
                </c:pt>
                <c:pt idx="10">
                  <c:v>237.45500000000001</c:v>
                </c:pt>
                <c:pt idx="11">
                  <c:v>264.89400000000001</c:v>
                </c:pt>
                <c:pt idx="12">
                  <c:v>312.774</c:v>
                </c:pt>
                <c:pt idx="13">
                  <c:v>383.62400000000002</c:v>
                </c:pt>
                <c:pt idx="14">
                  <c:v>399.39100000000002</c:v>
                </c:pt>
                <c:pt idx="15">
                  <c:v>409.35599999999999</c:v>
                </c:pt>
                <c:pt idx="16">
                  <c:v>419.54300000000001</c:v>
                </c:pt>
                <c:pt idx="17">
                  <c:v>426.03500000000003</c:v>
                </c:pt>
                <c:pt idx="18">
                  <c:v>429.83600000000001</c:v>
                </c:pt>
                <c:pt idx="19">
                  <c:v>445.935</c:v>
                </c:pt>
                <c:pt idx="20">
                  <c:v>472.096</c:v>
                </c:pt>
                <c:pt idx="21">
                  <c:v>489.78100000000001</c:v>
                </c:pt>
                <c:pt idx="22">
                  <c:v>495.00700000000001</c:v>
                </c:pt>
                <c:pt idx="23">
                  <c:v>572.976</c:v>
                </c:pt>
                <c:pt idx="24">
                  <c:v>587.27200000000005</c:v>
                </c:pt>
                <c:pt idx="25">
                  <c:v>603.83300000000008</c:v>
                </c:pt>
                <c:pt idx="26">
                  <c:v>620.93000000000006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68-45E4-AD8D-CE0E00E33975}"/>
            </c:ext>
          </c:extLst>
        </c:ser>
        <c:ser>
          <c:idx val="3"/>
          <c:order val="3"/>
          <c:tx>
            <c:v>Apr.24</c:v>
          </c:tx>
          <c:spPr>
            <a:ln w="19050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export-import'!$C$72:$C$93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7</c:v>
                </c:pt>
                <c:pt idx="14">
                  <c:v>14</c:v>
                </c:pt>
                <c:pt idx="15">
                  <c:v>17</c:v>
                </c:pt>
                <c:pt idx="16">
                  <c:v>20</c:v>
                </c:pt>
                <c:pt idx="17">
                  <c:v>20</c:v>
                </c:pt>
                <c:pt idx="18">
                  <c:v>23</c:v>
                </c:pt>
                <c:pt idx="19">
                  <c:v>29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'Net export-import'!$E$72:$E$93</c:f>
              <c:numCache>
                <c:formatCode>General</c:formatCode>
                <c:ptCount val="22"/>
                <c:pt idx="0">
                  <c:v>5.6449999999999996</c:v>
                </c:pt>
                <c:pt idx="1">
                  <c:v>18.318999999999999</c:v>
                </c:pt>
                <c:pt idx="2">
                  <c:v>30.992999999999999</c:v>
                </c:pt>
                <c:pt idx="3">
                  <c:v>40.844000000000001</c:v>
                </c:pt>
                <c:pt idx="4">
                  <c:v>45.262</c:v>
                </c:pt>
                <c:pt idx="5">
                  <c:v>61.977000000000004</c:v>
                </c:pt>
                <c:pt idx="6">
                  <c:v>66.566000000000003</c:v>
                </c:pt>
                <c:pt idx="7">
                  <c:v>84.106999999999999</c:v>
                </c:pt>
                <c:pt idx="8">
                  <c:v>94.281999999999996</c:v>
                </c:pt>
                <c:pt idx="9">
                  <c:v>102.291</c:v>
                </c:pt>
                <c:pt idx="10">
                  <c:v>164.16300000000001</c:v>
                </c:pt>
                <c:pt idx="11">
                  <c:v>206.13800000000001</c:v>
                </c:pt>
                <c:pt idx="12">
                  <c:v>232.869</c:v>
                </c:pt>
                <c:pt idx="13">
                  <c:v>331.09899999999999</c:v>
                </c:pt>
                <c:pt idx="14">
                  <c:v>346.87799999999999</c:v>
                </c:pt>
                <c:pt idx="15">
                  <c:v>422.86500000000001</c:v>
                </c:pt>
                <c:pt idx="16">
                  <c:v>485.97300000000001</c:v>
                </c:pt>
                <c:pt idx="17">
                  <c:v>492.51300000000003</c:v>
                </c:pt>
                <c:pt idx="18">
                  <c:v>508.33000000000004</c:v>
                </c:pt>
                <c:pt idx="19">
                  <c:v>574.78399999999999</c:v>
                </c:pt>
                <c:pt idx="20">
                  <c:v>591.44499999999994</c:v>
                </c:pt>
                <c:pt idx="21">
                  <c:v>620.18599999999992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68-45E4-AD8D-CE0E00E33975}"/>
            </c:ext>
          </c:extLst>
        </c:ser>
        <c:ser>
          <c:idx val="4"/>
          <c:order val="4"/>
          <c:tx>
            <c:v>May.24</c:v>
          </c:tx>
          <c:spPr>
            <a:ln w="19050" cap="rnd">
              <a:solidFill>
                <a:srgbClr val="7030A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export-import'!$C$94:$C$109</c:f>
              <c:numCache>
                <c:formatCode>General</c:formatCode>
                <c:ptCount val="1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17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29</c:v>
                </c:pt>
                <c:pt idx="13">
                  <c:v>29</c:v>
                </c:pt>
                <c:pt idx="14">
                  <c:v>31</c:v>
                </c:pt>
                <c:pt idx="15">
                  <c:v>31</c:v>
                </c:pt>
              </c:numCache>
            </c:numRef>
          </c:xVal>
          <c:yVal>
            <c:numRef>
              <c:f>'Net export-import'!$E$94:$E$109</c:f>
              <c:numCache>
                <c:formatCode>General</c:formatCode>
                <c:ptCount val="16"/>
                <c:pt idx="0">
                  <c:v>103.79600000000001</c:v>
                </c:pt>
                <c:pt idx="1">
                  <c:v>119.575</c:v>
                </c:pt>
                <c:pt idx="2">
                  <c:v>136.28200000000001</c:v>
                </c:pt>
                <c:pt idx="3">
                  <c:v>227.71100000000001</c:v>
                </c:pt>
                <c:pt idx="4">
                  <c:v>267.52600000000001</c:v>
                </c:pt>
                <c:pt idx="5">
                  <c:v>299.11099999999999</c:v>
                </c:pt>
                <c:pt idx="6">
                  <c:v>316.74199999999996</c:v>
                </c:pt>
                <c:pt idx="7">
                  <c:v>333.40299999999996</c:v>
                </c:pt>
                <c:pt idx="8">
                  <c:v>341.07599999999996</c:v>
                </c:pt>
                <c:pt idx="9">
                  <c:v>350.11799999999994</c:v>
                </c:pt>
                <c:pt idx="10">
                  <c:v>366.77899999999994</c:v>
                </c:pt>
                <c:pt idx="11">
                  <c:v>414.25399999999996</c:v>
                </c:pt>
                <c:pt idx="12">
                  <c:v>425.61199999999997</c:v>
                </c:pt>
                <c:pt idx="13">
                  <c:v>436.96999999999997</c:v>
                </c:pt>
                <c:pt idx="14">
                  <c:v>439.69399999999996</c:v>
                </c:pt>
                <c:pt idx="15">
                  <c:v>445.68799999999999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68-45E4-AD8D-CE0E00E33975}"/>
            </c:ext>
          </c:extLst>
        </c:ser>
        <c:ser>
          <c:idx val="5"/>
          <c:order val="5"/>
          <c:tx>
            <c:v>Jun.24</c:v>
          </c:tx>
          <c:spPr>
            <a:ln w="19050" cap="rnd">
              <a:solidFill>
                <a:schemeClr val="accent6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export-import'!$C$110:$C$116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12</c:v>
                </c:pt>
                <c:pt idx="3">
                  <c:v>13</c:v>
                </c:pt>
                <c:pt idx="4">
                  <c:v>19</c:v>
                </c:pt>
                <c:pt idx="5">
                  <c:v>22</c:v>
                </c:pt>
                <c:pt idx="6">
                  <c:v>28</c:v>
                </c:pt>
              </c:numCache>
            </c:numRef>
          </c:xVal>
          <c:yVal>
            <c:numRef>
              <c:f>'Net export-import'!$E$110:$E$116</c:f>
              <c:numCache>
                <c:formatCode>General</c:formatCode>
                <c:ptCount val="7"/>
                <c:pt idx="0">
                  <c:v>16.163</c:v>
                </c:pt>
                <c:pt idx="1">
                  <c:v>107.84</c:v>
                </c:pt>
                <c:pt idx="2">
                  <c:v>123.65700000000001</c:v>
                </c:pt>
                <c:pt idx="3">
                  <c:v>133.33100000000002</c:v>
                </c:pt>
                <c:pt idx="4">
                  <c:v>150.03800000000001</c:v>
                </c:pt>
                <c:pt idx="5">
                  <c:v>166.971</c:v>
                </c:pt>
                <c:pt idx="6">
                  <c:v>183.678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68-45E4-AD8D-CE0E00E33975}"/>
            </c:ext>
          </c:extLst>
        </c:ser>
        <c:ser>
          <c:idx val="6"/>
          <c:order val="6"/>
          <c:tx>
            <c:v>Jul.24</c:v>
          </c:tx>
          <c:spPr>
            <a:ln w="19050" cap="rnd">
              <a:solidFill>
                <a:srgbClr val="00206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export-import'!$C$117:$C$136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25</c:v>
                </c:pt>
                <c:pt idx="17">
                  <c:v>28</c:v>
                </c:pt>
                <c:pt idx="18">
                  <c:v>31</c:v>
                </c:pt>
                <c:pt idx="19">
                  <c:v>31</c:v>
                </c:pt>
              </c:numCache>
            </c:numRef>
          </c:xVal>
          <c:yVal>
            <c:numRef>
              <c:f>'Net export-import'!$E$117:$E$136</c:f>
              <c:numCache>
                <c:formatCode>General</c:formatCode>
                <c:ptCount val="20"/>
                <c:pt idx="0">
                  <c:v>52.012</c:v>
                </c:pt>
                <c:pt idx="1">
                  <c:v>67.829000000000008</c:v>
                </c:pt>
                <c:pt idx="2">
                  <c:v>78.006</c:v>
                </c:pt>
                <c:pt idx="3">
                  <c:v>115.78700000000001</c:v>
                </c:pt>
                <c:pt idx="4">
                  <c:v>118.557</c:v>
                </c:pt>
                <c:pt idx="5">
                  <c:v>134.33600000000001</c:v>
                </c:pt>
                <c:pt idx="6">
                  <c:v>136.51500000000001</c:v>
                </c:pt>
                <c:pt idx="7">
                  <c:v>177.899</c:v>
                </c:pt>
                <c:pt idx="8">
                  <c:v>183.34800000000001</c:v>
                </c:pt>
                <c:pt idx="9">
                  <c:v>279.339</c:v>
                </c:pt>
                <c:pt idx="10">
                  <c:v>329.70100000000002</c:v>
                </c:pt>
                <c:pt idx="11">
                  <c:v>370.78100000000001</c:v>
                </c:pt>
                <c:pt idx="12">
                  <c:v>429.47399999999999</c:v>
                </c:pt>
                <c:pt idx="13">
                  <c:v>473.51</c:v>
                </c:pt>
                <c:pt idx="14">
                  <c:v>483.00799999999998</c:v>
                </c:pt>
                <c:pt idx="15">
                  <c:v>499.66899999999998</c:v>
                </c:pt>
                <c:pt idx="16">
                  <c:v>527.40699999999993</c:v>
                </c:pt>
                <c:pt idx="17">
                  <c:v>535.54899999999998</c:v>
                </c:pt>
                <c:pt idx="18">
                  <c:v>564.24900000000002</c:v>
                </c:pt>
                <c:pt idx="19">
                  <c:v>581.18200000000002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C68-45E4-AD8D-CE0E00E33975}"/>
            </c:ext>
          </c:extLst>
        </c:ser>
        <c:ser>
          <c:idx val="7"/>
          <c:order val="7"/>
          <c:tx>
            <c:v>Aug.24</c:v>
          </c:tx>
          <c:spPr>
            <a:ln w="19050" cap="rnd">
              <a:solidFill>
                <a:schemeClr val="accent2">
                  <a:lumMod val="5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export-import'!$C$137:$C$152</c:f>
              <c:numCache>
                <c:formatCode>General</c:formatCode>
                <c:ptCount val="16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24</c:v>
                </c:pt>
                <c:pt idx="10">
                  <c:v>25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</c:numCache>
            </c:numRef>
          </c:xVal>
          <c:yVal>
            <c:numRef>
              <c:f>'Net export-import'!$E$137:$E$152</c:f>
              <c:numCache>
                <c:formatCode>General</c:formatCode>
                <c:ptCount val="16"/>
                <c:pt idx="0">
                  <c:v>16.661000000000001</c:v>
                </c:pt>
                <c:pt idx="1">
                  <c:v>33.383000000000003</c:v>
                </c:pt>
                <c:pt idx="2">
                  <c:v>50.097999999999999</c:v>
                </c:pt>
                <c:pt idx="3">
                  <c:v>126.432</c:v>
                </c:pt>
                <c:pt idx="4">
                  <c:v>180.81200000000001</c:v>
                </c:pt>
                <c:pt idx="5">
                  <c:v>197.53400000000002</c:v>
                </c:pt>
                <c:pt idx="6">
                  <c:v>244.89600000000002</c:v>
                </c:pt>
                <c:pt idx="7">
                  <c:v>251.66500000000002</c:v>
                </c:pt>
                <c:pt idx="8">
                  <c:v>300.60599999999999</c:v>
                </c:pt>
                <c:pt idx="9">
                  <c:v>317.32799999999997</c:v>
                </c:pt>
                <c:pt idx="10">
                  <c:v>325.50299999999999</c:v>
                </c:pt>
                <c:pt idx="11">
                  <c:v>368.72800000000001</c:v>
                </c:pt>
                <c:pt idx="12">
                  <c:v>405.37900000000002</c:v>
                </c:pt>
                <c:pt idx="13">
                  <c:v>427.54600000000005</c:v>
                </c:pt>
                <c:pt idx="14">
                  <c:v>447.11500000000007</c:v>
                </c:pt>
                <c:pt idx="15">
                  <c:v>474.31000000000006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C68-45E4-AD8D-CE0E00E33975}"/>
            </c:ext>
          </c:extLst>
        </c:ser>
        <c:ser>
          <c:idx val="8"/>
          <c:order val="8"/>
          <c:tx>
            <c:v>Sep.24</c:v>
          </c:tx>
          <c:spPr>
            <a:ln w="19050" cap="rnd">
              <a:solidFill>
                <a:schemeClr val="bg2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export-import'!$C$153:$C$170</c:f>
              <c:numCache>
                <c:formatCode>General</c:formatCode>
                <c:ptCount val="18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18</c:v>
                </c:pt>
                <c:pt idx="12">
                  <c:v>20</c:v>
                </c:pt>
                <c:pt idx="13">
                  <c:v>23</c:v>
                </c:pt>
                <c:pt idx="14">
                  <c:v>23</c:v>
                </c:pt>
                <c:pt idx="15">
                  <c:v>24</c:v>
                </c:pt>
                <c:pt idx="16">
                  <c:v>26</c:v>
                </c:pt>
                <c:pt idx="17">
                  <c:v>29</c:v>
                </c:pt>
              </c:numCache>
            </c:numRef>
          </c:xVal>
          <c:yVal>
            <c:numRef>
              <c:f>'Net export-import'!$E$153:$E$170</c:f>
              <c:numCache>
                <c:formatCode>General</c:formatCode>
                <c:ptCount val="18"/>
                <c:pt idx="0">
                  <c:v>13.044</c:v>
                </c:pt>
                <c:pt idx="1">
                  <c:v>16.55</c:v>
                </c:pt>
                <c:pt idx="2">
                  <c:v>25.14</c:v>
                </c:pt>
                <c:pt idx="3">
                  <c:v>27.683</c:v>
                </c:pt>
                <c:pt idx="4">
                  <c:v>32.185000000000002</c:v>
                </c:pt>
                <c:pt idx="5">
                  <c:v>55.492000000000004</c:v>
                </c:pt>
                <c:pt idx="6">
                  <c:v>116.7</c:v>
                </c:pt>
                <c:pt idx="7">
                  <c:v>133.25</c:v>
                </c:pt>
                <c:pt idx="8">
                  <c:v>175.404</c:v>
                </c:pt>
                <c:pt idx="9">
                  <c:v>243.32900000000001</c:v>
                </c:pt>
                <c:pt idx="10">
                  <c:v>260.05099999999999</c:v>
                </c:pt>
                <c:pt idx="11">
                  <c:v>320.57599999999996</c:v>
                </c:pt>
                <c:pt idx="12">
                  <c:v>337.29799999999994</c:v>
                </c:pt>
                <c:pt idx="13">
                  <c:v>404.44299999999993</c:v>
                </c:pt>
                <c:pt idx="14">
                  <c:v>421.14999999999992</c:v>
                </c:pt>
                <c:pt idx="15">
                  <c:v>464.74999999999994</c:v>
                </c:pt>
                <c:pt idx="16">
                  <c:v>469.68099999999993</c:v>
                </c:pt>
                <c:pt idx="17">
                  <c:v>486.18999999999994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C68-45E4-AD8D-CE0E00E33975}"/>
            </c:ext>
          </c:extLst>
        </c:ser>
        <c:ser>
          <c:idx val="9"/>
          <c:order val="9"/>
          <c:tx>
            <c:v>Oct.24</c:v>
          </c:tx>
          <c:spPr>
            <a:ln w="19050" cap="rnd">
              <a:solidFill>
                <a:srgbClr val="FF00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export-import'!$C$171:$C$185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16</c:v>
                </c:pt>
                <c:pt idx="8">
                  <c:v>19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31</c:v>
                </c:pt>
              </c:numCache>
            </c:numRef>
          </c:xVal>
          <c:yVal>
            <c:numRef>
              <c:f>'Net export-import'!$E$171:$E$185</c:f>
              <c:numCache>
                <c:formatCode>General</c:formatCode>
                <c:ptCount val="15"/>
                <c:pt idx="0">
                  <c:v>2.4550000000000001</c:v>
                </c:pt>
                <c:pt idx="1">
                  <c:v>19.177</c:v>
                </c:pt>
                <c:pt idx="2">
                  <c:v>89.216000000000008</c:v>
                </c:pt>
                <c:pt idx="3">
                  <c:v>126.911</c:v>
                </c:pt>
                <c:pt idx="4">
                  <c:v>142.69</c:v>
                </c:pt>
                <c:pt idx="5">
                  <c:v>160.023</c:v>
                </c:pt>
                <c:pt idx="6">
                  <c:v>254.01499999999999</c:v>
                </c:pt>
                <c:pt idx="7">
                  <c:v>269.79399999999998</c:v>
                </c:pt>
                <c:pt idx="8">
                  <c:v>303.339</c:v>
                </c:pt>
                <c:pt idx="9">
                  <c:v>338.44600000000003</c:v>
                </c:pt>
                <c:pt idx="10">
                  <c:v>373.553</c:v>
                </c:pt>
                <c:pt idx="11">
                  <c:v>442.32100000000003</c:v>
                </c:pt>
                <c:pt idx="12">
                  <c:v>443.78300000000002</c:v>
                </c:pt>
                <c:pt idx="13">
                  <c:v>460.505</c:v>
                </c:pt>
                <c:pt idx="14">
                  <c:v>477.09899999999999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C68-45E4-AD8D-CE0E00E33975}"/>
            </c:ext>
          </c:extLst>
        </c:ser>
        <c:ser>
          <c:idx val="10"/>
          <c:order val="10"/>
          <c:tx>
            <c:v>Nov.24</c:v>
          </c:tx>
          <c:spPr>
            <a:ln w="19050" cap="rnd">
              <a:solidFill>
                <a:srgbClr val="FFFF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export-import'!$C$186:$C$210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8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15</c:v>
                </c:pt>
                <c:pt idx="13">
                  <c:v>17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'Net export-import'!$E$186:$E$210</c:f>
              <c:numCache>
                <c:formatCode>General</c:formatCode>
                <c:ptCount val="25"/>
                <c:pt idx="0">
                  <c:v>9.5</c:v>
                </c:pt>
                <c:pt idx="1">
                  <c:v>-1.5</c:v>
                </c:pt>
                <c:pt idx="2">
                  <c:v>7.1</c:v>
                </c:pt>
                <c:pt idx="3">
                  <c:v>23.200000000000003</c:v>
                </c:pt>
                <c:pt idx="4">
                  <c:v>25.500000000000004</c:v>
                </c:pt>
                <c:pt idx="5">
                  <c:v>126</c:v>
                </c:pt>
                <c:pt idx="6">
                  <c:v>113.6</c:v>
                </c:pt>
                <c:pt idx="7">
                  <c:v>128.69999999999999</c:v>
                </c:pt>
                <c:pt idx="8">
                  <c:v>116.69999999999999</c:v>
                </c:pt>
                <c:pt idx="9">
                  <c:v>132.29999999999998</c:v>
                </c:pt>
                <c:pt idx="10">
                  <c:v>147.69999999999999</c:v>
                </c:pt>
                <c:pt idx="11">
                  <c:v>105.69999999999999</c:v>
                </c:pt>
                <c:pt idx="12">
                  <c:v>136</c:v>
                </c:pt>
                <c:pt idx="13">
                  <c:v>151.6</c:v>
                </c:pt>
                <c:pt idx="14">
                  <c:v>168.29999999999998</c:v>
                </c:pt>
                <c:pt idx="15">
                  <c:v>179.39999999999998</c:v>
                </c:pt>
                <c:pt idx="16">
                  <c:v>195.2</c:v>
                </c:pt>
                <c:pt idx="17">
                  <c:v>295.2</c:v>
                </c:pt>
                <c:pt idx="18">
                  <c:v>282.89999999999998</c:v>
                </c:pt>
                <c:pt idx="19">
                  <c:v>270.89999999999998</c:v>
                </c:pt>
                <c:pt idx="20">
                  <c:v>340.9</c:v>
                </c:pt>
                <c:pt idx="21">
                  <c:v>395.29999999999995</c:v>
                </c:pt>
                <c:pt idx="22">
                  <c:v>465.49999999999994</c:v>
                </c:pt>
                <c:pt idx="23">
                  <c:v>520.5</c:v>
                </c:pt>
                <c:pt idx="24">
                  <c:v>549.5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C68-45E4-AD8D-CE0E00E33975}"/>
            </c:ext>
          </c:extLst>
        </c:ser>
        <c:ser>
          <c:idx val="11"/>
          <c:order val="11"/>
          <c:tx>
            <c:v>Dec.24</c:v>
          </c:tx>
          <c:spPr>
            <a:ln w="19050" cap="rnd">
              <a:solidFill>
                <a:schemeClr val="bg2">
                  <a:lumMod val="5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export-import'!$C$211:$C$240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22</c:v>
                </c:pt>
                <c:pt idx="26">
                  <c:v>24</c:v>
                </c:pt>
                <c:pt idx="27">
                  <c:v>24</c:v>
                </c:pt>
                <c:pt idx="28">
                  <c:v>26</c:v>
                </c:pt>
                <c:pt idx="29">
                  <c:v>26</c:v>
                </c:pt>
              </c:numCache>
            </c:numRef>
          </c:xVal>
          <c:yVal>
            <c:numRef>
              <c:f>'Net export-import'!$E$211:$E$240</c:f>
              <c:numCache>
                <c:formatCode>General</c:formatCode>
                <c:ptCount val="30"/>
                <c:pt idx="0">
                  <c:v>15.193</c:v>
                </c:pt>
                <c:pt idx="1">
                  <c:v>-44.807000000000002</c:v>
                </c:pt>
                <c:pt idx="2">
                  <c:v>-51.807000000000002</c:v>
                </c:pt>
                <c:pt idx="3">
                  <c:v>-35.99</c:v>
                </c:pt>
                <c:pt idx="4">
                  <c:v>-20.961000000000002</c:v>
                </c:pt>
                <c:pt idx="5">
                  <c:v>-49.960999999999999</c:v>
                </c:pt>
                <c:pt idx="6">
                  <c:v>-54.960999999999999</c:v>
                </c:pt>
                <c:pt idx="7">
                  <c:v>-39.182000000000002</c:v>
                </c:pt>
                <c:pt idx="8">
                  <c:v>-22.839000000000002</c:v>
                </c:pt>
                <c:pt idx="9">
                  <c:v>-21.154000000000003</c:v>
                </c:pt>
                <c:pt idx="10">
                  <c:v>-7.3500000000000032</c:v>
                </c:pt>
                <c:pt idx="11">
                  <c:v>-2.8550000000000031</c:v>
                </c:pt>
                <c:pt idx="12">
                  <c:v>4.1649999999999965</c:v>
                </c:pt>
                <c:pt idx="13">
                  <c:v>11.692999999999996</c:v>
                </c:pt>
                <c:pt idx="14">
                  <c:v>0.69299999999999606</c:v>
                </c:pt>
                <c:pt idx="15">
                  <c:v>2.0639999999999961</c:v>
                </c:pt>
                <c:pt idx="16">
                  <c:v>17.880999999999997</c:v>
                </c:pt>
                <c:pt idx="17">
                  <c:v>27.425999999999995</c:v>
                </c:pt>
                <c:pt idx="18">
                  <c:v>44.147999999999996</c:v>
                </c:pt>
                <c:pt idx="19">
                  <c:v>60.808999999999997</c:v>
                </c:pt>
                <c:pt idx="20">
                  <c:v>73.472999999999999</c:v>
                </c:pt>
                <c:pt idx="21">
                  <c:v>89.816000000000003</c:v>
                </c:pt>
                <c:pt idx="22">
                  <c:v>29.816000000000003</c:v>
                </c:pt>
                <c:pt idx="23">
                  <c:v>23.816000000000003</c:v>
                </c:pt>
                <c:pt idx="24">
                  <c:v>13.816000000000003</c:v>
                </c:pt>
                <c:pt idx="25">
                  <c:v>84.897000000000006</c:v>
                </c:pt>
                <c:pt idx="26">
                  <c:v>101.34</c:v>
                </c:pt>
                <c:pt idx="27">
                  <c:v>118.047</c:v>
                </c:pt>
                <c:pt idx="28">
                  <c:v>145.946</c:v>
                </c:pt>
                <c:pt idx="29">
                  <c:v>162.66800000000001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C68-45E4-AD8D-CE0E00E33975}"/>
            </c:ext>
          </c:extLst>
        </c:ser>
        <c:ser>
          <c:idx val="12"/>
          <c:order val="12"/>
          <c:tx>
            <c:v>Jan.25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export-import'!$C$242:$C$266</c:f>
              <c:numCache>
                <c:formatCode>General</c:formatCode>
                <c:ptCount val="2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11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16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22</c:v>
                </c:pt>
                <c:pt idx="19">
                  <c:v>24</c:v>
                </c:pt>
                <c:pt idx="20">
                  <c:v>24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31</c:v>
                </c:pt>
              </c:numCache>
            </c:numRef>
          </c:xVal>
          <c:yVal>
            <c:numRef>
              <c:f>'Net export-import'!$E$242:$E$266</c:f>
              <c:numCache>
                <c:formatCode>General</c:formatCode>
                <c:ptCount val="25"/>
                <c:pt idx="0">
                  <c:v>4.8000000000000007</c:v>
                </c:pt>
                <c:pt idx="1">
                  <c:v>-28.2</c:v>
                </c:pt>
                <c:pt idx="2">
                  <c:v>-31.7</c:v>
                </c:pt>
                <c:pt idx="3">
                  <c:v>8.1999999999999993</c:v>
                </c:pt>
                <c:pt idx="4">
                  <c:v>24.9</c:v>
                </c:pt>
                <c:pt idx="5">
                  <c:v>41.599999999999994</c:v>
                </c:pt>
                <c:pt idx="6">
                  <c:v>81.699999999999989</c:v>
                </c:pt>
                <c:pt idx="7">
                  <c:v>97.299999999999983</c:v>
                </c:pt>
                <c:pt idx="8">
                  <c:v>93.499999999999986</c:v>
                </c:pt>
                <c:pt idx="9">
                  <c:v>193.5</c:v>
                </c:pt>
                <c:pt idx="10">
                  <c:v>303.3</c:v>
                </c:pt>
                <c:pt idx="11">
                  <c:v>423.3</c:v>
                </c:pt>
                <c:pt idx="12">
                  <c:v>429.3</c:v>
                </c:pt>
                <c:pt idx="13">
                  <c:v>489.3</c:v>
                </c:pt>
                <c:pt idx="14">
                  <c:v>505</c:v>
                </c:pt>
                <c:pt idx="15">
                  <c:v>543.70000000000005</c:v>
                </c:pt>
                <c:pt idx="16">
                  <c:v>560.70000000000005</c:v>
                </c:pt>
                <c:pt idx="17">
                  <c:v>530.70000000000005</c:v>
                </c:pt>
                <c:pt idx="18">
                  <c:v>647.20000000000005</c:v>
                </c:pt>
                <c:pt idx="19">
                  <c:v>727.2</c:v>
                </c:pt>
                <c:pt idx="20">
                  <c:v>743</c:v>
                </c:pt>
                <c:pt idx="21">
                  <c:v>823</c:v>
                </c:pt>
                <c:pt idx="22">
                  <c:v>963</c:v>
                </c:pt>
                <c:pt idx="23">
                  <c:v>979.7</c:v>
                </c:pt>
                <c:pt idx="24">
                  <c:v>969.7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C68-45E4-AD8D-CE0E00E33975}"/>
            </c:ext>
          </c:extLst>
        </c:ser>
        <c:ser>
          <c:idx val="13"/>
          <c:order val="13"/>
          <c:tx>
            <c:v>Feb.25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'Net export-import'!$C$267:$C$289</c:f>
              <c:numCache>
                <c:formatCode>General</c:formatCode>
                <c:ptCount val="23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26</c:v>
                </c:pt>
                <c:pt idx="21">
                  <c:v>28</c:v>
                </c:pt>
                <c:pt idx="22">
                  <c:v>28</c:v>
                </c:pt>
              </c:numCache>
            </c:numRef>
          </c:xVal>
          <c:yVal>
            <c:numRef>
              <c:f>'Net export-import'!$E$267:$E$289</c:f>
              <c:numCache>
                <c:formatCode>General</c:formatCode>
                <c:ptCount val="23"/>
                <c:pt idx="0">
                  <c:v>70</c:v>
                </c:pt>
                <c:pt idx="1">
                  <c:v>86.6</c:v>
                </c:pt>
                <c:pt idx="2">
                  <c:v>92.6</c:v>
                </c:pt>
                <c:pt idx="3">
                  <c:v>107.39999999999999</c:v>
                </c:pt>
                <c:pt idx="4">
                  <c:v>217.39999999999998</c:v>
                </c:pt>
                <c:pt idx="5">
                  <c:v>127.39999999999998</c:v>
                </c:pt>
                <c:pt idx="6">
                  <c:v>27.399999999999977</c:v>
                </c:pt>
                <c:pt idx="7">
                  <c:v>42.699999999999974</c:v>
                </c:pt>
                <c:pt idx="8">
                  <c:v>152.69999999999999</c:v>
                </c:pt>
                <c:pt idx="9">
                  <c:v>169.39999999999998</c:v>
                </c:pt>
                <c:pt idx="10">
                  <c:v>157.39999999999998</c:v>
                </c:pt>
                <c:pt idx="11">
                  <c:v>174.09999999999997</c:v>
                </c:pt>
                <c:pt idx="12">
                  <c:v>139.09999999999997</c:v>
                </c:pt>
                <c:pt idx="13">
                  <c:v>153.29999999999995</c:v>
                </c:pt>
                <c:pt idx="14">
                  <c:v>137.29999999999995</c:v>
                </c:pt>
                <c:pt idx="15">
                  <c:v>153.39999999999995</c:v>
                </c:pt>
                <c:pt idx="16">
                  <c:v>170.09999999999994</c:v>
                </c:pt>
                <c:pt idx="17">
                  <c:v>300.09999999999991</c:v>
                </c:pt>
                <c:pt idx="18">
                  <c:v>392.09999999999991</c:v>
                </c:pt>
                <c:pt idx="19">
                  <c:v>462.09999999999991</c:v>
                </c:pt>
                <c:pt idx="20">
                  <c:v>478.7999999999999</c:v>
                </c:pt>
                <c:pt idx="21">
                  <c:v>528.79999999999995</c:v>
                </c:pt>
                <c:pt idx="22">
                  <c:v>540.19999999999993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C68-45E4-AD8D-CE0E00E33975}"/>
            </c:ext>
          </c:extLst>
        </c:ser>
        <c:ser>
          <c:idx val="14"/>
          <c:order val="14"/>
          <c:tx>
            <c:v>Mar.25</c:v>
          </c:tx>
          <c:spPr>
            <a:ln w="317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2"/>
            <c:marker>
              <c:symbol val="square"/>
              <c:size val="5"/>
              <c:spPr>
                <a:solidFill>
                  <a:srgbClr val="0070C0"/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C68-45E4-AD8D-CE0E00E33975}"/>
              </c:ext>
            </c:extLst>
          </c:dPt>
          <c:dPt>
            <c:idx val="4"/>
            <c:marker>
              <c:symbol val="square"/>
              <c:size val="5"/>
              <c:spPr>
                <a:solidFill>
                  <a:srgbClr val="0070C0"/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C68-45E4-AD8D-CE0E00E33975}"/>
              </c:ext>
            </c:extLst>
          </c:dPt>
          <c:dPt>
            <c:idx val="6"/>
            <c:marker>
              <c:symbol val="square"/>
              <c:size val="5"/>
              <c:spPr>
                <a:solidFill>
                  <a:srgbClr val="0070C0"/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DC68-45E4-AD8D-CE0E00E33975}"/>
              </c:ext>
            </c:extLst>
          </c:dPt>
          <c:dPt>
            <c:idx val="7"/>
            <c:marker>
              <c:symbol val="square"/>
              <c:size val="5"/>
              <c:spPr>
                <a:solidFill>
                  <a:srgbClr val="0070C0"/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C68-45E4-AD8D-CE0E00E33975}"/>
              </c:ext>
            </c:extLst>
          </c:dPt>
          <c:dPt>
            <c:idx val="8"/>
            <c:marker>
              <c:symbol val="square"/>
              <c:size val="5"/>
              <c:spPr>
                <a:solidFill>
                  <a:srgbClr val="0070C0"/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E8-4636-AECA-D329ED05EB81}"/>
              </c:ext>
            </c:extLst>
          </c:dPt>
          <c:dPt>
            <c:idx val="9"/>
            <c:marker>
              <c:symbol val="square"/>
              <c:size val="5"/>
              <c:spPr>
                <a:solidFill>
                  <a:srgbClr val="0070C0"/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9B-4240-A1FA-46C6E4545CF4}"/>
              </c:ext>
            </c:extLst>
          </c:dPt>
          <c:xVal>
            <c:numRef>
              <c:f>'Net export-import'!$C$290:$C$309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28</c:v>
                </c:pt>
              </c:numCache>
            </c:numRef>
          </c:xVal>
          <c:yVal>
            <c:numRef>
              <c:f>'Net export-import'!$E$290:$E$309</c:f>
              <c:numCache>
                <c:formatCode>General</c:formatCode>
                <c:ptCount val="20"/>
                <c:pt idx="0">
                  <c:v>17</c:v>
                </c:pt>
                <c:pt idx="1">
                  <c:v>4</c:v>
                </c:pt>
                <c:pt idx="2">
                  <c:v>74</c:v>
                </c:pt>
                <c:pt idx="3">
                  <c:v>44</c:v>
                </c:pt>
                <c:pt idx="4">
                  <c:v>89</c:v>
                </c:pt>
                <c:pt idx="5">
                  <c:v>106</c:v>
                </c:pt>
                <c:pt idx="6">
                  <c:v>30</c:v>
                </c:pt>
                <c:pt idx="7">
                  <c:v>-45</c:v>
                </c:pt>
                <c:pt idx="8">
                  <c:v>-28</c:v>
                </c:pt>
                <c:pt idx="9">
                  <c:v>-38</c:v>
                </c:pt>
                <c:pt idx="10">
                  <c:v>32</c:v>
                </c:pt>
                <c:pt idx="11">
                  <c:v>102</c:v>
                </c:pt>
                <c:pt idx="12">
                  <c:v>119</c:v>
                </c:pt>
                <c:pt idx="13">
                  <c:v>219</c:v>
                </c:pt>
                <c:pt idx="14">
                  <c:v>291</c:v>
                </c:pt>
                <c:pt idx="15">
                  <c:v>262</c:v>
                </c:pt>
                <c:pt idx="16">
                  <c:v>312</c:v>
                </c:pt>
                <c:pt idx="17">
                  <c:v>329</c:v>
                </c:pt>
                <c:pt idx="18">
                  <c:v>313</c:v>
                </c:pt>
                <c:pt idx="19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C68-45E4-AD8D-CE0E00E33975}"/>
            </c:ext>
          </c:extLst>
        </c:ser>
        <c:ser>
          <c:idx val="15"/>
          <c:order val="15"/>
          <c:tx>
            <c:v>Apr.25</c:v>
          </c:tx>
          <c:spPr>
            <a:ln w="317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'Net export-import'!$C$310:$C$313</c:f>
              <c:numCache>
                <c:formatCode>General</c:formatCode>
                <c:ptCount val="4"/>
                <c:pt idx="0">
                  <c:v>1</c:v>
                </c:pt>
                <c:pt idx="1">
                  <c:v>12</c:v>
                </c:pt>
                <c:pt idx="2">
                  <c:v>20</c:v>
                </c:pt>
                <c:pt idx="3">
                  <c:v>28</c:v>
                </c:pt>
              </c:numCache>
            </c:numRef>
          </c:xVal>
          <c:yVal>
            <c:numRef>
              <c:f>'Net export-import'!$E$310:$E$313</c:f>
              <c:numCache>
                <c:formatCode>General</c:formatCode>
                <c:ptCount val="4"/>
                <c:pt idx="0">
                  <c:v>10</c:v>
                </c:pt>
                <c:pt idx="1">
                  <c:v>70</c:v>
                </c:pt>
                <c:pt idx="2">
                  <c:v>130</c:v>
                </c:pt>
                <c:pt idx="3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06A-4205-9A99-F02283123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677728"/>
        <c:axId val="1106985024"/>
      </c:scatterChart>
      <c:valAx>
        <c:axId val="138167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85024"/>
        <c:crosses val="autoZero"/>
        <c:crossBetween val="midCat"/>
      </c:valAx>
      <c:valAx>
        <c:axId val="110698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7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u="sng">
                <a:solidFill>
                  <a:sysClr val="windowText" lastClr="000000"/>
                </a:solidFill>
              </a:rPr>
              <a:t>Global imports</a:t>
            </a:r>
            <a:r>
              <a:rPr lang="en-GB" sz="1800" b="1" u="sng" baseline="0">
                <a:solidFill>
                  <a:sysClr val="windowText" lastClr="000000"/>
                </a:solidFill>
              </a:rPr>
              <a:t> of HSFO in Europe (blending pool)</a:t>
            </a:r>
            <a:endParaRPr lang="en-GB" sz="1800" b="1" u="sng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2239465868262959"/>
          <c:y val="3.1347962382445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56667205448185E-2"/>
          <c:y val="0.10134146241124248"/>
          <c:w val="0.78183092777097885"/>
          <c:h val="0.80642954113494436"/>
        </c:manualLayout>
      </c:layout>
      <c:scatterChart>
        <c:scatterStyle val="lineMarker"/>
        <c:varyColors val="0"/>
        <c:ser>
          <c:idx val="1"/>
          <c:order val="0"/>
          <c:tx>
            <c:v>Jan.24</c:v>
          </c:tx>
          <c:spPr>
            <a:ln w="19050" cap="rnd">
              <a:solidFill>
                <a:schemeClr val="accent6">
                  <a:lumMod val="75000"/>
                  <a:alpha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graph'!$C$2:$C$26</c:f>
              <c:numCache>
                <c:formatCode>General</c:formatCode>
                <c:ptCount val="2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16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28</c:v>
                </c:pt>
                <c:pt idx="15">
                  <c:v>28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30</c:v>
                </c:pt>
                <c:pt idx="21">
                  <c:v>30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</c:numCache>
            </c:numRef>
          </c:xVal>
          <c:yVal>
            <c:numRef>
              <c:f>'HSFO import flows graph'!$E$2:$E$26</c:f>
              <c:numCache>
                <c:formatCode>General</c:formatCode>
                <c:ptCount val="25"/>
                <c:pt idx="0">
                  <c:v>2.762</c:v>
                </c:pt>
                <c:pt idx="1">
                  <c:v>4.5309999999999997</c:v>
                </c:pt>
                <c:pt idx="2">
                  <c:v>21.253</c:v>
                </c:pt>
                <c:pt idx="3">
                  <c:v>38.350999999999999</c:v>
                </c:pt>
                <c:pt idx="4">
                  <c:v>54.751999999999995</c:v>
                </c:pt>
                <c:pt idx="5">
                  <c:v>70.671999999999997</c:v>
                </c:pt>
                <c:pt idx="6">
                  <c:v>74.688999999999993</c:v>
                </c:pt>
                <c:pt idx="7">
                  <c:v>85.033999999999992</c:v>
                </c:pt>
                <c:pt idx="8">
                  <c:v>87.009999999999991</c:v>
                </c:pt>
                <c:pt idx="9">
                  <c:v>147.12199999999999</c:v>
                </c:pt>
                <c:pt idx="10">
                  <c:v>149.45999999999998</c:v>
                </c:pt>
                <c:pt idx="11">
                  <c:v>163.84399999999999</c:v>
                </c:pt>
                <c:pt idx="12">
                  <c:v>178.84299999999999</c:v>
                </c:pt>
                <c:pt idx="13">
                  <c:v>224.43</c:v>
                </c:pt>
                <c:pt idx="14">
                  <c:v>241.55500000000001</c:v>
                </c:pt>
                <c:pt idx="15">
                  <c:v>258.68</c:v>
                </c:pt>
                <c:pt idx="16">
                  <c:v>296.06200000000001</c:v>
                </c:pt>
                <c:pt idx="17">
                  <c:v>392.786</c:v>
                </c:pt>
                <c:pt idx="18">
                  <c:v>409.50799999999998</c:v>
                </c:pt>
                <c:pt idx="19">
                  <c:v>426.22299999999996</c:v>
                </c:pt>
                <c:pt idx="20">
                  <c:v>431.73899999999998</c:v>
                </c:pt>
                <c:pt idx="21">
                  <c:v>433.91799999999995</c:v>
                </c:pt>
                <c:pt idx="22">
                  <c:v>446.07599999999996</c:v>
                </c:pt>
                <c:pt idx="23">
                  <c:v>457.96499999999997</c:v>
                </c:pt>
                <c:pt idx="24">
                  <c:v>478.52799999999996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49-428A-A634-0988CDA77A70}"/>
            </c:ext>
          </c:extLst>
        </c:ser>
        <c:ser>
          <c:idx val="2"/>
          <c:order val="1"/>
          <c:tx>
            <c:v>Feb.24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graph'!$C$27:$C$44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17</c:v>
                </c:pt>
                <c:pt idx="8">
                  <c:v>17</c:v>
                </c:pt>
                <c:pt idx="9">
                  <c:v>19</c:v>
                </c:pt>
                <c:pt idx="10">
                  <c:v>19</c:v>
                </c:pt>
                <c:pt idx="11">
                  <c:v>21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</c:numCache>
            </c:numRef>
          </c:xVal>
          <c:yVal>
            <c:numRef>
              <c:f>'HSFO import flows graph'!$E$27:$E$44</c:f>
              <c:numCache>
                <c:formatCode>General</c:formatCode>
                <c:ptCount val="18"/>
                <c:pt idx="0">
                  <c:v>11.677</c:v>
                </c:pt>
                <c:pt idx="1">
                  <c:v>26.706</c:v>
                </c:pt>
                <c:pt idx="2">
                  <c:v>43.694000000000003</c:v>
                </c:pt>
                <c:pt idx="3">
                  <c:v>60.409000000000006</c:v>
                </c:pt>
                <c:pt idx="4">
                  <c:v>201.83100000000002</c:v>
                </c:pt>
                <c:pt idx="5">
                  <c:v>211.721</c:v>
                </c:pt>
                <c:pt idx="6">
                  <c:v>215.42400000000001</c:v>
                </c:pt>
                <c:pt idx="7">
                  <c:v>220.51600000000002</c:v>
                </c:pt>
                <c:pt idx="8">
                  <c:v>230.27800000000002</c:v>
                </c:pt>
                <c:pt idx="9">
                  <c:v>240.60000000000002</c:v>
                </c:pt>
                <c:pt idx="10">
                  <c:v>246.93900000000002</c:v>
                </c:pt>
                <c:pt idx="11">
                  <c:v>261.03400000000005</c:v>
                </c:pt>
                <c:pt idx="12">
                  <c:v>313.68300000000005</c:v>
                </c:pt>
                <c:pt idx="13">
                  <c:v>321.51700000000005</c:v>
                </c:pt>
                <c:pt idx="14">
                  <c:v>323.89700000000005</c:v>
                </c:pt>
                <c:pt idx="15">
                  <c:v>354.53300000000007</c:v>
                </c:pt>
                <c:pt idx="16">
                  <c:v>394.11700000000008</c:v>
                </c:pt>
                <c:pt idx="17">
                  <c:v>463.40400000000011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49-428A-A634-0988CDA77A70}"/>
            </c:ext>
          </c:extLst>
        </c:ser>
        <c:ser>
          <c:idx val="3"/>
          <c:order val="2"/>
          <c:tx>
            <c:v>Mar.24</c:v>
          </c:tx>
          <c:spPr>
            <a:ln w="19050" cap="rnd">
              <a:solidFill>
                <a:schemeClr val="accent4">
                  <a:alpha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graph'!$C$45:$C$71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9</c:v>
                </c:pt>
                <c:pt idx="9">
                  <c:v>12</c:v>
                </c:pt>
                <c:pt idx="10">
                  <c:v>12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18</c:v>
                </c:pt>
                <c:pt idx="19">
                  <c:v>18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23</c:v>
                </c:pt>
                <c:pt idx="24">
                  <c:v>25</c:v>
                </c:pt>
                <c:pt idx="25">
                  <c:v>25</c:v>
                </c:pt>
                <c:pt idx="26">
                  <c:v>29</c:v>
                </c:pt>
              </c:numCache>
            </c:numRef>
          </c:xVal>
          <c:yVal>
            <c:numRef>
              <c:f>'HSFO import flows graph'!$E$45:$E$71</c:f>
              <c:numCache>
                <c:formatCode>General</c:formatCode>
                <c:ptCount val="27"/>
                <c:pt idx="0">
                  <c:v>17.036999999999999</c:v>
                </c:pt>
                <c:pt idx="1">
                  <c:v>113.78100000000001</c:v>
                </c:pt>
                <c:pt idx="2">
                  <c:v>130.50300000000001</c:v>
                </c:pt>
                <c:pt idx="3">
                  <c:v>141.21300000000002</c:v>
                </c:pt>
                <c:pt idx="4">
                  <c:v>147.21000000000004</c:v>
                </c:pt>
                <c:pt idx="5">
                  <c:v>192.93800000000005</c:v>
                </c:pt>
                <c:pt idx="6">
                  <c:v>200.61400000000003</c:v>
                </c:pt>
                <c:pt idx="7">
                  <c:v>204.70100000000002</c:v>
                </c:pt>
                <c:pt idx="8">
                  <c:v>220.79400000000001</c:v>
                </c:pt>
                <c:pt idx="9">
                  <c:v>231.75</c:v>
                </c:pt>
                <c:pt idx="10">
                  <c:v>237.45500000000001</c:v>
                </c:pt>
                <c:pt idx="11">
                  <c:v>264.89400000000001</c:v>
                </c:pt>
                <c:pt idx="12">
                  <c:v>312.774</c:v>
                </c:pt>
                <c:pt idx="13">
                  <c:v>383.62400000000002</c:v>
                </c:pt>
                <c:pt idx="14">
                  <c:v>399.39100000000002</c:v>
                </c:pt>
                <c:pt idx="15">
                  <c:v>409.35599999999999</c:v>
                </c:pt>
                <c:pt idx="16">
                  <c:v>419.54300000000001</c:v>
                </c:pt>
                <c:pt idx="17">
                  <c:v>426.03500000000003</c:v>
                </c:pt>
                <c:pt idx="18">
                  <c:v>429.83600000000001</c:v>
                </c:pt>
                <c:pt idx="19">
                  <c:v>445.935</c:v>
                </c:pt>
                <c:pt idx="20">
                  <c:v>472.096</c:v>
                </c:pt>
                <c:pt idx="21">
                  <c:v>489.78100000000001</c:v>
                </c:pt>
                <c:pt idx="22">
                  <c:v>495.00700000000001</c:v>
                </c:pt>
                <c:pt idx="23">
                  <c:v>572.976</c:v>
                </c:pt>
                <c:pt idx="24">
                  <c:v>587.27200000000005</c:v>
                </c:pt>
                <c:pt idx="25">
                  <c:v>603.83300000000008</c:v>
                </c:pt>
                <c:pt idx="26">
                  <c:v>620.93000000000006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49-428A-A634-0988CDA77A70}"/>
            </c:ext>
          </c:extLst>
        </c:ser>
        <c:ser>
          <c:idx val="4"/>
          <c:order val="3"/>
          <c:tx>
            <c:v>Apr.24</c:v>
          </c:tx>
          <c:spPr>
            <a:ln w="19050" cap="rnd">
              <a:solidFill>
                <a:schemeClr val="accent5">
                  <a:alpha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graph'!$C$72:$C$93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7</c:v>
                </c:pt>
                <c:pt idx="14">
                  <c:v>14</c:v>
                </c:pt>
                <c:pt idx="15">
                  <c:v>17</c:v>
                </c:pt>
                <c:pt idx="16">
                  <c:v>20</c:v>
                </c:pt>
                <c:pt idx="17">
                  <c:v>20</c:v>
                </c:pt>
                <c:pt idx="18">
                  <c:v>23</c:v>
                </c:pt>
                <c:pt idx="19">
                  <c:v>29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'HSFO import flows graph'!$E$72:$E$93</c:f>
              <c:numCache>
                <c:formatCode>General</c:formatCode>
                <c:ptCount val="22"/>
                <c:pt idx="0">
                  <c:v>5.6449999999999996</c:v>
                </c:pt>
                <c:pt idx="1">
                  <c:v>18.318999999999999</c:v>
                </c:pt>
                <c:pt idx="2">
                  <c:v>30.992999999999999</c:v>
                </c:pt>
                <c:pt idx="3">
                  <c:v>40.844000000000001</c:v>
                </c:pt>
                <c:pt idx="4">
                  <c:v>45.262</c:v>
                </c:pt>
                <c:pt idx="5">
                  <c:v>61.977000000000004</c:v>
                </c:pt>
                <c:pt idx="6">
                  <c:v>66.566000000000003</c:v>
                </c:pt>
                <c:pt idx="7">
                  <c:v>84.106999999999999</c:v>
                </c:pt>
                <c:pt idx="8">
                  <c:v>94.281999999999996</c:v>
                </c:pt>
                <c:pt idx="9">
                  <c:v>102.291</c:v>
                </c:pt>
                <c:pt idx="10">
                  <c:v>164.16300000000001</c:v>
                </c:pt>
                <c:pt idx="11">
                  <c:v>206.13800000000001</c:v>
                </c:pt>
                <c:pt idx="12">
                  <c:v>232.869</c:v>
                </c:pt>
                <c:pt idx="13">
                  <c:v>331.09899999999999</c:v>
                </c:pt>
                <c:pt idx="14">
                  <c:v>346.87799999999999</c:v>
                </c:pt>
                <c:pt idx="15">
                  <c:v>422.86500000000001</c:v>
                </c:pt>
                <c:pt idx="16">
                  <c:v>485.97300000000001</c:v>
                </c:pt>
                <c:pt idx="17">
                  <c:v>492.51300000000003</c:v>
                </c:pt>
                <c:pt idx="18">
                  <c:v>508.33000000000004</c:v>
                </c:pt>
                <c:pt idx="19">
                  <c:v>574.78399999999999</c:v>
                </c:pt>
                <c:pt idx="20">
                  <c:v>591.44499999999994</c:v>
                </c:pt>
                <c:pt idx="21">
                  <c:v>620.18599999999992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49-428A-A634-0988CDA77A70}"/>
            </c:ext>
          </c:extLst>
        </c:ser>
        <c:ser>
          <c:idx val="5"/>
          <c:order val="4"/>
          <c:tx>
            <c:v>May.24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graph'!$C$94:$C$109</c:f>
              <c:numCache>
                <c:formatCode>General</c:formatCode>
                <c:ptCount val="1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17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29</c:v>
                </c:pt>
                <c:pt idx="13">
                  <c:v>29</c:v>
                </c:pt>
                <c:pt idx="14">
                  <c:v>31</c:v>
                </c:pt>
                <c:pt idx="15">
                  <c:v>31</c:v>
                </c:pt>
              </c:numCache>
            </c:numRef>
          </c:xVal>
          <c:yVal>
            <c:numRef>
              <c:f>'HSFO import flows graph'!$E$94:$E$109</c:f>
              <c:numCache>
                <c:formatCode>General</c:formatCode>
                <c:ptCount val="16"/>
                <c:pt idx="0">
                  <c:v>103.79600000000001</c:v>
                </c:pt>
                <c:pt idx="1">
                  <c:v>119.575</c:v>
                </c:pt>
                <c:pt idx="2">
                  <c:v>136.28200000000001</c:v>
                </c:pt>
                <c:pt idx="3">
                  <c:v>227.71100000000001</c:v>
                </c:pt>
                <c:pt idx="4">
                  <c:v>267.52600000000001</c:v>
                </c:pt>
                <c:pt idx="5">
                  <c:v>299.11099999999999</c:v>
                </c:pt>
                <c:pt idx="6">
                  <c:v>316.74199999999996</c:v>
                </c:pt>
                <c:pt idx="7">
                  <c:v>333.40299999999996</c:v>
                </c:pt>
                <c:pt idx="8">
                  <c:v>341.07599999999996</c:v>
                </c:pt>
                <c:pt idx="9">
                  <c:v>350.11799999999994</c:v>
                </c:pt>
                <c:pt idx="10">
                  <c:v>366.77899999999994</c:v>
                </c:pt>
                <c:pt idx="11">
                  <c:v>414.25399999999996</c:v>
                </c:pt>
                <c:pt idx="12">
                  <c:v>425.61199999999997</c:v>
                </c:pt>
                <c:pt idx="13">
                  <c:v>436.96999999999997</c:v>
                </c:pt>
                <c:pt idx="14">
                  <c:v>439.69399999999996</c:v>
                </c:pt>
                <c:pt idx="15">
                  <c:v>445.68799999999999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49-428A-A634-0988CDA77A70}"/>
            </c:ext>
          </c:extLst>
        </c:ser>
        <c:ser>
          <c:idx val="6"/>
          <c:order val="5"/>
          <c:tx>
            <c:v>Jun.24</c:v>
          </c:tx>
          <c:spPr>
            <a:ln w="19050" cap="rnd">
              <a:solidFill>
                <a:srgbClr val="7030A0">
                  <a:alpha val="4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graph'!$C$110:$C$116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12</c:v>
                </c:pt>
                <c:pt idx="3">
                  <c:v>13</c:v>
                </c:pt>
                <c:pt idx="4">
                  <c:v>19</c:v>
                </c:pt>
                <c:pt idx="5">
                  <c:v>22</c:v>
                </c:pt>
                <c:pt idx="6">
                  <c:v>28</c:v>
                </c:pt>
              </c:numCache>
            </c:numRef>
          </c:xVal>
          <c:yVal>
            <c:numRef>
              <c:f>'HSFO import flows graph'!$E$110:$E$116</c:f>
              <c:numCache>
                <c:formatCode>General</c:formatCode>
                <c:ptCount val="7"/>
                <c:pt idx="0">
                  <c:v>16.163</c:v>
                </c:pt>
                <c:pt idx="1">
                  <c:v>107.84</c:v>
                </c:pt>
                <c:pt idx="2">
                  <c:v>123.65700000000001</c:v>
                </c:pt>
                <c:pt idx="3">
                  <c:v>133.33100000000002</c:v>
                </c:pt>
                <c:pt idx="4">
                  <c:v>150.03800000000001</c:v>
                </c:pt>
                <c:pt idx="5">
                  <c:v>166.971</c:v>
                </c:pt>
                <c:pt idx="6">
                  <c:v>183.678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49-428A-A634-0988CDA77A70}"/>
            </c:ext>
          </c:extLst>
        </c:ser>
        <c:ser>
          <c:idx val="7"/>
          <c:order val="6"/>
          <c:tx>
            <c:v>Jul.24</c:v>
          </c:tx>
          <c:spPr>
            <a:ln w="19050" cap="rnd">
              <a:solidFill>
                <a:schemeClr val="bg2">
                  <a:lumMod val="50000"/>
                  <a:alpha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graph'!$C$117:$C$136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25</c:v>
                </c:pt>
                <c:pt idx="17">
                  <c:v>28</c:v>
                </c:pt>
                <c:pt idx="18">
                  <c:v>31</c:v>
                </c:pt>
                <c:pt idx="19">
                  <c:v>31</c:v>
                </c:pt>
              </c:numCache>
            </c:numRef>
          </c:xVal>
          <c:yVal>
            <c:numRef>
              <c:f>'HSFO import flows graph'!$E$117:$E$136</c:f>
              <c:numCache>
                <c:formatCode>General</c:formatCode>
                <c:ptCount val="20"/>
                <c:pt idx="0">
                  <c:v>52.012</c:v>
                </c:pt>
                <c:pt idx="1">
                  <c:v>67.829000000000008</c:v>
                </c:pt>
                <c:pt idx="2">
                  <c:v>78.006</c:v>
                </c:pt>
                <c:pt idx="3">
                  <c:v>115.78700000000001</c:v>
                </c:pt>
                <c:pt idx="4">
                  <c:v>118.557</c:v>
                </c:pt>
                <c:pt idx="5">
                  <c:v>134.33600000000001</c:v>
                </c:pt>
                <c:pt idx="6">
                  <c:v>136.51500000000001</c:v>
                </c:pt>
                <c:pt idx="7">
                  <c:v>177.899</c:v>
                </c:pt>
                <c:pt idx="8">
                  <c:v>183.34800000000001</c:v>
                </c:pt>
                <c:pt idx="9">
                  <c:v>279.339</c:v>
                </c:pt>
                <c:pt idx="10">
                  <c:v>329.70100000000002</c:v>
                </c:pt>
                <c:pt idx="11">
                  <c:v>370.78100000000001</c:v>
                </c:pt>
                <c:pt idx="12">
                  <c:v>429.47399999999999</c:v>
                </c:pt>
                <c:pt idx="13">
                  <c:v>473.51</c:v>
                </c:pt>
                <c:pt idx="14">
                  <c:v>483.00799999999998</c:v>
                </c:pt>
                <c:pt idx="15">
                  <c:v>499.66899999999998</c:v>
                </c:pt>
                <c:pt idx="16">
                  <c:v>527.40699999999993</c:v>
                </c:pt>
                <c:pt idx="17">
                  <c:v>535.54899999999998</c:v>
                </c:pt>
                <c:pt idx="18">
                  <c:v>564.24900000000002</c:v>
                </c:pt>
                <c:pt idx="19">
                  <c:v>581.18200000000002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49-428A-A634-0988CDA77A70}"/>
            </c:ext>
          </c:extLst>
        </c:ser>
        <c:ser>
          <c:idx val="8"/>
          <c:order val="7"/>
          <c:tx>
            <c:v>Aug.24</c:v>
          </c:tx>
          <c:spPr>
            <a:ln w="19050" cap="rnd">
              <a:solidFill>
                <a:schemeClr val="accent3">
                  <a:lumMod val="60000"/>
                  <a:lumOff val="40000"/>
                  <a:alpha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graph'!$C$137:$C$152</c:f>
              <c:numCache>
                <c:formatCode>General</c:formatCode>
                <c:ptCount val="16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24</c:v>
                </c:pt>
                <c:pt idx="10">
                  <c:v>25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</c:numCache>
            </c:numRef>
          </c:xVal>
          <c:yVal>
            <c:numRef>
              <c:f>'HSFO import flows graph'!$E$137:$E$152</c:f>
              <c:numCache>
                <c:formatCode>General</c:formatCode>
                <c:ptCount val="16"/>
                <c:pt idx="0">
                  <c:v>16.661000000000001</c:v>
                </c:pt>
                <c:pt idx="1">
                  <c:v>33.383000000000003</c:v>
                </c:pt>
                <c:pt idx="2">
                  <c:v>50.097999999999999</c:v>
                </c:pt>
                <c:pt idx="3">
                  <c:v>126.432</c:v>
                </c:pt>
                <c:pt idx="4">
                  <c:v>180.81200000000001</c:v>
                </c:pt>
                <c:pt idx="5">
                  <c:v>197.53400000000002</c:v>
                </c:pt>
                <c:pt idx="6">
                  <c:v>244.89600000000002</c:v>
                </c:pt>
                <c:pt idx="7">
                  <c:v>251.66500000000002</c:v>
                </c:pt>
                <c:pt idx="8">
                  <c:v>300.60599999999999</c:v>
                </c:pt>
                <c:pt idx="9">
                  <c:v>317.32799999999997</c:v>
                </c:pt>
                <c:pt idx="10">
                  <c:v>325.50299999999999</c:v>
                </c:pt>
                <c:pt idx="11">
                  <c:v>368.72800000000001</c:v>
                </c:pt>
                <c:pt idx="12">
                  <c:v>405.37900000000002</c:v>
                </c:pt>
                <c:pt idx="13">
                  <c:v>427.54600000000005</c:v>
                </c:pt>
                <c:pt idx="14">
                  <c:v>447.11500000000007</c:v>
                </c:pt>
                <c:pt idx="15">
                  <c:v>474.31000000000006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949-428A-A634-0988CDA77A70}"/>
            </c:ext>
          </c:extLst>
        </c:ser>
        <c:ser>
          <c:idx val="9"/>
          <c:order val="8"/>
          <c:tx>
            <c:v>Sep.24</c:v>
          </c:tx>
          <c:spPr>
            <a:ln w="19050" cap="rnd">
              <a:solidFill>
                <a:schemeClr val="accent2">
                  <a:lumMod val="75000"/>
                  <a:alpha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graph'!$C$153:$C$170</c:f>
              <c:numCache>
                <c:formatCode>General</c:formatCode>
                <c:ptCount val="18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18</c:v>
                </c:pt>
                <c:pt idx="12">
                  <c:v>20</c:v>
                </c:pt>
                <c:pt idx="13">
                  <c:v>23</c:v>
                </c:pt>
                <c:pt idx="14">
                  <c:v>23</c:v>
                </c:pt>
                <c:pt idx="15">
                  <c:v>24</c:v>
                </c:pt>
                <c:pt idx="16">
                  <c:v>26</c:v>
                </c:pt>
                <c:pt idx="17">
                  <c:v>29</c:v>
                </c:pt>
              </c:numCache>
            </c:numRef>
          </c:xVal>
          <c:yVal>
            <c:numRef>
              <c:f>'HSFO import flows graph'!$E$153:$E$170</c:f>
              <c:numCache>
                <c:formatCode>General</c:formatCode>
                <c:ptCount val="18"/>
                <c:pt idx="0">
                  <c:v>13.044</c:v>
                </c:pt>
                <c:pt idx="1">
                  <c:v>16.55</c:v>
                </c:pt>
                <c:pt idx="2">
                  <c:v>25.14</c:v>
                </c:pt>
                <c:pt idx="3">
                  <c:v>27.683</c:v>
                </c:pt>
                <c:pt idx="4">
                  <c:v>32.185000000000002</c:v>
                </c:pt>
                <c:pt idx="5">
                  <c:v>55.492000000000004</c:v>
                </c:pt>
                <c:pt idx="6">
                  <c:v>116.7</c:v>
                </c:pt>
                <c:pt idx="7">
                  <c:v>133.25</c:v>
                </c:pt>
                <c:pt idx="8">
                  <c:v>175.404</c:v>
                </c:pt>
                <c:pt idx="9">
                  <c:v>243.32900000000001</c:v>
                </c:pt>
                <c:pt idx="10">
                  <c:v>260.05099999999999</c:v>
                </c:pt>
                <c:pt idx="11">
                  <c:v>320.57599999999996</c:v>
                </c:pt>
                <c:pt idx="12">
                  <c:v>337.29799999999994</c:v>
                </c:pt>
                <c:pt idx="13">
                  <c:v>404.44299999999993</c:v>
                </c:pt>
                <c:pt idx="14">
                  <c:v>421.14999999999992</c:v>
                </c:pt>
                <c:pt idx="15">
                  <c:v>464.74999999999994</c:v>
                </c:pt>
                <c:pt idx="16">
                  <c:v>469.68099999999993</c:v>
                </c:pt>
                <c:pt idx="17">
                  <c:v>486.18999999999994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949-428A-A634-0988CDA77A70}"/>
            </c:ext>
          </c:extLst>
        </c:ser>
        <c:ser>
          <c:idx val="10"/>
          <c:order val="9"/>
          <c:tx>
            <c:v>Oct.24</c:v>
          </c:tx>
          <c:spPr>
            <a:ln w="19050" cap="rnd">
              <a:solidFill>
                <a:schemeClr val="tx1">
                  <a:alpha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graph'!$C$171:$C$185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16</c:v>
                </c:pt>
                <c:pt idx="8">
                  <c:v>19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31</c:v>
                </c:pt>
              </c:numCache>
            </c:numRef>
          </c:xVal>
          <c:yVal>
            <c:numRef>
              <c:f>'HSFO import flows graph'!$E$171:$E$185</c:f>
              <c:numCache>
                <c:formatCode>General</c:formatCode>
                <c:ptCount val="15"/>
                <c:pt idx="0">
                  <c:v>2.4550000000000001</c:v>
                </c:pt>
                <c:pt idx="1">
                  <c:v>19.177</c:v>
                </c:pt>
                <c:pt idx="2">
                  <c:v>89.216000000000008</c:v>
                </c:pt>
                <c:pt idx="3">
                  <c:v>126.911</c:v>
                </c:pt>
                <c:pt idx="4">
                  <c:v>142.69</c:v>
                </c:pt>
                <c:pt idx="5">
                  <c:v>160.023</c:v>
                </c:pt>
                <c:pt idx="6">
                  <c:v>254.01499999999999</c:v>
                </c:pt>
                <c:pt idx="7">
                  <c:v>269.79399999999998</c:v>
                </c:pt>
                <c:pt idx="8">
                  <c:v>303.339</c:v>
                </c:pt>
                <c:pt idx="9">
                  <c:v>338.44600000000003</c:v>
                </c:pt>
                <c:pt idx="10">
                  <c:v>373.553</c:v>
                </c:pt>
                <c:pt idx="11">
                  <c:v>442.32100000000003</c:v>
                </c:pt>
                <c:pt idx="12">
                  <c:v>443.78300000000002</c:v>
                </c:pt>
                <c:pt idx="13">
                  <c:v>460.505</c:v>
                </c:pt>
                <c:pt idx="14">
                  <c:v>477.09899999999999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49-428A-A634-0988CDA77A70}"/>
            </c:ext>
          </c:extLst>
        </c:ser>
        <c:ser>
          <c:idx val="11"/>
          <c:order val="10"/>
          <c:tx>
            <c:v>Nov.24</c:v>
          </c:tx>
          <c:spPr>
            <a:ln w="19050" cap="rnd">
              <a:solidFill>
                <a:srgbClr val="92D050">
                  <a:alpha val="4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graph'!$C$186:$C$204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13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23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29</c:v>
                </c:pt>
                <c:pt idx="18">
                  <c:v>30</c:v>
                </c:pt>
              </c:numCache>
            </c:numRef>
          </c:xVal>
          <c:yVal>
            <c:numRef>
              <c:f>'HSFO import flows graph'!$E$186:$E$204</c:f>
              <c:numCache>
                <c:formatCode>General</c:formatCode>
                <c:ptCount val="19"/>
                <c:pt idx="0">
                  <c:v>9.5</c:v>
                </c:pt>
                <c:pt idx="1">
                  <c:v>18.100000000000001</c:v>
                </c:pt>
                <c:pt idx="2">
                  <c:v>34.200000000000003</c:v>
                </c:pt>
                <c:pt idx="3">
                  <c:v>36.5</c:v>
                </c:pt>
                <c:pt idx="4">
                  <c:v>137</c:v>
                </c:pt>
                <c:pt idx="5">
                  <c:v>152.1</c:v>
                </c:pt>
                <c:pt idx="6">
                  <c:v>167.7</c:v>
                </c:pt>
                <c:pt idx="7">
                  <c:v>183.1</c:v>
                </c:pt>
                <c:pt idx="8">
                  <c:v>213.4</c:v>
                </c:pt>
                <c:pt idx="9">
                  <c:v>229</c:v>
                </c:pt>
                <c:pt idx="10">
                  <c:v>245.7</c:v>
                </c:pt>
                <c:pt idx="11">
                  <c:v>256.8</c:v>
                </c:pt>
                <c:pt idx="12">
                  <c:v>272.60000000000002</c:v>
                </c:pt>
                <c:pt idx="13">
                  <c:v>372.6</c:v>
                </c:pt>
                <c:pt idx="14">
                  <c:v>442.6</c:v>
                </c:pt>
                <c:pt idx="15">
                  <c:v>497</c:v>
                </c:pt>
                <c:pt idx="16">
                  <c:v>567.20000000000005</c:v>
                </c:pt>
                <c:pt idx="17">
                  <c:v>622.20000000000005</c:v>
                </c:pt>
                <c:pt idx="18">
                  <c:v>651.20000000000005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49-428A-A634-0988CDA77A70}"/>
            </c:ext>
          </c:extLst>
        </c:ser>
        <c:ser>
          <c:idx val="12"/>
          <c:order val="11"/>
          <c:tx>
            <c:v>Dec.24</c:v>
          </c:tx>
          <c:spPr>
            <a:ln w="15875" cap="rnd">
              <a:solidFill>
                <a:schemeClr val="tx1">
                  <a:alpha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graph'!$C$205:$C$226</c:f>
              <c:numCache>
                <c:formatCode>General</c:formatCode>
                <c:ptCount val="2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14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22</c:v>
                </c:pt>
                <c:pt idx="18">
                  <c:v>24</c:v>
                </c:pt>
                <c:pt idx="19">
                  <c:v>24</c:v>
                </c:pt>
                <c:pt idx="20">
                  <c:v>26</c:v>
                </c:pt>
                <c:pt idx="21">
                  <c:v>26</c:v>
                </c:pt>
              </c:numCache>
            </c:numRef>
          </c:xVal>
          <c:yVal>
            <c:numRef>
              <c:f>'HSFO import flows graph'!$E$205:$E$226</c:f>
              <c:numCache>
                <c:formatCode>General</c:formatCode>
                <c:ptCount val="22"/>
                <c:pt idx="0">
                  <c:v>15.193</c:v>
                </c:pt>
                <c:pt idx="1">
                  <c:v>31.009999999999998</c:v>
                </c:pt>
                <c:pt idx="2">
                  <c:v>46.039000000000001</c:v>
                </c:pt>
                <c:pt idx="3">
                  <c:v>61.817999999999998</c:v>
                </c:pt>
                <c:pt idx="4">
                  <c:v>78.161000000000001</c:v>
                </c:pt>
                <c:pt idx="5">
                  <c:v>79.846000000000004</c:v>
                </c:pt>
                <c:pt idx="6">
                  <c:v>93.65</c:v>
                </c:pt>
                <c:pt idx="7">
                  <c:v>98.14500000000001</c:v>
                </c:pt>
                <c:pt idx="8">
                  <c:v>105.16500000000001</c:v>
                </c:pt>
                <c:pt idx="9">
                  <c:v>112.69300000000001</c:v>
                </c:pt>
                <c:pt idx="10">
                  <c:v>114.06400000000001</c:v>
                </c:pt>
                <c:pt idx="11">
                  <c:v>129.881</c:v>
                </c:pt>
                <c:pt idx="12">
                  <c:v>139.42599999999999</c:v>
                </c:pt>
                <c:pt idx="13">
                  <c:v>156.148</c:v>
                </c:pt>
                <c:pt idx="14">
                  <c:v>172.809</c:v>
                </c:pt>
                <c:pt idx="15">
                  <c:v>185.47299999999998</c:v>
                </c:pt>
                <c:pt idx="16">
                  <c:v>201.81599999999997</c:v>
                </c:pt>
                <c:pt idx="17">
                  <c:v>272.89699999999999</c:v>
                </c:pt>
                <c:pt idx="18">
                  <c:v>289.33999999999997</c:v>
                </c:pt>
                <c:pt idx="19">
                  <c:v>306.04699999999997</c:v>
                </c:pt>
                <c:pt idx="20">
                  <c:v>333.94599999999997</c:v>
                </c:pt>
                <c:pt idx="21">
                  <c:v>350.66799999999995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949-428A-A634-0988CDA77A70}"/>
            </c:ext>
          </c:extLst>
        </c:ser>
        <c:ser>
          <c:idx val="13"/>
          <c:order val="12"/>
          <c:tx>
            <c:v>Jan.25</c:v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'HSFO import flows graph'!$C$227:$C$246</c:f>
              <c:numCache>
                <c:formatCode>General</c:formatCode>
                <c:ptCount val="20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15</c:v>
                </c:pt>
                <c:pt idx="9">
                  <c:v>16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'HSFO import flows graph'!$E$227:$E$246</c:f>
              <c:numCache>
                <c:formatCode>General</c:formatCode>
                <c:ptCount val="20"/>
                <c:pt idx="0">
                  <c:v>15.8</c:v>
                </c:pt>
                <c:pt idx="1">
                  <c:v>55.7</c:v>
                </c:pt>
                <c:pt idx="2">
                  <c:v>72.400000000000006</c:v>
                </c:pt>
                <c:pt idx="3">
                  <c:v>89.100000000000009</c:v>
                </c:pt>
                <c:pt idx="4">
                  <c:v>129.20000000000002</c:v>
                </c:pt>
                <c:pt idx="5">
                  <c:v>144.80000000000001</c:v>
                </c:pt>
                <c:pt idx="6">
                  <c:v>244.8</c:v>
                </c:pt>
                <c:pt idx="7">
                  <c:v>354.6</c:v>
                </c:pt>
                <c:pt idx="8">
                  <c:v>474.6</c:v>
                </c:pt>
                <c:pt idx="9">
                  <c:v>480.6</c:v>
                </c:pt>
                <c:pt idx="10">
                  <c:v>540.6</c:v>
                </c:pt>
                <c:pt idx="11">
                  <c:v>556.30000000000007</c:v>
                </c:pt>
                <c:pt idx="12">
                  <c:v>595.00000000000011</c:v>
                </c:pt>
                <c:pt idx="13">
                  <c:v>612.00000000000011</c:v>
                </c:pt>
                <c:pt idx="14">
                  <c:v>728.50000000000011</c:v>
                </c:pt>
                <c:pt idx="15">
                  <c:v>808.50000000000011</c:v>
                </c:pt>
                <c:pt idx="16">
                  <c:v>824.30000000000007</c:v>
                </c:pt>
                <c:pt idx="17">
                  <c:v>904.30000000000007</c:v>
                </c:pt>
                <c:pt idx="18">
                  <c:v>1044.3000000000002</c:v>
                </c:pt>
                <c:pt idx="19">
                  <c:v>1061.0000000000002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49-428A-A634-0988CDA77A70}"/>
            </c:ext>
          </c:extLst>
        </c:ser>
        <c:ser>
          <c:idx val="14"/>
          <c:order val="13"/>
          <c:tx>
            <c:v>Feb.25</c:v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D949-428A-A634-0988CDA77A7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949-428A-A634-0988CDA77A70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D7-4575-887A-E377C65C4D2A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D7-4575-887A-E377C65C4D2A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5557-431A-9D29-1972CCDF7574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57-431A-9D29-1972CCDF7574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E618-4E29-A514-840E4D0183FF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618-4E29-A514-840E4D0183FF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E618-4E29-A514-840E4D0183FF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12700" cap="rnd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618-4E29-A514-840E4D0183FF}"/>
              </c:ext>
            </c:extLst>
          </c:dPt>
          <c:xVal>
            <c:numRef>
              <c:f>'HSFO import flows graph'!$C$247:$C$265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17</c:v>
                </c:pt>
                <c:pt idx="12">
                  <c:v>18</c:v>
                </c:pt>
                <c:pt idx="13">
                  <c:v>20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28</c:v>
                </c:pt>
                <c:pt idx="18">
                  <c:v>28</c:v>
                </c:pt>
              </c:numCache>
            </c:numRef>
          </c:xVal>
          <c:yVal>
            <c:numRef>
              <c:f>'HSFO import flows graph'!$E$247:$E$265</c:f>
              <c:numCache>
                <c:formatCode>General</c:formatCode>
                <c:ptCount val="19"/>
                <c:pt idx="0">
                  <c:v>70</c:v>
                </c:pt>
                <c:pt idx="1">
                  <c:v>86.6</c:v>
                </c:pt>
                <c:pt idx="2">
                  <c:v>92.6</c:v>
                </c:pt>
                <c:pt idx="3">
                  <c:v>107.39999999999999</c:v>
                </c:pt>
                <c:pt idx="4">
                  <c:v>217.39999999999998</c:v>
                </c:pt>
                <c:pt idx="5">
                  <c:v>127.39999999999998</c:v>
                </c:pt>
                <c:pt idx="6">
                  <c:v>142.69999999999999</c:v>
                </c:pt>
                <c:pt idx="7">
                  <c:v>252.7</c:v>
                </c:pt>
                <c:pt idx="8">
                  <c:v>269.39999999999998</c:v>
                </c:pt>
                <c:pt idx="9">
                  <c:v>286.09999999999997</c:v>
                </c:pt>
                <c:pt idx="10">
                  <c:v>300.29999999999995</c:v>
                </c:pt>
                <c:pt idx="11">
                  <c:v>316.39999999999998</c:v>
                </c:pt>
                <c:pt idx="12">
                  <c:v>333.09999999999997</c:v>
                </c:pt>
                <c:pt idx="13">
                  <c:v>463.09999999999997</c:v>
                </c:pt>
                <c:pt idx="14">
                  <c:v>555.09999999999991</c:v>
                </c:pt>
                <c:pt idx="15">
                  <c:v>625.09999999999991</c:v>
                </c:pt>
                <c:pt idx="16">
                  <c:v>641.79999999999995</c:v>
                </c:pt>
                <c:pt idx="17">
                  <c:v>691.8</c:v>
                </c:pt>
                <c:pt idx="18">
                  <c:v>703.19999999999993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49-428A-A634-0988CDA77A70}"/>
            </c:ext>
          </c:extLst>
        </c:ser>
        <c:ser>
          <c:idx val="0"/>
          <c:order val="14"/>
          <c:tx>
            <c:v>Mar.25</c:v>
          </c:tx>
          <c:spPr>
            <a:ln w="19050" cap="rnd">
              <a:solidFill>
                <a:srgbClr val="FF0000">
                  <a:alpha val="6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rgbClr val="FF0000">
                    <a:alpha val="60000"/>
                  </a:srgb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618-4E29-A514-840E4D0183FF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rgbClr val="FF0000">
                    <a:alpha val="60000"/>
                  </a:srgb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5CF1-449F-87F2-BDD9E718AB7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9050" cap="rnd">
                <a:solidFill>
                  <a:srgbClr val="FF0000">
                    <a:alpha val="60000"/>
                  </a:srgb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0056-4FAA-83A5-7CEF496707F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rgbClr val="FF0000">
                    <a:alpha val="60000"/>
                  </a:srgb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5CF1-449F-87F2-BDD9E718AB73}"/>
              </c:ext>
            </c:extLst>
          </c:dPt>
          <c:xVal>
            <c:numRef>
              <c:f>'HSFO import flows graph'!$C$266:$C$278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9</c:v>
                </c:pt>
                <c:pt idx="3">
                  <c:v>9</c:v>
                </c:pt>
                <c:pt idx="4">
                  <c:v>13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22</c:v>
                </c:pt>
                <c:pt idx="11">
                  <c:v>23</c:v>
                </c:pt>
                <c:pt idx="12">
                  <c:v>28</c:v>
                </c:pt>
              </c:numCache>
            </c:numRef>
          </c:xVal>
          <c:yVal>
            <c:numRef>
              <c:f>'HSFO import flows graph'!$E$266:$E$278</c:f>
              <c:numCache>
                <c:formatCode>General</c:formatCode>
                <c:ptCount val="13"/>
                <c:pt idx="0">
                  <c:v>17</c:v>
                </c:pt>
                <c:pt idx="1">
                  <c:v>87</c:v>
                </c:pt>
                <c:pt idx="2">
                  <c:v>132</c:v>
                </c:pt>
                <c:pt idx="3">
                  <c:v>149</c:v>
                </c:pt>
                <c:pt idx="4">
                  <c:v>166</c:v>
                </c:pt>
                <c:pt idx="5">
                  <c:v>236</c:v>
                </c:pt>
                <c:pt idx="6">
                  <c:v>306</c:v>
                </c:pt>
                <c:pt idx="7">
                  <c:v>323</c:v>
                </c:pt>
                <c:pt idx="8">
                  <c:v>423</c:v>
                </c:pt>
                <c:pt idx="9">
                  <c:v>493</c:v>
                </c:pt>
                <c:pt idx="10">
                  <c:v>543</c:v>
                </c:pt>
                <c:pt idx="11">
                  <c:v>560</c:v>
                </c:pt>
                <c:pt idx="12">
                  <c:v>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618-4E29-A514-840E4D0183FF}"/>
            </c:ext>
          </c:extLst>
        </c:ser>
        <c:ser>
          <c:idx val="15"/>
          <c:order val="15"/>
          <c:tx>
            <c:v>Apr.25</c:v>
          </c:tx>
          <c:spPr>
            <a:ln w="19050" cap="rnd">
              <a:solidFill>
                <a:schemeClr val="accent4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7A2F-4443-8321-906DCB334B3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7A2F-4443-8321-906DCB334B3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7A2F-4443-8321-906DCB334B3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C513-42EB-84AC-875A94255767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7A2F-4443-8321-906DCB334B3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7A2F-4443-8321-906DCB334B3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8668-4BC4-8FE7-A0FB7D5E6562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C513-42EB-84AC-875A94255767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AFD9-463E-90E0-4027502DC4CA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4600-48A9-ADEB-C73EEC61D327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B0CD-4692-8911-7EE6779EB087}"/>
              </c:ext>
            </c:extLst>
          </c:dPt>
          <c:xVal>
            <c:numRef>
              <c:f>'HSFO import flows graph'!$C$279:$C$292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14</c:v>
                </c:pt>
                <c:pt idx="7">
                  <c:v>14</c:v>
                </c:pt>
                <c:pt idx="8">
                  <c:v>17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25</c:v>
                </c:pt>
                <c:pt idx="13">
                  <c:v>28</c:v>
                </c:pt>
              </c:numCache>
            </c:numRef>
          </c:xVal>
          <c:yVal>
            <c:numRef>
              <c:f>'HSFO import flows graph'!$E$279:$E$292</c:f>
              <c:numCache>
                <c:formatCode>General</c:formatCode>
                <c:ptCount val="14"/>
                <c:pt idx="0">
                  <c:v>21.5</c:v>
                </c:pt>
                <c:pt idx="1">
                  <c:v>172.5</c:v>
                </c:pt>
                <c:pt idx="2">
                  <c:v>242.5</c:v>
                </c:pt>
                <c:pt idx="3">
                  <c:v>259.5</c:v>
                </c:pt>
                <c:pt idx="4">
                  <c:v>293.5</c:v>
                </c:pt>
                <c:pt idx="5">
                  <c:v>310.5</c:v>
                </c:pt>
                <c:pt idx="6">
                  <c:v>340.5</c:v>
                </c:pt>
                <c:pt idx="7">
                  <c:v>400.5</c:v>
                </c:pt>
                <c:pt idx="8">
                  <c:v>415.5</c:v>
                </c:pt>
                <c:pt idx="9">
                  <c:v>430.5</c:v>
                </c:pt>
                <c:pt idx="10">
                  <c:v>500.5</c:v>
                </c:pt>
                <c:pt idx="11">
                  <c:v>520.5</c:v>
                </c:pt>
                <c:pt idx="12">
                  <c:v>620.5</c:v>
                </c:pt>
                <c:pt idx="13">
                  <c:v>637.5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FC7-49D5-A58B-A881A6A824FC}"/>
            </c:ext>
          </c:extLst>
        </c:ser>
        <c:ser>
          <c:idx val="16"/>
          <c:order val="16"/>
          <c:tx>
            <c:v>May.25</c:v>
          </c:tx>
          <c:spPr>
            <a:ln w="12700" cap="rnd">
              <a:solidFill>
                <a:schemeClr val="bg2">
                  <a:lumMod val="2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49D8-4242-B4D6-B7AF60148BD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044E-4951-8097-2E75FC390935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B673-4A31-A11D-2BFCA566F8C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0A95-4595-91A2-BD0A287251A4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4AE4-438F-9B33-012B7198F44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0A95-4595-91A2-BD0A287251A4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5E10-4B2D-97D6-C434A8FCE44A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057E-49F3-AD14-A9B473D1A7CC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0-4B2D-97D6-C434A8FCE44A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2700" cap="rnd">
                <a:solidFill>
                  <a:schemeClr val="bg2">
                    <a:lumMod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0E44-4D04-99C1-E519DBFE8D1C}"/>
              </c:ext>
            </c:extLst>
          </c:dPt>
          <c:xVal>
            <c:numRef>
              <c:f>'HSFO import flows graph'!$C$293:$C$304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13</c:v>
                </c:pt>
                <c:pt idx="6">
                  <c:v>14</c:v>
                </c:pt>
                <c:pt idx="7">
                  <c:v>17</c:v>
                </c:pt>
                <c:pt idx="8">
                  <c:v>23</c:v>
                </c:pt>
                <c:pt idx="9">
                  <c:v>25</c:v>
                </c:pt>
                <c:pt idx="10">
                  <c:v>27</c:v>
                </c:pt>
                <c:pt idx="11">
                  <c:v>31</c:v>
                </c:pt>
              </c:numCache>
            </c:numRef>
          </c:xVal>
          <c:yVal>
            <c:numRef>
              <c:f>'HSFO import flows graph'!$E$293:$E$304</c:f>
              <c:numCache>
                <c:formatCode>General</c:formatCode>
                <c:ptCount val="12"/>
                <c:pt idx="0">
                  <c:v>15</c:v>
                </c:pt>
                <c:pt idx="1">
                  <c:v>115</c:v>
                </c:pt>
                <c:pt idx="2">
                  <c:v>155</c:v>
                </c:pt>
                <c:pt idx="3">
                  <c:v>170</c:v>
                </c:pt>
                <c:pt idx="4">
                  <c:v>270</c:v>
                </c:pt>
                <c:pt idx="5">
                  <c:v>287</c:v>
                </c:pt>
                <c:pt idx="6">
                  <c:v>304</c:v>
                </c:pt>
                <c:pt idx="7">
                  <c:v>404</c:v>
                </c:pt>
                <c:pt idx="8">
                  <c:v>494</c:v>
                </c:pt>
                <c:pt idx="9">
                  <c:v>554</c:v>
                </c:pt>
                <c:pt idx="10">
                  <c:v>624</c:v>
                </c:pt>
                <c:pt idx="11">
                  <c:v>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48EF-4753-9AE3-6C845AF1D9EE}"/>
            </c:ext>
          </c:extLst>
        </c:ser>
        <c:ser>
          <c:idx val="17"/>
          <c:order val="17"/>
          <c:tx>
            <c:v>Jun.25</c:v>
          </c:tx>
          <c:spPr>
            <a:ln w="158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158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5287-4238-A7FA-99656129A8D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58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AAE2-492A-8B48-E23CC966084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58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761-4CC1-81B3-0D0F2FAA0B09}"/>
              </c:ext>
            </c:extLst>
          </c:dPt>
          <c:xVal>
            <c:numRef>
              <c:f>'HSFO import flows graph'!$C$305:$C$310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14</c:v>
                </c:pt>
                <c:pt idx="3">
                  <c:v>18</c:v>
                </c:pt>
                <c:pt idx="4">
                  <c:v>20</c:v>
                </c:pt>
                <c:pt idx="5">
                  <c:v>29</c:v>
                </c:pt>
              </c:numCache>
            </c:numRef>
          </c:xVal>
          <c:yVal>
            <c:numRef>
              <c:f>'HSFO import flows graph'!$E$305:$E$310</c:f>
              <c:numCache>
                <c:formatCode>General</c:formatCode>
                <c:ptCount val="6"/>
                <c:pt idx="0">
                  <c:v>40</c:v>
                </c:pt>
                <c:pt idx="1">
                  <c:v>56</c:v>
                </c:pt>
                <c:pt idx="2">
                  <c:v>72</c:v>
                </c:pt>
                <c:pt idx="3">
                  <c:v>132</c:v>
                </c:pt>
                <c:pt idx="4">
                  <c:v>202</c:v>
                </c:pt>
                <c:pt idx="5">
                  <c:v>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3F5C-4B87-87E5-EB9B6DE5EE0B}"/>
            </c:ext>
          </c:extLst>
        </c:ser>
        <c:ser>
          <c:idx val="18"/>
          <c:order val="18"/>
          <c:tx>
            <c:v>Jul.25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E9D6-49D9-BE89-DFD3CDEF280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D296-498C-A6EB-2333E4F9A19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00C8-432A-AAA9-061F98ABF23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DA83-45B3-B701-94F012046427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6175-49FB-AB54-CE05D5000495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83FD-4B6A-9DA3-888EF6DAB1D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FEB1-42C6-B9D2-41CC23E650DE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878D-4E45-8E34-C44C54DB7443}"/>
              </c:ext>
            </c:extLst>
          </c:dPt>
          <c:xVal>
            <c:numRef>
              <c:f>'HSFO import flows graph'!$C$311:$C$322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17</c:v>
                </c:pt>
                <c:pt idx="8">
                  <c:v>17</c:v>
                </c:pt>
                <c:pt idx="9">
                  <c:v>22</c:v>
                </c:pt>
                <c:pt idx="10">
                  <c:v>28</c:v>
                </c:pt>
                <c:pt idx="11">
                  <c:v>29</c:v>
                </c:pt>
              </c:numCache>
            </c:numRef>
          </c:xVal>
          <c:yVal>
            <c:numRef>
              <c:f>'HSFO import flows graph'!$E$311:$E$322</c:f>
              <c:numCache>
                <c:formatCode>General</c:formatCode>
                <c:ptCount val="12"/>
                <c:pt idx="0">
                  <c:v>17</c:v>
                </c:pt>
                <c:pt idx="1">
                  <c:v>77</c:v>
                </c:pt>
                <c:pt idx="2">
                  <c:v>102</c:v>
                </c:pt>
                <c:pt idx="3">
                  <c:v>112</c:v>
                </c:pt>
                <c:pt idx="4">
                  <c:v>127</c:v>
                </c:pt>
                <c:pt idx="5">
                  <c:v>227</c:v>
                </c:pt>
                <c:pt idx="6">
                  <c:v>242</c:v>
                </c:pt>
                <c:pt idx="7">
                  <c:v>362</c:v>
                </c:pt>
                <c:pt idx="8">
                  <c:v>378</c:v>
                </c:pt>
                <c:pt idx="9">
                  <c:v>394</c:v>
                </c:pt>
                <c:pt idx="10">
                  <c:v>410</c:v>
                </c:pt>
                <c:pt idx="11">
                  <c:v>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E9D6-49D9-BE89-DFD3CDEF280A}"/>
            </c:ext>
          </c:extLst>
        </c:ser>
        <c:ser>
          <c:idx val="19"/>
          <c:order val="19"/>
          <c:tx>
            <c:v>Aug.25</c:v>
          </c:tx>
          <c:spPr>
            <a:ln w="317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31750" cap="rnd">
                <a:solidFill>
                  <a:srgbClr val="FFFF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CB8A-4154-A6BE-565D37E2F18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1750" cap="rnd">
                <a:solidFill>
                  <a:srgbClr val="FFFF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CB8A-4154-A6BE-565D37E2F186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1750" cap="rnd">
                <a:solidFill>
                  <a:srgbClr val="FFFF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CB8A-4154-A6BE-565D37E2F186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1750" cap="rnd">
                <a:solidFill>
                  <a:srgbClr val="FFFF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CB8A-4154-A6BE-565D37E2F186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1750" cap="rnd">
                <a:solidFill>
                  <a:srgbClr val="FFFF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4-A275-4B6A-BE7B-C980C7100D93}"/>
              </c:ext>
            </c:extLst>
          </c:dPt>
          <c:xVal>
            <c:numRef>
              <c:f>'HSFO import flows graph'!$C$323:$C$332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  <c:pt idx="6">
                  <c:v>16</c:v>
                </c:pt>
                <c:pt idx="7">
                  <c:v>19</c:v>
                </c:pt>
                <c:pt idx="8">
                  <c:v>22</c:v>
                </c:pt>
                <c:pt idx="9">
                  <c:v>26</c:v>
                </c:pt>
              </c:numCache>
            </c:numRef>
          </c:xVal>
          <c:yVal>
            <c:numRef>
              <c:f>'HSFO import flows graph'!$E$323:$E$332</c:f>
              <c:numCache>
                <c:formatCode>General</c:formatCode>
                <c:ptCount val="10"/>
                <c:pt idx="0">
                  <c:v>17</c:v>
                </c:pt>
                <c:pt idx="1">
                  <c:v>57</c:v>
                </c:pt>
                <c:pt idx="2">
                  <c:v>74</c:v>
                </c:pt>
                <c:pt idx="3">
                  <c:v>91</c:v>
                </c:pt>
                <c:pt idx="4">
                  <c:v>108</c:v>
                </c:pt>
                <c:pt idx="5">
                  <c:v>208</c:v>
                </c:pt>
                <c:pt idx="6">
                  <c:v>258</c:v>
                </c:pt>
                <c:pt idx="7">
                  <c:v>275</c:v>
                </c:pt>
                <c:pt idx="8">
                  <c:v>295</c:v>
                </c:pt>
                <c:pt idx="9">
                  <c:v>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CB8A-4154-A6BE-565D37E2F186}"/>
            </c:ext>
          </c:extLst>
        </c:ser>
        <c:ser>
          <c:idx val="20"/>
          <c:order val="20"/>
          <c:tx>
            <c:v>Sep.25</c:v>
          </c:tx>
          <c:spPr>
            <a:ln w="317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1750" cap="rnd">
                <a:solidFill>
                  <a:srgbClr val="00B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6401-4188-A389-3C19AF88E29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1750" cap="rnd">
                <a:solidFill>
                  <a:srgbClr val="00B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EDBA-44F9-A1BD-B6969326EFE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1750" cap="rnd">
                <a:solidFill>
                  <a:srgbClr val="00B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B96B-467E-953C-72E9F894364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1750" cap="rnd">
                <a:solidFill>
                  <a:srgbClr val="00B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C-B96B-467E-953C-72E9F8943649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1750" cap="rnd">
                <a:solidFill>
                  <a:srgbClr val="00B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9EB1-428B-A096-DD5990AB4BB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1750" cap="rnd">
                <a:solidFill>
                  <a:srgbClr val="00B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B96B-467E-953C-72E9F8943649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1750" cap="rnd">
                <a:solidFill>
                  <a:srgbClr val="00B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0-358F-4BC0-8062-5E3BEA070A82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1750" cap="rnd">
                <a:solidFill>
                  <a:srgbClr val="00B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2-A5FD-4B43-A3AD-94203AD2F966}"/>
              </c:ext>
            </c:extLst>
          </c:dPt>
          <c:xVal>
            <c:numRef>
              <c:f>'HSFO import flows graph'!$C$333:$C$344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13</c:v>
                </c:pt>
                <c:pt idx="7">
                  <c:v>13</c:v>
                </c:pt>
                <c:pt idx="8">
                  <c:v>18</c:v>
                </c:pt>
                <c:pt idx="9">
                  <c:v>18</c:v>
                </c:pt>
                <c:pt idx="10">
                  <c:v>26</c:v>
                </c:pt>
                <c:pt idx="11">
                  <c:v>27</c:v>
                </c:pt>
              </c:numCache>
            </c:numRef>
          </c:xVal>
          <c:yVal>
            <c:numRef>
              <c:f>'HSFO import flows graph'!$E$333:$E$344</c:f>
              <c:numCache>
                <c:formatCode>General</c:formatCode>
                <c:ptCount val="12"/>
                <c:pt idx="0">
                  <c:v>15</c:v>
                </c:pt>
                <c:pt idx="1">
                  <c:v>85</c:v>
                </c:pt>
                <c:pt idx="2">
                  <c:v>185</c:v>
                </c:pt>
                <c:pt idx="3">
                  <c:v>197</c:v>
                </c:pt>
                <c:pt idx="4">
                  <c:v>257</c:v>
                </c:pt>
                <c:pt idx="5">
                  <c:v>272</c:v>
                </c:pt>
                <c:pt idx="6">
                  <c:v>332</c:v>
                </c:pt>
                <c:pt idx="7">
                  <c:v>348</c:v>
                </c:pt>
                <c:pt idx="8">
                  <c:v>448</c:v>
                </c:pt>
                <c:pt idx="9">
                  <c:v>508</c:v>
                </c:pt>
                <c:pt idx="10">
                  <c:v>523</c:v>
                </c:pt>
                <c:pt idx="11">
                  <c:v>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FB5F-43BE-AFFC-71A7E7D7ADBC}"/>
            </c:ext>
          </c:extLst>
        </c:ser>
        <c:ser>
          <c:idx val="21"/>
          <c:order val="21"/>
          <c:tx>
            <c:v>Oct.25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dPt>
            <c:idx val="1"/>
            <c:marker>
              <c:symbol val="square"/>
              <c:size val="5"/>
              <c:spPr>
                <a:solidFill>
                  <a:srgbClr val="00B0F0"/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6-DF12-4BF3-82DB-7B4FB72C8387}"/>
              </c:ext>
            </c:extLst>
          </c:dPt>
          <c:dPt>
            <c:idx val="2"/>
            <c:marker>
              <c:symbol val="square"/>
              <c:size val="5"/>
              <c:spPr>
                <a:solidFill>
                  <a:srgbClr val="00B0F0"/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6-6489-496C-9892-AE7C3998FABF}"/>
              </c:ext>
            </c:extLst>
          </c:dPt>
          <c:dPt>
            <c:idx val="3"/>
            <c:marker>
              <c:symbol val="square"/>
              <c:size val="5"/>
              <c:spPr>
                <a:solidFill>
                  <a:srgbClr val="00B0F0"/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A-8FB9-429A-8F97-09FB3598B806}"/>
              </c:ext>
            </c:extLst>
          </c:dPt>
          <c:dPt>
            <c:idx val="4"/>
            <c:marker>
              <c:symbol val="square"/>
              <c:size val="5"/>
              <c:spPr>
                <a:solidFill>
                  <a:srgbClr val="00B0F0"/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8FB9-429A-8F97-09FB3598B806}"/>
              </c:ext>
            </c:extLst>
          </c:dPt>
          <c:dPt>
            <c:idx val="5"/>
            <c:marker>
              <c:symbol val="square"/>
              <c:size val="5"/>
              <c:spPr>
                <a:solidFill>
                  <a:srgbClr val="00B0F0"/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C-8FB9-429A-8F97-09FB3598B806}"/>
              </c:ext>
            </c:extLst>
          </c:dPt>
          <c:dLbls>
            <c:dLbl>
              <c:idx val="1"/>
              <c:layout>
                <c:manualLayout>
                  <c:x val="-2.1020895299501737E-2"/>
                  <c:y val="-0.21419544343790889"/>
                </c:manualLayout>
              </c:layout>
              <c:tx>
                <c:rich>
                  <a:bodyPr/>
                  <a:lstStyle/>
                  <a:p>
                    <a:fld id="{210A4D16-5A7B-431C-8F0A-A0270B1C738C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{210A4D16-5A7B-431C-8F0A-A0270B1C738C}</c15:txfldGUID>
                      <c15:f>'HSFO import flows graph'!$G$346:$H$346</c15:f>
                      <c15:dlblFieldTableCache>
                        <c:ptCount val="2"/>
                        <c:pt idx="0">
                          <c:v>[SAU]</c:v>
                        </c:pt>
                        <c:pt idx="1">
                          <c:v>ADAM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DF12-4BF3-82DB-7B4FB72C8387}"/>
                </c:ext>
              </c:extLst>
            </c:dLbl>
            <c:dLbl>
              <c:idx val="3"/>
              <c:layout>
                <c:manualLayout>
                  <c:x val="-0.15257278244110323"/>
                  <c:y val="-0.31450892306173334"/>
                </c:manualLayout>
              </c:layout>
              <c:tx>
                <c:rich>
                  <a:bodyPr/>
                  <a:lstStyle/>
                  <a:p>
                    <a:fld id="{E80C6ED3-EDB3-46D4-964C-67A22C44D7EE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{E80C6ED3-EDB3-46D4-964C-67A22C44D7EE}</c15:txfldGUID>
                      <c15:f>'HSFO import flows graph'!$G$348:$H$348</c15:f>
                      <c15:dlblFieldTableCache>
                        <c:ptCount val="2"/>
                        <c:pt idx="0">
                          <c:v>[CAN]</c:v>
                        </c:pt>
                        <c:pt idx="1">
                          <c:v>CAPE TALLIN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8FB9-429A-8F97-09FB3598B806}"/>
                </c:ext>
              </c:extLst>
            </c:dLbl>
            <c:dLbl>
              <c:idx val="6"/>
              <c:layout>
                <c:manualLayout>
                  <c:x val="-9.7759496132102608E-2"/>
                  <c:y val="-0.28525082483811787"/>
                </c:manualLayout>
              </c:layout>
              <c:tx>
                <c:rich>
                  <a:bodyPr/>
                  <a:lstStyle/>
                  <a:p>
                    <a:fld id="{B0096695-F804-4A1C-95E0-782F7B3A552F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{B0096695-F804-4A1C-95E0-782F7B3A552F}</c15:txfldGUID>
                      <c15:f>'HSFO import flows graph'!$G$351:$H$351</c15:f>
                      <c15:dlblFieldTableCache>
                        <c:ptCount val="2"/>
                        <c:pt idx="0">
                          <c:v>[USA]</c:v>
                        </c:pt>
                        <c:pt idx="1">
                          <c:v>CHEMTRANS NOVA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ED3D-400E-BE1C-3B56C815D7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'HSFO import flows graph'!$C$345:$C$352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20</c:v>
                </c:pt>
                <c:pt idx="7">
                  <c:v>21</c:v>
                </c:pt>
              </c:numCache>
            </c:numRef>
          </c:xVal>
          <c:yVal>
            <c:numRef>
              <c:f>'HSFO import flows graph'!$E$345:$E$352</c:f>
              <c:numCache>
                <c:formatCode>General</c:formatCode>
                <c:ptCount val="8"/>
                <c:pt idx="0">
                  <c:v>15</c:v>
                </c:pt>
                <c:pt idx="1">
                  <c:v>115</c:v>
                </c:pt>
                <c:pt idx="2">
                  <c:v>130</c:v>
                </c:pt>
                <c:pt idx="3">
                  <c:v>180</c:v>
                </c:pt>
                <c:pt idx="4">
                  <c:v>195</c:v>
                </c:pt>
                <c:pt idx="5">
                  <c:v>295</c:v>
                </c:pt>
                <c:pt idx="6">
                  <c:v>350</c:v>
                </c:pt>
                <c:pt idx="7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CE64-4955-8FCA-6ABCA9488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152072"/>
        <c:axId val="1057148464"/>
      </c:scatterChart>
      <c:valAx>
        <c:axId val="105715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 of the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148464"/>
        <c:crosses val="autoZero"/>
        <c:crossBetween val="midCat"/>
      </c:valAx>
      <c:valAx>
        <c:axId val="10571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Quantity of HSFO importations</a:t>
                </a:r>
                <a:r>
                  <a:rPr lang="en-GB" baseline="0"/>
                  <a:t> (Kt)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152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662203412105479"/>
          <c:y val="0.10655443931577518"/>
          <c:w val="8.9030588187564166E-2"/>
          <c:h val="0.819754646656628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271</xdr:row>
      <xdr:rowOff>95249</xdr:rowOff>
    </xdr:from>
    <xdr:to>
      <xdr:col>24</xdr:col>
      <xdr:colOff>542925</xdr:colOff>
      <xdr:row>305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361949</xdr:colOff>
      <xdr:row>235</xdr:row>
      <xdr:rowOff>66676</xdr:rowOff>
    </xdr:from>
    <xdr:to>
      <xdr:col>25</xdr:col>
      <xdr:colOff>485775</xdr:colOff>
      <xdr:row>267</xdr:row>
      <xdr:rowOff>47626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IRE Charles" refreshedDate="45745.749014351852" createdVersion="6" refreshedVersion="6" minRefreshableVersion="3" recordCount="742" xr:uid="{00000000-000A-0000-FFFF-FFFF08000000}">
  <cacheSource type="worksheet">
    <worksheetSource ref="A1:G1048576" sheet="Net export-import table"/>
  </cacheSource>
  <cacheFields count="7">
    <cacheField name="YEAR" numFmtId="0">
      <sharedItems containsString="0" containsBlank="1" containsNumber="1" containsInteger="1" minValue="2022" maxValue="2025" count="5">
        <n v="2022"/>
        <n v="2023"/>
        <n v="2024"/>
        <n v="2025"/>
        <m/>
      </sharedItems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DAY" numFmtId="0">
      <sharedItems containsString="0" containsBlank="1" containsNumber="1" containsInteger="1" minValue="1" maxValue="31"/>
    </cacheField>
    <cacheField name="FROM_COUNTRY" numFmtId="0">
      <sharedItems containsBlank="1" count="45">
        <s v="Russia"/>
        <s v="Germany"/>
        <s v="Estonia"/>
        <s v="Canada"/>
        <s v="Poland"/>
        <s v="Latvia"/>
        <s v="Greece"/>
        <s v="Sweden"/>
        <s v="Portugal"/>
        <s v="Italy"/>
        <s v="Bulgaria"/>
        <s v="Turkey"/>
        <s v="Mexico"/>
        <s v="United States"/>
        <s v="Lithuania"/>
        <s v="Saudi Arabia"/>
        <s v="Ireland"/>
        <s v="Colombia"/>
        <s v="United Arab Emirates"/>
        <s v="Jordan"/>
        <s v="Spain"/>
        <s v="Bahrain"/>
        <s v="Iraq"/>
        <s v="Oman"/>
        <s v="Malaysia"/>
        <s v="Denmark"/>
        <s v="Romania"/>
        <s v="Finland"/>
        <m/>
        <s v="Chile"/>
        <s v="Algeria"/>
        <s v="Georgia"/>
        <s v="Singapore"/>
        <s v="Venezuela"/>
        <s v="Malta"/>
        <s v="Caribbean Netherlands"/>
        <s v="Senegal"/>
        <s v="Bahamas"/>
        <s v="Columbia"/>
        <s v="Brazil"/>
        <s v="Egypt "/>
        <s v="United Kingdom"/>
        <s v="USA"/>
        <s v="France"/>
        <s v="Peru"/>
      </sharedItems>
    </cacheField>
    <cacheField name="TO_COUNTRY" numFmtId="0">
      <sharedItems containsBlank="1"/>
    </cacheField>
    <cacheField name="QTY_MT" numFmtId="0">
      <sharedItems containsString="0" containsBlank="1" containsNumber="1" minValue="-100000" maxValue="152900"/>
    </cacheField>
    <cacheField name="QTY_KT" numFmtId="0">
      <sharedItems containsString="0" containsBlank="1" containsNumber="1" minValue="-100" maxValue="152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IRE Charles" refreshedDate="45950.463711458331" createdVersion="6" refreshedVersion="8" minRefreshableVersion="3" recordCount="800" xr:uid="{00000000-000A-0000-FFFF-FFFF0E000000}">
  <cacheSource type="worksheet">
    <worksheetSource ref="A1:G1048576" sheet="Table import"/>
  </cacheSource>
  <cacheFields count="7">
    <cacheField name="YEAR" numFmtId="0">
      <sharedItems containsString="0" containsBlank="1" containsNumber="1" containsInteger="1" minValue="2022" maxValue="2025" count="5">
        <n v="2022"/>
        <n v="2023"/>
        <n v="2024"/>
        <n v="2025"/>
        <m/>
      </sharedItems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DAY" numFmtId="0">
      <sharedItems containsString="0" containsBlank="1" containsNumber="1" containsInteger="1" minValue="1" maxValue="31"/>
    </cacheField>
    <cacheField name="FROM_COUNTRY" numFmtId="0">
      <sharedItems containsBlank="1" count="52">
        <s v="Russia"/>
        <s v="Germany"/>
        <s v="Estonia"/>
        <s v="Canada"/>
        <s v="Poland"/>
        <s v="Latvia"/>
        <s v="Greece"/>
        <s v="Sweden"/>
        <s v="Portugal"/>
        <s v="Italy"/>
        <s v="Bulgaria"/>
        <s v="Turkey"/>
        <s v="Mexico"/>
        <s v="United States"/>
        <s v="Lithuania"/>
        <s v="Saudi Arabia"/>
        <s v="Ireland"/>
        <s v="Colombia"/>
        <s v="United Arab Emirates"/>
        <s v="Jordan"/>
        <s v="Spain"/>
        <s v="Bahrain"/>
        <s v="Iraq"/>
        <s v="Oman"/>
        <s v="Malaysia"/>
        <s v="Denmark"/>
        <s v="Romania"/>
        <s v="Finland"/>
        <m/>
        <s v="Chile"/>
        <s v="Algeria"/>
        <s v="Georgia"/>
        <s v="Singapore"/>
        <s v="Venezuela"/>
        <s v="Malta"/>
        <s v="Caribbean Netherlands"/>
        <s v="Senegal"/>
        <s v="Bahamas"/>
        <s v="Brazil"/>
        <s v="Peru"/>
        <s v="France"/>
        <s v="Pakistan"/>
        <s v="[USA]" u="1"/>
        <s v="[GRE]" u="1"/>
        <s v="[MEX]" u="1"/>
        <s v="[CAN]" u="1"/>
        <s v="[SAU]" u="1"/>
        <s v="[IT]" u="1"/>
        <s v="Egypt" u="1"/>
        <s v="Merxico" u="1"/>
        <s v="Columbia" u="1"/>
        <s v="USA" u="1"/>
      </sharedItems>
    </cacheField>
    <cacheField name="TO_COUNTRY" numFmtId="0">
      <sharedItems containsBlank="1"/>
    </cacheField>
    <cacheField name="QTY_MT" numFmtId="0">
      <sharedItems containsString="0" containsBlank="1" containsNumber="1" containsInteger="1" minValue="457" maxValue="152900"/>
    </cacheField>
    <cacheField name="QTY_KT" numFmtId="0">
      <sharedItems containsString="0" containsBlank="1" containsNumber="1" minValue="0.45700000000000002" maxValue="152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2">
  <r>
    <x v="0"/>
    <x v="0"/>
    <n v="1"/>
    <x v="0"/>
    <s v="Netherlands"/>
    <n v="101637"/>
    <n v="101.637"/>
  </r>
  <r>
    <x v="0"/>
    <x v="0"/>
    <n v="3"/>
    <x v="1"/>
    <s v="Belgium"/>
    <n v="10691"/>
    <n v="10.691000000000001"/>
  </r>
  <r>
    <x v="0"/>
    <x v="0"/>
    <n v="5"/>
    <x v="0"/>
    <s v="Netherlands"/>
    <n v="96721"/>
    <n v="96.721000000000004"/>
  </r>
  <r>
    <x v="0"/>
    <x v="0"/>
    <n v="6"/>
    <x v="0"/>
    <s v="Netherlands"/>
    <n v="89768"/>
    <n v="89.768000000000001"/>
  </r>
  <r>
    <x v="0"/>
    <x v="0"/>
    <n v="9"/>
    <x v="0"/>
    <s v="Netherlands"/>
    <n v="31307"/>
    <n v="31.306999999999999"/>
  </r>
  <r>
    <x v="0"/>
    <x v="0"/>
    <n v="14"/>
    <x v="2"/>
    <s v="Netherlands"/>
    <n v="103458"/>
    <n v="103.458"/>
  </r>
  <r>
    <x v="0"/>
    <x v="0"/>
    <n v="14"/>
    <x v="0"/>
    <s v="Netherlands"/>
    <n v="85689"/>
    <n v="85.688999999999993"/>
  </r>
  <r>
    <x v="0"/>
    <x v="0"/>
    <n v="18"/>
    <x v="0"/>
    <s v="Netherlands"/>
    <n v="99558"/>
    <n v="99.558000000000007"/>
  </r>
  <r>
    <x v="0"/>
    <x v="0"/>
    <n v="19"/>
    <x v="3"/>
    <s v="Belgium"/>
    <n v="1791"/>
    <n v="1.7909999999999999"/>
  </r>
  <r>
    <x v="0"/>
    <x v="0"/>
    <n v="19"/>
    <x v="0"/>
    <s v="Netherlands"/>
    <n v="60075"/>
    <n v="60.075000000000003"/>
  </r>
  <r>
    <x v="0"/>
    <x v="0"/>
    <n v="21"/>
    <x v="0"/>
    <s v="Netherlands"/>
    <n v="99636"/>
    <n v="99.635999999999996"/>
  </r>
  <r>
    <x v="0"/>
    <x v="0"/>
    <n v="23"/>
    <x v="0"/>
    <s v="Netherlands"/>
    <n v="87290"/>
    <n v="87.29"/>
  </r>
  <r>
    <x v="0"/>
    <x v="0"/>
    <n v="25"/>
    <x v="0"/>
    <s v="Belgium"/>
    <n v="33757"/>
    <n v="33.756999999999998"/>
  </r>
  <r>
    <x v="0"/>
    <x v="0"/>
    <n v="31"/>
    <x v="0"/>
    <s v="Netherlands"/>
    <n v="101663"/>
    <n v="101.663"/>
  </r>
  <r>
    <x v="0"/>
    <x v="1"/>
    <n v="3"/>
    <x v="0"/>
    <s v="Netherlands"/>
    <n v="85797"/>
    <n v="85.796999999999997"/>
  </r>
  <r>
    <x v="0"/>
    <x v="1"/>
    <n v="4"/>
    <x v="4"/>
    <s v="Netherlands"/>
    <n v="6131"/>
    <n v="6.1310000000000002"/>
  </r>
  <r>
    <x v="0"/>
    <x v="1"/>
    <n v="5"/>
    <x v="1"/>
    <s v="Netherlands"/>
    <n v="1706"/>
    <n v="1.706"/>
  </r>
  <r>
    <x v="0"/>
    <x v="1"/>
    <n v="9"/>
    <x v="4"/>
    <s v="Netherlands"/>
    <n v="17308"/>
    <n v="17.308"/>
  </r>
  <r>
    <x v="0"/>
    <x v="1"/>
    <n v="10"/>
    <x v="0"/>
    <s v="Belgium"/>
    <n v="23756"/>
    <n v="23.756"/>
  </r>
  <r>
    <x v="0"/>
    <x v="1"/>
    <n v="11"/>
    <x v="0"/>
    <s v="Netherlands"/>
    <n v="17108"/>
    <n v="17.108000000000001"/>
  </r>
  <r>
    <x v="0"/>
    <x v="1"/>
    <n v="12"/>
    <x v="3"/>
    <s v="Netherlands"/>
    <n v="4496"/>
    <n v="4.4960000000000004"/>
  </r>
  <r>
    <x v="0"/>
    <x v="1"/>
    <n v="12"/>
    <x v="3"/>
    <s v="Netherlands"/>
    <n v="2860"/>
    <n v="2.86"/>
  </r>
  <r>
    <x v="0"/>
    <x v="1"/>
    <n v="12"/>
    <x v="0"/>
    <s v="Netherlands"/>
    <n v="87744"/>
    <n v="87.744"/>
  </r>
  <r>
    <x v="0"/>
    <x v="1"/>
    <n v="13"/>
    <x v="1"/>
    <s v="Netherlands"/>
    <n v="3090"/>
    <n v="3.09"/>
  </r>
  <r>
    <x v="0"/>
    <x v="1"/>
    <n v="13"/>
    <x v="0"/>
    <s v="Netherlands"/>
    <n v="6404"/>
    <n v="6.4039999999999999"/>
  </r>
  <r>
    <x v="0"/>
    <x v="1"/>
    <n v="14"/>
    <x v="2"/>
    <s v="Netherlands"/>
    <n v="102839"/>
    <n v="102.839"/>
  </r>
  <r>
    <x v="0"/>
    <x v="1"/>
    <n v="14"/>
    <x v="1"/>
    <s v="Netherlands"/>
    <n v="11795"/>
    <n v="11.795"/>
  </r>
  <r>
    <x v="0"/>
    <x v="1"/>
    <n v="14"/>
    <x v="5"/>
    <s v="Belgium"/>
    <n v="954"/>
    <n v="0.95399999999999996"/>
  </r>
  <r>
    <x v="0"/>
    <x v="1"/>
    <n v="16"/>
    <x v="5"/>
    <s v="Belgium"/>
    <n v="1359"/>
    <n v="1.359"/>
  </r>
  <r>
    <x v="0"/>
    <x v="1"/>
    <n v="19"/>
    <x v="0"/>
    <s v="Netherlands"/>
    <n v="44795"/>
    <n v="44.795000000000002"/>
  </r>
  <r>
    <x v="0"/>
    <x v="1"/>
    <n v="21"/>
    <x v="0"/>
    <s v="Netherlands"/>
    <n v="84519"/>
    <n v="84.519000000000005"/>
  </r>
  <r>
    <x v="0"/>
    <x v="1"/>
    <n v="22"/>
    <x v="6"/>
    <s v="Netherlands"/>
    <n v="98439"/>
    <n v="98.438999999999993"/>
  </r>
  <r>
    <x v="0"/>
    <x v="1"/>
    <n v="25"/>
    <x v="4"/>
    <s v="Belgium"/>
    <n v="13770"/>
    <n v="13.77"/>
  </r>
  <r>
    <x v="0"/>
    <x v="1"/>
    <n v="26"/>
    <x v="4"/>
    <s v="Belgium"/>
    <n v="14827"/>
    <n v="14.827"/>
  </r>
  <r>
    <x v="0"/>
    <x v="1"/>
    <n v="26"/>
    <x v="0"/>
    <s v="Netherlands"/>
    <n v="30841"/>
    <n v="30.841000000000001"/>
  </r>
  <r>
    <x v="0"/>
    <x v="2"/>
    <n v="2"/>
    <x v="0"/>
    <s v="Netherlands"/>
    <n v="86432"/>
    <n v="86.432000000000002"/>
  </r>
  <r>
    <x v="0"/>
    <x v="2"/>
    <n v="3"/>
    <x v="7"/>
    <s v="Belgium"/>
    <n v="28919"/>
    <n v="28.919"/>
  </r>
  <r>
    <x v="0"/>
    <x v="2"/>
    <n v="4"/>
    <x v="4"/>
    <s v="Belgium"/>
    <n v="14917"/>
    <n v="14.917"/>
  </r>
  <r>
    <x v="0"/>
    <x v="2"/>
    <n v="8"/>
    <x v="7"/>
    <s v="Belgium"/>
    <n v="713"/>
    <n v="0.71299999999999997"/>
  </r>
  <r>
    <x v="0"/>
    <x v="2"/>
    <n v="9"/>
    <x v="4"/>
    <s v="Netherlands"/>
    <n v="15303"/>
    <n v="15.303000000000001"/>
  </r>
  <r>
    <x v="0"/>
    <x v="2"/>
    <n v="9"/>
    <x v="8"/>
    <s v="Netherlands"/>
    <n v="18716"/>
    <n v="18.716000000000001"/>
  </r>
  <r>
    <x v="0"/>
    <x v="2"/>
    <n v="9"/>
    <x v="0"/>
    <s v="Netherlands"/>
    <n v="98568"/>
    <n v="98.567999999999998"/>
  </r>
  <r>
    <x v="0"/>
    <x v="2"/>
    <n v="11"/>
    <x v="0"/>
    <s v="Netherlands"/>
    <n v="80641"/>
    <n v="80.641000000000005"/>
  </r>
  <r>
    <x v="0"/>
    <x v="2"/>
    <n v="12"/>
    <x v="0"/>
    <s v="Netherlands"/>
    <n v="98566"/>
    <n v="98.566000000000003"/>
  </r>
  <r>
    <x v="0"/>
    <x v="2"/>
    <n v="13"/>
    <x v="9"/>
    <s v="Belgium"/>
    <n v="5527"/>
    <n v="5.5270000000000001"/>
  </r>
  <r>
    <x v="0"/>
    <x v="2"/>
    <n v="14"/>
    <x v="0"/>
    <s v="Netherlands"/>
    <n v="7335"/>
    <n v="7.335"/>
  </r>
  <r>
    <x v="0"/>
    <x v="2"/>
    <n v="17"/>
    <x v="2"/>
    <s v="Netherlands"/>
    <n v="19637"/>
    <n v="19.637"/>
  </r>
  <r>
    <x v="0"/>
    <x v="2"/>
    <n v="17"/>
    <x v="2"/>
    <s v="Netherlands"/>
    <n v="45868"/>
    <n v="45.868000000000002"/>
  </r>
  <r>
    <x v="0"/>
    <x v="2"/>
    <n v="17"/>
    <x v="2"/>
    <s v="Netherlands"/>
    <n v="19637"/>
    <n v="19.637"/>
  </r>
  <r>
    <x v="0"/>
    <x v="2"/>
    <n v="17"/>
    <x v="0"/>
    <s v="Netherlands"/>
    <n v="100056"/>
    <n v="100.056"/>
  </r>
  <r>
    <x v="0"/>
    <x v="2"/>
    <n v="18"/>
    <x v="0"/>
    <s v="Netherlands"/>
    <n v="17047"/>
    <n v="17.047000000000001"/>
  </r>
  <r>
    <x v="0"/>
    <x v="2"/>
    <n v="19"/>
    <x v="7"/>
    <s v="Netherlands"/>
    <n v="37049"/>
    <n v="37.048999999999999"/>
  </r>
  <r>
    <x v="0"/>
    <x v="2"/>
    <n v="21"/>
    <x v="5"/>
    <s v="Belgium"/>
    <n v="3394"/>
    <n v="3.3940000000000001"/>
  </r>
  <r>
    <x v="0"/>
    <x v="2"/>
    <n v="22"/>
    <x v="0"/>
    <s v="Belgium"/>
    <n v="81968"/>
    <n v="81.968000000000004"/>
  </r>
  <r>
    <x v="0"/>
    <x v="2"/>
    <n v="22"/>
    <x v="0"/>
    <s v="Netherlands"/>
    <n v="18641"/>
    <n v="18.640999999999998"/>
  </r>
  <r>
    <x v="0"/>
    <x v="2"/>
    <n v="23"/>
    <x v="10"/>
    <s v="Netherlands"/>
    <n v="33169"/>
    <n v="33.168999999999997"/>
  </r>
  <r>
    <x v="0"/>
    <x v="2"/>
    <n v="23"/>
    <x v="11"/>
    <s v="Netherlands"/>
    <n v="66588"/>
    <n v="66.587999999999994"/>
  </r>
  <r>
    <x v="0"/>
    <x v="2"/>
    <n v="26"/>
    <x v="0"/>
    <s v="Netherlands"/>
    <n v="101891"/>
    <n v="101.89100000000001"/>
  </r>
  <r>
    <x v="0"/>
    <x v="2"/>
    <n v="27"/>
    <x v="0"/>
    <s v="Netherlands"/>
    <n v="82107"/>
    <n v="82.106999999999999"/>
  </r>
  <r>
    <x v="0"/>
    <x v="3"/>
    <n v="1"/>
    <x v="3"/>
    <s v="Netherlands"/>
    <n v="1634"/>
    <n v="1.6339999999999999"/>
  </r>
  <r>
    <x v="0"/>
    <x v="3"/>
    <n v="1"/>
    <x v="3"/>
    <s v="Netherlands"/>
    <n v="4904"/>
    <n v="4.9039999999999999"/>
  </r>
  <r>
    <x v="0"/>
    <x v="3"/>
    <n v="3"/>
    <x v="0"/>
    <s v="Netherlands"/>
    <n v="12378"/>
    <n v="12.378"/>
  </r>
  <r>
    <x v="0"/>
    <x v="3"/>
    <n v="4"/>
    <x v="0"/>
    <s v="Belgium"/>
    <n v="2905"/>
    <n v="2.9049999999999998"/>
  </r>
  <r>
    <x v="0"/>
    <x v="3"/>
    <n v="4"/>
    <x v="0"/>
    <s v="Belgium"/>
    <n v="3756"/>
    <n v="3.7559999999999998"/>
  </r>
  <r>
    <x v="0"/>
    <x v="3"/>
    <n v="5"/>
    <x v="0"/>
    <s v="Netherlands"/>
    <n v="98889"/>
    <n v="98.888999999999996"/>
  </r>
  <r>
    <x v="0"/>
    <x v="3"/>
    <n v="6"/>
    <x v="0"/>
    <s v="Netherlands"/>
    <n v="55653"/>
    <n v="55.652999999999999"/>
  </r>
  <r>
    <x v="0"/>
    <x v="3"/>
    <n v="9"/>
    <x v="0"/>
    <s v="Netherlands"/>
    <n v="6568"/>
    <n v="6.5679999999999996"/>
  </r>
  <r>
    <x v="0"/>
    <x v="3"/>
    <n v="11"/>
    <x v="1"/>
    <s v="Belgium"/>
    <n v="9006"/>
    <n v="9.0060000000000002"/>
  </r>
  <r>
    <x v="0"/>
    <x v="3"/>
    <n v="11"/>
    <x v="0"/>
    <s v="Netherlands"/>
    <n v="31316"/>
    <n v="31.315999999999999"/>
  </r>
  <r>
    <x v="0"/>
    <x v="3"/>
    <n v="13"/>
    <x v="0"/>
    <s v="Netherlands"/>
    <n v="4181"/>
    <n v="4.181"/>
  </r>
  <r>
    <x v="0"/>
    <x v="3"/>
    <n v="17"/>
    <x v="0"/>
    <s v="Netherlands"/>
    <n v="13582"/>
    <n v="13.582000000000001"/>
  </r>
  <r>
    <x v="0"/>
    <x v="3"/>
    <n v="17"/>
    <x v="0"/>
    <s v="Netherlands"/>
    <n v="51675"/>
    <n v="51.674999999999997"/>
  </r>
  <r>
    <x v="0"/>
    <x v="3"/>
    <n v="19"/>
    <x v="12"/>
    <s v="Netherlands"/>
    <n v="26362"/>
    <n v="26.361999999999998"/>
  </r>
  <r>
    <x v="0"/>
    <x v="3"/>
    <n v="19"/>
    <x v="12"/>
    <s v="Netherlands"/>
    <n v="23131"/>
    <n v="23.131"/>
  </r>
  <r>
    <x v="0"/>
    <x v="3"/>
    <n v="19"/>
    <x v="0"/>
    <s v="Netherlands"/>
    <n v="24957"/>
    <n v="24.957000000000001"/>
  </r>
  <r>
    <x v="0"/>
    <x v="3"/>
    <n v="19"/>
    <x v="0"/>
    <s v="Netherlands"/>
    <n v="24957"/>
    <n v="24.957000000000001"/>
  </r>
  <r>
    <x v="0"/>
    <x v="3"/>
    <n v="19"/>
    <x v="0"/>
    <s v="Netherlands"/>
    <n v="32563"/>
    <n v="32.563000000000002"/>
  </r>
  <r>
    <x v="0"/>
    <x v="3"/>
    <n v="19"/>
    <x v="0"/>
    <s v="Netherlands"/>
    <n v="24957"/>
    <n v="24.957000000000001"/>
  </r>
  <r>
    <x v="0"/>
    <x v="3"/>
    <n v="23"/>
    <x v="0"/>
    <s v="Netherlands"/>
    <n v="42790"/>
    <n v="42.79"/>
  </r>
  <r>
    <x v="0"/>
    <x v="3"/>
    <n v="24"/>
    <x v="6"/>
    <s v="Netherlands"/>
    <n v="31419"/>
    <n v="31.419"/>
  </r>
  <r>
    <x v="0"/>
    <x v="3"/>
    <n v="24"/>
    <x v="0"/>
    <s v="Netherlands"/>
    <n v="30322"/>
    <n v="30.321999999999999"/>
  </r>
  <r>
    <x v="0"/>
    <x v="3"/>
    <n v="25"/>
    <x v="1"/>
    <s v="Netherlands"/>
    <n v="5258"/>
    <n v="5.258"/>
  </r>
  <r>
    <x v="0"/>
    <x v="3"/>
    <n v="25"/>
    <x v="0"/>
    <s v="Netherlands"/>
    <n v="54176"/>
    <n v="54.176000000000002"/>
  </r>
  <r>
    <x v="0"/>
    <x v="3"/>
    <n v="27"/>
    <x v="4"/>
    <s v="Belgium"/>
    <n v="16715"/>
    <n v="16.715"/>
  </r>
  <r>
    <x v="0"/>
    <x v="3"/>
    <n v="30"/>
    <x v="10"/>
    <s v="Netherlands"/>
    <n v="34794"/>
    <n v="34.793999999999997"/>
  </r>
  <r>
    <x v="0"/>
    <x v="3"/>
    <n v="30"/>
    <x v="0"/>
    <s v="Netherlands"/>
    <n v="25940"/>
    <n v="25.94"/>
  </r>
  <r>
    <x v="0"/>
    <x v="4"/>
    <n v="1"/>
    <x v="9"/>
    <s v="Netherlands"/>
    <n v="6750"/>
    <n v="6.75"/>
  </r>
  <r>
    <x v="0"/>
    <x v="4"/>
    <n v="1"/>
    <x v="0"/>
    <s v="Netherlands"/>
    <n v="10827"/>
    <n v="10.827"/>
  </r>
  <r>
    <x v="0"/>
    <x v="4"/>
    <n v="1"/>
    <x v="0"/>
    <s v="Netherlands"/>
    <n v="31657"/>
    <n v="31.657"/>
  </r>
  <r>
    <x v="0"/>
    <x v="4"/>
    <n v="1"/>
    <x v="13"/>
    <s v="Belgium"/>
    <n v="7675"/>
    <n v="7.6749999999999998"/>
  </r>
  <r>
    <x v="0"/>
    <x v="4"/>
    <n v="3"/>
    <x v="0"/>
    <s v="Netherlands"/>
    <n v="19219"/>
    <n v="19.219000000000001"/>
  </r>
  <r>
    <x v="0"/>
    <x v="4"/>
    <n v="4"/>
    <x v="3"/>
    <s v="Netherlands"/>
    <n v="9831"/>
    <n v="9.8309999999999995"/>
  </r>
  <r>
    <x v="0"/>
    <x v="4"/>
    <n v="4"/>
    <x v="0"/>
    <s v="Netherlands"/>
    <n v="48850"/>
    <n v="48.85"/>
  </r>
  <r>
    <x v="0"/>
    <x v="4"/>
    <n v="4"/>
    <x v="0"/>
    <s v="Netherlands"/>
    <n v="51212"/>
    <n v="51.212000000000003"/>
  </r>
  <r>
    <x v="0"/>
    <x v="4"/>
    <n v="11"/>
    <x v="0"/>
    <s v="Netherlands"/>
    <n v="31633"/>
    <n v="31.632999999999999"/>
  </r>
  <r>
    <x v="0"/>
    <x v="4"/>
    <n v="12"/>
    <x v="3"/>
    <s v="Netherlands"/>
    <n v="10355"/>
    <n v="10.355"/>
  </r>
  <r>
    <x v="0"/>
    <x v="4"/>
    <n v="12"/>
    <x v="3"/>
    <s v="Netherlands"/>
    <n v="2179"/>
    <n v="2.1789999999999998"/>
  </r>
  <r>
    <x v="0"/>
    <x v="4"/>
    <n v="17"/>
    <x v="0"/>
    <s v="Netherlands"/>
    <n v="30419"/>
    <n v="30.419"/>
  </r>
  <r>
    <x v="0"/>
    <x v="4"/>
    <n v="19"/>
    <x v="0"/>
    <s v="Netherlands"/>
    <n v="19987"/>
    <n v="19.986999999999998"/>
  </r>
  <r>
    <x v="0"/>
    <x v="4"/>
    <n v="19"/>
    <x v="0"/>
    <s v="Netherlands"/>
    <n v="103419"/>
    <n v="103.419"/>
  </r>
  <r>
    <x v="0"/>
    <x v="4"/>
    <n v="19"/>
    <x v="0"/>
    <s v="Netherlands"/>
    <n v="98022"/>
    <n v="98.022000000000006"/>
  </r>
  <r>
    <x v="0"/>
    <x v="4"/>
    <n v="20"/>
    <x v="14"/>
    <s v="Netherlands"/>
    <n v="20092"/>
    <n v="20.091999999999999"/>
  </r>
  <r>
    <x v="0"/>
    <x v="4"/>
    <n v="21"/>
    <x v="15"/>
    <s v="Netherlands"/>
    <n v="62586"/>
    <n v="62.585999999999999"/>
  </r>
  <r>
    <x v="0"/>
    <x v="4"/>
    <n v="24"/>
    <x v="10"/>
    <s v="Netherlands"/>
    <n v="8056"/>
    <n v="8.0559999999999992"/>
  </r>
  <r>
    <x v="0"/>
    <x v="4"/>
    <n v="24"/>
    <x v="10"/>
    <s v="Netherlands"/>
    <n v="8056"/>
    <n v="8.0559999999999992"/>
  </r>
  <r>
    <x v="0"/>
    <x v="4"/>
    <n v="26"/>
    <x v="0"/>
    <s v="Netherlands"/>
    <n v="31314"/>
    <n v="31.314"/>
  </r>
  <r>
    <x v="0"/>
    <x v="4"/>
    <n v="27"/>
    <x v="9"/>
    <s v="Netherlands"/>
    <n v="32895"/>
    <n v="32.895000000000003"/>
  </r>
  <r>
    <x v="0"/>
    <x v="4"/>
    <n v="29"/>
    <x v="10"/>
    <s v="Netherlands"/>
    <n v="10528"/>
    <n v="10.528"/>
  </r>
  <r>
    <x v="0"/>
    <x v="4"/>
    <n v="29"/>
    <x v="10"/>
    <s v="Netherlands"/>
    <n v="7438"/>
    <n v="7.4379999999999997"/>
  </r>
  <r>
    <x v="0"/>
    <x v="4"/>
    <n v="30"/>
    <x v="0"/>
    <s v="Netherlands"/>
    <n v="129163"/>
    <n v="129.16300000000001"/>
  </r>
  <r>
    <x v="0"/>
    <x v="5"/>
    <n v="4"/>
    <x v="16"/>
    <s v="Belgium"/>
    <n v="30407"/>
    <n v="30.407"/>
  </r>
  <r>
    <x v="0"/>
    <x v="5"/>
    <n v="4"/>
    <x v="4"/>
    <s v="Belgium"/>
    <n v="18991"/>
    <n v="18.991"/>
  </r>
  <r>
    <x v="0"/>
    <x v="5"/>
    <n v="4"/>
    <x v="0"/>
    <s v="Netherlands"/>
    <n v="15984"/>
    <n v="15.984"/>
  </r>
  <r>
    <x v="0"/>
    <x v="5"/>
    <n v="4"/>
    <x v="0"/>
    <s v="Netherlands"/>
    <n v="75947"/>
    <n v="75.947000000000003"/>
  </r>
  <r>
    <x v="0"/>
    <x v="5"/>
    <n v="7"/>
    <x v="4"/>
    <s v="Belgium"/>
    <n v="18991"/>
    <n v="18.991"/>
  </r>
  <r>
    <x v="0"/>
    <x v="5"/>
    <n v="9"/>
    <x v="14"/>
    <s v="Netherlands"/>
    <n v="30553"/>
    <n v="30.553000000000001"/>
  </r>
  <r>
    <x v="0"/>
    <x v="5"/>
    <n v="10"/>
    <x v="0"/>
    <s v="Netherlands"/>
    <n v="48366"/>
    <n v="48.366"/>
  </r>
  <r>
    <x v="0"/>
    <x v="5"/>
    <n v="13"/>
    <x v="0"/>
    <s v="Netherlands"/>
    <n v="31023"/>
    <n v="31.023"/>
  </r>
  <r>
    <x v="0"/>
    <x v="5"/>
    <n v="17"/>
    <x v="4"/>
    <s v="Belgium"/>
    <n v="18227"/>
    <n v="18.227"/>
  </r>
  <r>
    <x v="0"/>
    <x v="5"/>
    <n v="22"/>
    <x v="0"/>
    <s v="Netherlands"/>
    <n v="30988"/>
    <n v="30.988"/>
  </r>
  <r>
    <x v="0"/>
    <x v="5"/>
    <n v="23"/>
    <x v="2"/>
    <s v="Netherlands"/>
    <n v="13641"/>
    <n v="13.641"/>
  </r>
  <r>
    <x v="0"/>
    <x v="5"/>
    <n v="23"/>
    <x v="2"/>
    <s v="Netherlands"/>
    <n v="7607"/>
    <n v="7.6070000000000002"/>
  </r>
  <r>
    <x v="0"/>
    <x v="5"/>
    <n v="26"/>
    <x v="4"/>
    <s v="Netherlands"/>
    <n v="18998"/>
    <n v="18.998000000000001"/>
  </r>
  <r>
    <x v="0"/>
    <x v="5"/>
    <n v="29"/>
    <x v="0"/>
    <s v="Netherlands"/>
    <n v="84118"/>
    <n v="84.117999999999995"/>
  </r>
  <r>
    <x v="0"/>
    <x v="6"/>
    <n v="1"/>
    <x v="0"/>
    <s v="Netherlands"/>
    <n v="70098"/>
    <n v="70.097999999999999"/>
  </r>
  <r>
    <x v="0"/>
    <x v="6"/>
    <n v="5"/>
    <x v="10"/>
    <s v="Netherlands"/>
    <n v="19529"/>
    <n v="19.529"/>
  </r>
  <r>
    <x v="0"/>
    <x v="6"/>
    <n v="5"/>
    <x v="3"/>
    <s v="Netherlands"/>
    <n v="33631"/>
    <n v="33.631"/>
  </r>
  <r>
    <x v="0"/>
    <x v="6"/>
    <n v="6"/>
    <x v="17"/>
    <s v="Netherlands"/>
    <n v="53917"/>
    <n v="53.917000000000002"/>
  </r>
  <r>
    <x v="0"/>
    <x v="6"/>
    <n v="6"/>
    <x v="2"/>
    <s v="Netherlands"/>
    <n v="33124"/>
    <n v="33.124000000000002"/>
  </r>
  <r>
    <x v="0"/>
    <x v="6"/>
    <n v="8"/>
    <x v="3"/>
    <s v="Netherlands"/>
    <n v="2071"/>
    <n v="2.0710000000000002"/>
  </r>
  <r>
    <x v="0"/>
    <x v="6"/>
    <n v="10"/>
    <x v="0"/>
    <s v="Netherlands"/>
    <n v="107515"/>
    <n v="107.515"/>
  </r>
  <r>
    <x v="0"/>
    <x v="6"/>
    <n v="11"/>
    <x v="17"/>
    <s v="Netherlands"/>
    <n v="42319"/>
    <n v="42.319000000000003"/>
  </r>
  <r>
    <x v="0"/>
    <x v="6"/>
    <n v="11"/>
    <x v="0"/>
    <s v="Belgium"/>
    <n v="17614"/>
    <n v="17.614000000000001"/>
  </r>
  <r>
    <x v="0"/>
    <x v="6"/>
    <n v="11"/>
    <x v="0"/>
    <s v="Netherlands"/>
    <n v="29216"/>
    <n v="29.216000000000001"/>
  </r>
  <r>
    <x v="0"/>
    <x v="6"/>
    <n v="12"/>
    <x v="4"/>
    <s v="Netherlands"/>
    <n v="18849"/>
    <n v="18.849"/>
  </r>
  <r>
    <x v="0"/>
    <x v="6"/>
    <n v="13"/>
    <x v="9"/>
    <s v="Belgium"/>
    <n v="3685"/>
    <n v="3.6850000000000001"/>
  </r>
  <r>
    <x v="0"/>
    <x v="6"/>
    <n v="13"/>
    <x v="11"/>
    <s v="Belgium"/>
    <n v="5895"/>
    <n v="5.8949999999999996"/>
  </r>
  <r>
    <x v="0"/>
    <x v="6"/>
    <n v="14"/>
    <x v="14"/>
    <s v="Belgium"/>
    <n v="37530"/>
    <n v="37.53"/>
  </r>
  <r>
    <x v="0"/>
    <x v="6"/>
    <n v="15"/>
    <x v="0"/>
    <s v="Netherlands"/>
    <n v="19770"/>
    <n v="19.77"/>
  </r>
  <r>
    <x v="0"/>
    <x v="6"/>
    <n v="15"/>
    <x v="0"/>
    <s v="Netherlands"/>
    <n v="37386"/>
    <n v="37.386000000000003"/>
  </r>
  <r>
    <x v="0"/>
    <x v="6"/>
    <n v="16"/>
    <x v="4"/>
    <s v="Netherlands"/>
    <n v="14813"/>
    <n v="14.813000000000001"/>
  </r>
  <r>
    <x v="0"/>
    <x v="6"/>
    <n v="21"/>
    <x v="9"/>
    <s v="Netherlands"/>
    <n v="8903"/>
    <n v="8.9030000000000005"/>
  </r>
  <r>
    <x v="0"/>
    <x v="6"/>
    <n v="23"/>
    <x v="15"/>
    <s v="Netherlands"/>
    <n v="82187"/>
    <n v="82.186999999999998"/>
  </r>
  <r>
    <x v="0"/>
    <x v="6"/>
    <n v="25"/>
    <x v="0"/>
    <s v="Netherlands"/>
    <n v="140752"/>
    <n v="140.75200000000001"/>
  </r>
  <r>
    <x v="0"/>
    <x v="6"/>
    <n v="28"/>
    <x v="0"/>
    <s v="Netherlands"/>
    <n v="36567"/>
    <n v="36.567"/>
  </r>
  <r>
    <x v="0"/>
    <x v="6"/>
    <n v="30"/>
    <x v="0"/>
    <s v="Netherlands"/>
    <n v="6194"/>
    <n v="6.194"/>
  </r>
  <r>
    <x v="0"/>
    <x v="6"/>
    <n v="30"/>
    <x v="0"/>
    <s v="Netherlands"/>
    <n v="6047"/>
    <n v="6.0469999999999997"/>
  </r>
  <r>
    <x v="0"/>
    <x v="6"/>
    <n v="31"/>
    <x v="4"/>
    <s v="Netherlands"/>
    <n v="17590"/>
    <n v="17.59"/>
  </r>
  <r>
    <x v="0"/>
    <x v="7"/>
    <n v="1"/>
    <x v="4"/>
    <s v="Netherlands"/>
    <n v="8469"/>
    <n v="8.4689999999999994"/>
  </r>
  <r>
    <x v="0"/>
    <x v="7"/>
    <n v="3"/>
    <x v="3"/>
    <s v="Netherlands"/>
    <n v="17068"/>
    <n v="17.068000000000001"/>
  </r>
  <r>
    <x v="0"/>
    <x v="7"/>
    <n v="3"/>
    <x v="17"/>
    <s v="Netherlands"/>
    <n v="17068"/>
    <n v="17.068000000000001"/>
  </r>
  <r>
    <x v="0"/>
    <x v="7"/>
    <n v="4"/>
    <x v="14"/>
    <s v="Netherlands"/>
    <n v="81600"/>
    <n v="81.599999999999994"/>
  </r>
  <r>
    <x v="0"/>
    <x v="7"/>
    <n v="4"/>
    <x v="7"/>
    <s v="Belgium"/>
    <n v="9038"/>
    <n v="9.0380000000000003"/>
  </r>
  <r>
    <x v="0"/>
    <x v="7"/>
    <n v="12"/>
    <x v="4"/>
    <s v="Netherlands"/>
    <n v="13083"/>
    <n v="13.083"/>
  </r>
  <r>
    <x v="0"/>
    <x v="7"/>
    <n v="14"/>
    <x v="3"/>
    <s v="Netherlands"/>
    <n v="4359"/>
    <n v="4.359"/>
  </r>
  <r>
    <x v="0"/>
    <x v="7"/>
    <n v="19"/>
    <x v="1"/>
    <s v="Netherlands"/>
    <n v="4985"/>
    <n v="4.9850000000000003"/>
  </r>
  <r>
    <x v="0"/>
    <x v="7"/>
    <n v="23"/>
    <x v="4"/>
    <s v="Belgium"/>
    <n v="13669"/>
    <n v="13.669"/>
  </r>
  <r>
    <x v="0"/>
    <x v="7"/>
    <n v="31"/>
    <x v="15"/>
    <s v="Netherlands"/>
    <n v="25844"/>
    <n v="25.844000000000001"/>
  </r>
  <r>
    <x v="0"/>
    <x v="7"/>
    <n v="31"/>
    <x v="13"/>
    <s v="Netherlands"/>
    <n v="16594"/>
    <n v="16.594000000000001"/>
  </r>
  <r>
    <x v="0"/>
    <x v="8"/>
    <n v="1"/>
    <x v="1"/>
    <s v="Netherlands"/>
    <n v="12273"/>
    <n v="12.273"/>
  </r>
  <r>
    <x v="0"/>
    <x v="8"/>
    <n v="1"/>
    <x v="14"/>
    <s v="Netherlands"/>
    <n v="108299"/>
    <n v="108.29900000000001"/>
  </r>
  <r>
    <x v="0"/>
    <x v="8"/>
    <n v="5"/>
    <x v="6"/>
    <s v="Netherlands"/>
    <n v="99742"/>
    <n v="99.742000000000004"/>
  </r>
  <r>
    <x v="0"/>
    <x v="8"/>
    <n v="9"/>
    <x v="9"/>
    <s v="Netherlands"/>
    <n v="11146"/>
    <n v="11.146000000000001"/>
  </r>
  <r>
    <x v="0"/>
    <x v="8"/>
    <n v="10"/>
    <x v="15"/>
    <s v="Netherlands"/>
    <n v="86607"/>
    <n v="86.606999999999999"/>
  </r>
  <r>
    <x v="0"/>
    <x v="8"/>
    <n v="11"/>
    <x v="9"/>
    <s v="Netherlands"/>
    <n v="3980"/>
    <n v="3.98"/>
  </r>
  <r>
    <x v="0"/>
    <x v="8"/>
    <n v="17"/>
    <x v="17"/>
    <s v="Netherlands"/>
    <n v="38684"/>
    <n v="38.683999999999997"/>
  </r>
  <r>
    <x v="0"/>
    <x v="8"/>
    <n v="20"/>
    <x v="4"/>
    <s v="Netherlands"/>
    <n v="17412"/>
    <n v="17.411999999999999"/>
  </r>
  <r>
    <x v="0"/>
    <x v="8"/>
    <n v="23"/>
    <x v="15"/>
    <s v="Netherlands"/>
    <n v="73703"/>
    <n v="73.703000000000003"/>
  </r>
  <r>
    <x v="0"/>
    <x v="8"/>
    <n v="25"/>
    <x v="4"/>
    <s v="Netherlands"/>
    <n v="16722"/>
    <n v="16.722000000000001"/>
  </r>
  <r>
    <x v="0"/>
    <x v="8"/>
    <n v="28"/>
    <x v="12"/>
    <s v="Netherlands"/>
    <n v="33984"/>
    <n v="33.984000000000002"/>
  </r>
  <r>
    <x v="0"/>
    <x v="8"/>
    <n v="28"/>
    <x v="12"/>
    <s v="Netherlands"/>
    <n v="6618"/>
    <n v="6.6180000000000003"/>
  </r>
  <r>
    <x v="0"/>
    <x v="8"/>
    <n v="28"/>
    <x v="12"/>
    <s v="Netherlands"/>
    <n v="33461"/>
    <n v="33.460999999999999"/>
  </r>
  <r>
    <x v="0"/>
    <x v="8"/>
    <n v="28"/>
    <x v="12"/>
    <s v="Netherlands"/>
    <n v="17061"/>
    <n v="17.061"/>
  </r>
  <r>
    <x v="0"/>
    <x v="8"/>
    <n v="28"/>
    <x v="11"/>
    <s v="Netherlands"/>
    <n v="35559"/>
    <n v="35.558999999999997"/>
  </r>
  <r>
    <x v="0"/>
    <x v="8"/>
    <n v="30"/>
    <x v="4"/>
    <s v="Netherlands"/>
    <n v="9205"/>
    <n v="9.2050000000000001"/>
  </r>
  <r>
    <x v="0"/>
    <x v="9"/>
    <n v="1"/>
    <x v="4"/>
    <s v="Netherlands"/>
    <n v="9786"/>
    <n v="9.7859999999999996"/>
  </r>
  <r>
    <x v="0"/>
    <x v="9"/>
    <n v="1"/>
    <x v="18"/>
    <s v="Netherlands"/>
    <n v="29991"/>
    <n v="29.991"/>
  </r>
  <r>
    <x v="0"/>
    <x v="9"/>
    <n v="1"/>
    <x v="18"/>
    <s v="Netherlands"/>
    <n v="55697"/>
    <n v="55.697000000000003"/>
  </r>
  <r>
    <x v="0"/>
    <x v="9"/>
    <n v="2"/>
    <x v="15"/>
    <s v="Netherlands"/>
    <n v="36558"/>
    <n v="36.558"/>
  </r>
  <r>
    <x v="0"/>
    <x v="9"/>
    <n v="3"/>
    <x v="14"/>
    <s v="Netherlands"/>
    <n v="75606"/>
    <n v="75.605999999999995"/>
  </r>
  <r>
    <x v="0"/>
    <x v="9"/>
    <n v="5"/>
    <x v="15"/>
    <s v="Netherlands"/>
    <n v="35703"/>
    <n v="35.703000000000003"/>
  </r>
  <r>
    <x v="0"/>
    <x v="9"/>
    <n v="7"/>
    <x v="10"/>
    <s v="Netherlands"/>
    <n v="34370"/>
    <n v="34.369999999999997"/>
  </r>
  <r>
    <x v="0"/>
    <x v="9"/>
    <n v="8"/>
    <x v="6"/>
    <s v="Netherlands"/>
    <n v="83951"/>
    <n v="83.950999999999993"/>
  </r>
  <r>
    <x v="0"/>
    <x v="9"/>
    <n v="8"/>
    <x v="4"/>
    <s v="Netherlands"/>
    <n v="6071"/>
    <n v="6.0709999999999997"/>
  </r>
  <r>
    <x v="0"/>
    <x v="9"/>
    <n v="9"/>
    <x v="12"/>
    <s v="Netherlands"/>
    <n v="71966"/>
    <n v="71.965999999999994"/>
  </r>
  <r>
    <x v="0"/>
    <x v="9"/>
    <n v="9"/>
    <x v="4"/>
    <s v="Netherlands"/>
    <n v="6227"/>
    <n v="6.2270000000000003"/>
  </r>
  <r>
    <x v="0"/>
    <x v="9"/>
    <n v="9"/>
    <x v="15"/>
    <s v="Netherlands"/>
    <n v="36558"/>
    <n v="36.558"/>
  </r>
  <r>
    <x v="0"/>
    <x v="9"/>
    <n v="10"/>
    <x v="19"/>
    <s v="Netherlands"/>
    <n v="84425"/>
    <n v="84.424999999999997"/>
  </r>
  <r>
    <x v="0"/>
    <x v="9"/>
    <n v="10"/>
    <x v="20"/>
    <s v="Netherlands"/>
    <n v="22951"/>
    <n v="22.951000000000001"/>
  </r>
  <r>
    <x v="0"/>
    <x v="9"/>
    <n v="11"/>
    <x v="4"/>
    <s v="Netherlands"/>
    <n v="6693"/>
    <n v="6.6929999999999996"/>
  </r>
  <r>
    <x v="0"/>
    <x v="9"/>
    <n v="14"/>
    <x v="15"/>
    <s v="Netherlands"/>
    <n v="53112"/>
    <n v="53.112000000000002"/>
  </r>
  <r>
    <x v="0"/>
    <x v="9"/>
    <n v="15"/>
    <x v="10"/>
    <s v="Netherlands"/>
    <n v="30880"/>
    <n v="30.88"/>
  </r>
  <r>
    <x v="0"/>
    <x v="9"/>
    <n v="17"/>
    <x v="17"/>
    <s v="Netherlands"/>
    <n v="102092"/>
    <n v="102.092"/>
  </r>
  <r>
    <x v="0"/>
    <x v="9"/>
    <n v="20"/>
    <x v="15"/>
    <s v="Netherlands"/>
    <n v="47220"/>
    <n v="47.22"/>
  </r>
  <r>
    <x v="0"/>
    <x v="9"/>
    <n v="21"/>
    <x v="4"/>
    <s v="Netherlands"/>
    <n v="18724"/>
    <n v="18.724"/>
  </r>
  <r>
    <x v="0"/>
    <x v="9"/>
    <n v="29"/>
    <x v="21"/>
    <s v="Netherlands"/>
    <n v="80882"/>
    <n v="80.882000000000005"/>
  </r>
  <r>
    <x v="0"/>
    <x v="9"/>
    <n v="29"/>
    <x v="4"/>
    <s v="Netherlands"/>
    <n v="16722"/>
    <n v="16.722000000000001"/>
  </r>
  <r>
    <x v="0"/>
    <x v="9"/>
    <n v="29"/>
    <x v="15"/>
    <s v="Netherlands"/>
    <n v="81422"/>
    <n v="81.421999999999997"/>
  </r>
  <r>
    <x v="0"/>
    <x v="10"/>
    <n v="7"/>
    <x v="3"/>
    <s v="Netherlands"/>
    <n v="1635"/>
    <n v="1.635"/>
  </r>
  <r>
    <x v="0"/>
    <x v="10"/>
    <n v="7"/>
    <x v="3"/>
    <s v="Netherlands"/>
    <n v="8175"/>
    <n v="8.1750000000000007"/>
  </r>
  <r>
    <x v="0"/>
    <x v="10"/>
    <n v="8"/>
    <x v="4"/>
    <s v="Netherlands"/>
    <n v="16722"/>
    <n v="16.722000000000001"/>
  </r>
  <r>
    <x v="0"/>
    <x v="10"/>
    <n v="9"/>
    <x v="14"/>
    <s v="Netherlands"/>
    <n v="75412"/>
    <n v="75.412000000000006"/>
  </r>
  <r>
    <x v="0"/>
    <x v="10"/>
    <n v="14"/>
    <x v="4"/>
    <s v="Netherlands"/>
    <n v="18998"/>
    <n v="18.998000000000001"/>
  </r>
  <r>
    <x v="0"/>
    <x v="10"/>
    <n v="15"/>
    <x v="22"/>
    <s v="Netherlands"/>
    <n v="104376"/>
    <n v="104.376"/>
  </r>
  <r>
    <x v="0"/>
    <x v="10"/>
    <n v="15"/>
    <x v="23"/>
    <s v="Netherlands"/>
    <n v="8142"/>
    <n v="8.1419999999999995"/>
  </r>
  <r>
    <x v="0"/>
    <x v="10"/>
    <n v="15"/>
    <x v="18"/>
    <s v="Netherlands"/>
    <n v="29211"/>
    <n v="29.210999999999999"/>
  </r>
  <r>
    <x v="0"/>
    <x v="10"/>
    <n v="18"/>
    <x v="4"/>
    <s v="Netherlands"/>
    <n v="16722"/>
    <n v="16.722000000000001"/>
  </r>
  <r>
    <x v="0"/>
    <x v="10"/>
    <n v="18"/>
    <x v="15"/>
    <s v="Netherlands"/>
    <n v="84595"/>
    <n v="84.594999999999999"/>
  </r>
  <r>
    <x v="0"/>
    <x v="10"/>
    <n v="21"/>
    <x v="17"/>
    <s v="Netherlands"/>
    <n v="17770"/>
    <n v="17.77"/>
  </r>
  <r>
    <x v="0"/>
    <x v="10"/>
    <n v="22"/>
    <x v="4"/>
    <s v="Netherlands"/>
    <n v="18998"/>
    <n v="18.998000000000001"/>
  </r>
  <r>
    <x v="0"/>
    <x v="10"/>
    <n v="23"/>
    <x v="17"/>
    <s v="Netherlands"/>
    <n v="26467"/>
    <n v="26.466999999999999"/>
  </r>
  <r>
    <x v="0"/>
    <x v="10"/>
    <n v="26"/>
    <x v="20"/>
    <s v="Belgium"/>
    <n v="35702"/>
    <n v="35.701999999999998"/>
  </r>
  <r>
    <x v="0"/>
    <x v="10"/>
    <n v="28"/>
    <x v="4"/>
    <s v="Netherlands"/>
    <n v="16722"/>
    <n v="16.722000000000001"/>
  </r>
  <r>
    <x v="0"/>
    <x v="10"/>
    <n v="30"/>
    <x v="6"/>
    <s v="Netherlands"/>
    <n v="30029"/>
    <n v="30.029"/>
  </r>
  <r>
    <x v="0"/>
    <x v="10"/>
    <n v="30"/>
    <x v="4"/>
    <s v="Netherlands"/>
    <n v="18991"/>
    <n v="18.991"/>
  </r>
  <r>
    <x v="0"/>
    <x v="11"/>
    <n v="3"/>
    <x v="1"/>
    <s v="Netherlands"/>
    <n v="8498"/>
    <n v="8.4979999999999993"/>
  </r>
  <r>
    <x v="0"/>
    <x v="11"/>
    <n v="4"/>
    <x v="24"/>
    <s v="Netherlands"/>
    <n v="69502"/>
    <n v="69.501999999999995"/>
  </r>
  <r>
    <x v="0"/>
    <x v="11"/>
    <n v="6"/>
    <x v="4"/>
    <s v="Netherlands"/>
    <n v="16661"/>
    <n v="16.661000000000001"/>
  </r>
  <r>
    <x v="0"/>
    <x v="11"/>
    <n v="10"/>
    <x v="4"/>
    <s v="Netherlands"/>
    <n v="3068"/>
    <n v="3.0680000000000001"/>
  </r>
  <r>
    <x v="0"/>
    <x v="11"/>
    <n v="10"/>
    <x v="4"/>
    <s v="Netherlands"/>
    <n v="7586"/>
    <n v="7.5860000000000003"/>
  </r>
  <r>
    <x v="0"/>
    <x v="11"/>
    <n v="11"/>
    <x v="14"/>
    <s v="Netherlands"/>
    <n v="65664"/>
    <n v="65.664000000000001"/>
  </r>
  <r>
    <x v="0"/>
    <x v="11"/>
    <n v="12"/>
    <x v="4"/>
    <s v="Netherlands"/>
    <n v="17665"/>
    <n v="17.664999999999999"/>
  </r>
  <r>
    <x v="0"/>
    <x v="11"/>
    <n v="17"/>
    <x v="4"/>
    <s v="Netherlands"/>
    <n v="16722"/>
    <n v="16.722000000000001"/>
  </r>
  <r>
    <x v="0"/>
    <x v="11"/>
    <n v="19"/>
    <x v="3"/>
    <s v="Netherlands"/>
    <n v="7629"/>
    <n v="7.6289999999999996"/>
  </r>
  <r>
    <x v="0"/>
    <x v="11"/>
    <n v="19"/>
    <x v="25"/>
    <s v="Netherlands"/>
    <n v="32520"/>
    <n v="32.520000000000003"/>
  </r>
  <r>
    <x v="0"/>
    <x v="11"/>
    <n v="22"/>
    <x v="4"/>
    <s v="Netherlands"/>
    <n v="16750"/>
    <n v="16.75"/>
  </r>
  <r>
    <x v="0"/>
    <x v="11"/>
    <n v="25"/>
    <x v="4"/>
    <s v="Netherlands"/>
    <n v="13118"/>
    <n v="13.118"/>
  </r>
  <r>
    <x v="0"/>
    <x v="11"/>
    <n v="27"/>
    <x v="26"/>
    <s v="Belgium"/>
    <n v="904"/>
    <n v="0.90400000000000003"/>
  </r>
  <r>
    <x v="0"/>
    <x v="11"/>
    <n v="28"/>
    <x v="27"/>
    <s v="Belgium"/>
    <n v="32861"/>
    <n v="32.860999999999997"/>
  </r>
  <r>
    <x v="0"/>
    <x v="11"/>
    <n v="30"/>
    <x v="4"/>
    <s v="Netherlands"/>
    <n v="2165"/>
    <n v="2.165"/>
  </r>
  <r>
    <x v="0"/>
    <x v="11"/>
    <n v="30"/>
    <x v="4"/>
    <s v="Netherlands"/>
    <n v="10225"/>
    <n v="10.225"/>
  </r>
  <r>
    <x v="1"/>
    <x v="0"/>
    <n v="1"/>
    <x v="4"/>
    <s v="Netherlands"/>
    <n v="18227"/>
    <n v="18.227"/>
  </r>
  <r>
    <x v="1"/>
    <x v="0"/>
    <n v="2"/>
    <x v="0"/>
    <s v="Netherlands"/>
    <n v="4753"/>
    <n v="4.7530000000000001"/>
  </r>
  <r>
    <x v="1"/>
    <x v="0"/>
    <n v="3"/>
    <x v="14"/>
    <s v="Netherlands"/>
    <n v="76931"/>
    <n v="76.930999999999997"/>
  </r>
  <r>
    <x v="1"/>
    <x v="0"/>
    <n v="4"/>
    <x v="4"/>
    <s v="Netherlands"/>
    <n v="18193"/>
    <n v="18.193000000000001"/>
  </r>
  <r>
    <x v="1"/>
    <x v="0"/>
    <n v="6"/>
    <x v="4"/>
    <s v="Netherlands"/>
    <n v="10910"/>
    <n v="10.91"/>
  </r>
  <r>
    <x v="1"/>
    <x v="0"/>
    <n v="9"/>
    <x v="4"/>
    <s v="Netherlands"/>
    <n v="16675"/>
    <n v="16.675000000000001"/>
  </r>
  <r>
    <x v="1"/>
    <x v="0"/>
    <n v="14"/>
    <x v="15"/>
    <s v="Netherlands"/>
    <n v="87322"/>
    <n v="87.322000000000003"/>
  </r>
  <r>
    <x v="1"/>
    <x v="0"/>
    <n v="16"/>
    <x v="4"/>
    <s v="Netherlands"/>
    <n v="8964"/>
    <n v="8.9640000000000004"/>
  </r>
  <r>
    <x v="1"/>
    <x v="0"/>
    <n v="19"/>
    <x v="4"/>
    <s v="Netherlands"/>
    <n v="17928"/>
    <n v="17.928000000000001"/>
  </r>
  <r>
    <x v="1"/>
    <x v="0"/>
    <n v="20"/>
    <x v="4"/>
    <s v="Netherlands"/>
    <n v="16715"/>
    <n v="16.715"/>
  </r>
  <r>
    <x v="1"/>
    <x v="0"/>
    <n v="25"/>
    <x v="4"/>
    <s v="Netherlands"/>
    <n v="16129"/>
    <n v="16.129000000000001"/>
  </r>
  <r>
    <x v="1"/>
    <x v="0"/>
    <n v="28"/>
    <x v="17"/>
    <s v="Netherlands"/>
    <n v="17997"/>
    <n v="17.997"/>
  </r>
  <r>
    <x v="1"/>
    <x v="0"/>
    <n v="28"/>
    <x v="17"/>
    <s v="Netherlands"/>
    <n v="62991"/>
    <n v="62.991"/>
  </r>
  <r>
    <x v="1"/>
    <x v="0"/>
    <n v="30"/>
    <x v="3"/>
    <s v="Netherlands"/>
    <n v="7085"/>
    <n v="7.085"/>
  </r>
  <r>
    <x v="1"/>
    <x v="0"/>
    <n v="30"/>
    <x v="4"/>
    <s v="Netherlands"/>
    <n v="8277"/>
    <n v="8.2769999999999992"/>
  </r>
  <r>
    <x v="1"/>
    <x v="0"/>
    <n v="31"/>
    <x v="10"/>
    <s v="Netherlands"/>
    <n v="40048"/>
    <n v="40.048000000000002"/>
  </r>
  <r>
    <x v="1"/>
    <x v="0"/>
    <n v="31"/>
    <x v="4"/>
    <s v="Netherlands"/>
    <n v="7502"/>
    <n v="7.5019999999999998"/>
  </r>
  <r>
    <x v="1"/>
    <x v="1"/>
    <n v="2"/>
    <x v="22"/>
    <s v="Netherlands"/>
    <n v="17878"/>
    <n v="17.878"/>
  </r>
  <r>
    <x v="1"/>
    <x v="1"/>
    <n v="2"/>
    <x v="14"/>
    <s v="Netherlands"/>
    <n v="101809"/>
    <n v="101.809"/>
  </r>
  <r>
    <x v="1"/>
    <x v="1"/>
    <n v="4"/>
    <x v="17"/>
    <s v="Netherlands"/>
    <n v="8999"/>
    <n v="8.9990000000000006"/>
  </r>
  <r>
    <x v="1"/>
    <x v="1"/>
    <n v="4"/>
    <x v="4"/>
    <s v="Netherlands"/>
    <n v="17736"/>
    <n v="17.736000000000001"/>
  </r>
  <r>
    <x v="1"/>
    <x v="1"/>
    <n v="9"/>
    <x v="4"/>
    <s v="Belgium"/>
    <n v="16715"/>
    <n v="16.715"/>
  </r>
  <r>
    <x v="1"/>
    <x v="1"/>
    <n v="10"/>
    <x v="4"/>
    <s v="Netherlands"/>
    <n v="16561"/>
    <n v="16.561"/>
  </r>
  <r>
    <x v="1"/>
    <x v="1"/>
    <n v="11"/>
    <x v="6"/>
    <s v="Netherlands"/>
    <n v="29128"/>
    <n v="29.128"/>
  </r>
  <r>
    <x v="1"/>
    <x v="1"/>
    <n v="11"/>
    <x v="6"/>
    <s v="Netherlands"/>
    <n v="8266"/>
    <n v="8.266"/>
  </r>
  <r>
    <x v="1"/>
    <x v="1"/>
    <n v="11"/>
    <x v="28"/>
    <s v="Netherlands"/>
    <n v="29128"/>
    <n v="29.128"/>
  </r>
  <r>
    <x v="1"/>
    <x v="1"/>
    <n v="13"/>
    <x v="4"/>
    <s v="Netherlands"/>
    <n v="13549"/>
    <n v="13.548999999999999"/>
  </r>
  <r>
    <x v="1"/>
    <x v="1"/>
    <n v="17"/>
    <x v="4"/>
    <s v="Netherlands"/>
    <n v="18991"/>
    <n v="18.991"/>
  </r>
  <r>
    <x v="1"/>
    <x v="1"/>
    <n v="18"/>
    <x v="6"/>
    <s v="Netherlands"/>
    <n v="67875"/>
    <n v="67.875"/>
  </r>
  <r>
    <x v="1"/>
    <x v="1"/>
    <n v="18"/>
    <x v="20"/>
    <s v="Netherlands"/>
    <n v="16661"/>
    <n v="16.661000000000001"/>
  </r>
  <r>
    <x v="1"/>
    <x v="1"/>
    <n v="20"/>
    <x v="4"/>
    <s v="Netherlands"/>
    <n v="18998"/>
    <n v="18.998000000000001"/>
  </r>
  <r>
    <x v="1"/>
    <x v="1"/>
    <n v="25"/>
    <x v="4"/>
    <s v="Netherlands"/>
    <n v="18991"/>
    <n v="18.991"/>
  </r>
  <r>
    <x v="1"/>
    <x v="1"/>
    <n v="27"/>
    <x v="4"/>
    <s v="Netherlands"/>
    <n v="8276"/>
    <n v="8.2759999999999998"/>
  </r>
  <r>
    <x v="1"/>
    <x v="2"/>
    <n v="1"/>
    <x v="4"/>
    <s v="Netherlands"/>
    <n v="18991"/>
    <n v="18.991"/>
  </r>
  <r>
    <x v="1"/>
    <x v="2"/>
    <n v="1"/>
    <x v="20"/>
    <s v="Netherlands"/>
    <n v="23960"/>
    <n v="23.96"/>
  </r>
  <r>
    <x v="1"/>
    <x v="2"/>
    <n v="4"/>
    <x v="14"/>
    <s v="Netherlands"/>
    <n v="72669"/>
    <n v="72.668999999999997"/>
  </r>
  <r>
    <x v="1"/>
    <x v="2"/>
    <n v="5"/>
    <x v="4"/>
    <s v="Netherlands"/>
    <n v="16722"/>
    <n v="16.722000000000001"/>
  </r>
  <r>
    <x v="1"/>
    <x v="2"/>
    <n v="7"/>
    <x v="4"/>
    <s v="Netherlands"/>
    <n v="16933"/>
    <n v="16.933"/>
  </r>
  <r>
    <x v="1"/>
    <x v="2"/>
    <n v="9"/>
    <x v="15"/>
    <s v="Netherlands"/>
    <n v="66502"/>
    <n v="66.501999999999995"/>
  </r>
  <r>
    <x v="1"/>
    <x v="2"/>
    <n v="12"/>
    <x v="3"/>
    <s v="Netherlands"/>
    <n v="8992"/>
    <n v="8.9920000000000009"/>
  </r>
  <r>
    <x v="1"/>
    <x v="2"/>
    <n v="12"/>
    <x v="15"/>
    <s v="Netherlands"/>
    <n v="19000"/>
    <n v="19"/>
  </r>
  <r>
    <x v="1"/>
    <x v="2"/>
    <n v="12"/>
    <x v="13"/>
    <s v="Netherlands"/>
    <n v="8288"/>
    <n v="8.2880000000000003"/>
  </r>
  <r>
    <x v="1"/>
    <x v="2"/>
    <n v="15"/>
    <x v="12"/>
    <s v="Netherlands"/>
    <n v="35136"/>
    <n v="35.136000000000003"/>
  </r>
  <r>
    <x v="1"/>
    <x v="2"/>
    <n v="15"/>
    <x v="4"/>
    <s v="Netherlands"/>
    <n v="18991"/>
    <n v="18.991"/>
  </r>
  <r>
    <x v="1"/>
    <x v="2"/>
    <n v="15"/>
    <x v="13"/>
    <s v="Netherlands"/>
    <n v="35136"/>
    <n v="35.136000000000003"/>
  </r>
  <r>
    <x v="1"/>
    <x v="2"/>
    <n v="16"/>
    <x v="6"/>
    <s v="Netherlands"/>
    <n v="36368"/>
    <n v="36.368000000000002"/>
  </r>
  <r>
    <x v="1"/>
    <x v="2"/>
    <n v="16"/>
    <x v="11"/>
    <s v="Netherlands"/>
    <n v="21215"/>
    <n v="21.215"/>
  </r>
  <r>
    <x v="1"/>
    <x v="2"/>
    <n v="16"/>
    <x v="11"/>
    <s v="Netherlands"/>
    <n v="21791"/>
    <n v="21.791"/>
  </r>
  <r>
    <x v="1"/>
    <x v="2"/>
    <n v="18"/>
    <x v="12"/>
    <s v="Netherlands"/>
    <n v="15984"/>
    <n v="15.984"/>
  </r>
  <r>
    <x v="1"/>
    <x v="2"/>
    <n v="20"/>
    <x v="4"/>
    <s v="Netherlands"/>
    <n v="7053"/>
    <n v="7.0529999999999999"/>
  </r>
  <r>
    <x v="1"/>
    <x v="2"/>
    <n v="20"/>
    <x v="4"/>
    <s v="Netherlands"/>
    <n v="5554"/>
    <n v="5.5540000000000003"/>
  </r>
  <r>
    <x v="1"/>
    <x v="2"/>
    <n v="20"/>
    <x v="4"/>
    <s v="Netherlands"/>
    <n v="16722"/>
    <n v="16.722000000000001"/>
  </r>
  <r>
    <x v="1"/>
    <x v="2"/>
    <n v="20"/>
    <x v="4"/>
    <s v="Netherlands"/>
    <n v="4054"/>
    <n v="4.0540000000000003"/>
  </r>
  <r>
    <x v="1"/>
    <x v="2"/>
    <n v="23"/>
    <x v="22"/>
    <s v="Netherlands"/>
    <n v="18095"/>
    <n v="18.094999999999999"/>
  </r>
  <r>
    <x v="1"/>
    <x v="2"/>
    <n v="23"/>
    <x v="22"/>
    <s v="Netherlands"/>
    <n v="11480"/>
    <n v="11.48"/>
  </r>
  <r>
    <x v="1"/>
    <x v="2"/>
    <n v="23"/>
    <x v="22"/>
    <s v="Netherlands"/>
    <n v="18095"/>
    <n v="18.094999999999999"/>
  </r>
  <r>
    <x v="1"/>
    <x v="2"/>
    <n v="23"/>
    <x v="22"/>
    <s v="Netherlands"/>
    <n v="9510"/>
    <n v="9.51"/>
  </r>
  <r>
    <x v="1"/>
    <x v="2"/>
    <n v="23"/>
    <x v="22"/>
    <s v="Netherlands"/>
    <n v="8585"/>
    <n v="8.5850000000000009"/>
  </r>
  <r>
    <x v="1"/>
    <x v="2"/>
    <n v="23"/>
    <x v="4"/>
    <s v="Netherlands"/>
    <n v="16707"/>
    <n v="16.707000000000001"/>
  </r>
  <r>
    <x v="1"/>
    <x v="2"/>
    <n v="23"/>
    <x v="15"/>
    <s v="Netherlands"/>
    <n v="75498"/>
    <n v="75.498000000000005"/>
  </r>
  <r>
    <x v="1"/>
    <x v="2"/>
    <n v="26"/>
    <x v="4"/>
    <s v="Netherlands"/>
    <n v="8375"/>
    <n v="8.375"/>
  </r>
  <r>
    <x v="1"/>
    <x v="2"/>
    <n v="26"/>
    <x v="4"/>
    <s v="Netherlands"/>
    <n v="10616"/>
    <n v="10.616"/>
  </r>
  <r>
    <x v="1"/>
    <x v="2"/>
    <n v="27"/>
    <x v="4"/>
    <s v="Belgium"/>
    <n v="16553"/>
    <n v="16.553000000000001"/>
  </r>
  <r>
    <x v="1"/>
    <x v="2"/>
    <n v="31"/>
    <x v="9"/>
    <s v="Belgium"/>
    <n v="28458"/>
    <n v="28.457999999999998"/>
  </r>
  <r>
    <x v="1"/>
    <x v="2"/>
    <n v="31"/>
    <x v="13"/>
    <s v="Netherlands"/>
    <n v="46887"/>
    <n v="46.887"/>
  </r>
  <r>
    <x v="1"/>
    <x v="3"/>
    <n v="2"/>
    <x v="4"/>
    <s v="Netherlands"/>
    <n v="5273"/>
    <n v="5.2729999999999997"/>
  </r>
  <r>
    <x v="1"/>
    <x v="3"/>
    <n v="2"/>
    <x v="4"/>
    <s v="Netherlands"/>
    <n v="11274"/>
    <n v="11.273999999999999"/>
  </r>
  <r>
    <x v="1"/>
    <x v="3"/>
    <n v="5"/>
    <x v="12"/>
    <s v="Netherlands"/>
    <n v="3927"/>
    <n v="3.927"/>
  </r>
  <r>
    <x v="1"/>
    <x v="3"/>
    <n v="5"/>
    <x v="12"/>
    <s v="Netherlands"/>
    <n v="46136"/>
    <n v="46.136000000000003"/>
  </r>
  <r>
    <x v="1"/>
    <x v="3"/>
    <n v="7"/>
    <x v="4"/>
    <s v="Netherlands"/>
    <n v="16707"/>
    <n v="16.707000000000001"/>
  </r>
  <r>
    <x v="1"/>
    <x v="3"/>
    <n v="9"/>
    <x v="4"/>
    <s v="Netherlands"/>
    <n v="16722"/>
    <n v="16.722000000000001"/>
  </r>
  <r>
    <x v="1"/>
    <x v="3"/>
    <n v="9"/>
    <x v="4"/>
    <s v="Netherlands"/>
    <n v="18998"/>
    <n v="18.998000000000001"/>
  </r>
  <r>
    <x v="1"/>
    <x v="3"/>
    <n v="13"/>
    <x v="4"/>
    <s v="Netherlands"/>
    <n v="16562"/>
    <n v="16.562000000000001"/>
  </r>
  <r>
    <x v="1"/>
    <x v="3"/>
    <n v="13"/>
    <x v="11"/>
    <s v="Netherlands"/>
    <n v="43550"/>
    <n v="43.55"/>
  </r>
  <r>
    <x v="1"/>
    <x v="3"/>
    <n v="15"/>
    <x v="4"/>
    <s v="Netherlands"/>
    <n v="16707"/>
    <n v="16.707000000000001"/>
  </r>
  <r>
    <x v="1"/>
    <x v="3"/>
    <n v="16"/>
    <x v="14"/>
    <s v="Belgium"/>
    <n v="23487"/>
    <n v="23.486999999999998"/>
  </r>
  <r>
    <x v="1"/>
    <x v="3"/>
    <n v="16"/>
    <x v="14"/>
    <s v="Netherlands"/>
    <n v="92345"/>
    <n v="92.344999999999999"/>
  </r>
  <r>
    <x v="1"/>
    <x v="3"/>
    <n v="18"/>
    <x v="29"/>
    <s v="Netherlands"/>
    <n v="13272"/>
    <n v="13.272"/>
  </r>
  <r>
    <x v="1"/>
    <x v="3"/>
    <n v="19"/>
    <x v="13"/>
    <s v="Netherlands"/>
    <n v="57263"/>
    <n v="57.262999999999998"/>
  </r>
  <r>
    <x v="1"/>
    <x v="3"/>
    <n v="23"/>
    <x v="22"/>
    <s v="Netherlands"/>
    <n v="15433"/>
    <n v="15.433"/>
  </r>
  <r>
    <x v="1"/>
    <x v="3"/>
    <n v="23"/>
    <x v="18"/>
    <s v="Netherlands"/>
    <n v="114631"/>
    <n v="114.631"/>
  </r>
  <r>
    <x v="1"/>
    <x v="3"/>
    <n v="24"/>
    <x v="6"/>
    <s v="Netherlands"/>
    <n v="8526"/>
    <n v="8.5259999999999998"/>
  </r>
  <r>
    <x v="1"/>
    <x v="3"/>
    <n v="24"/>
    <x v="9"/>
    <s v="Netherlands"/>
    <n v="8526"/>
    <n v="8.5259999999999998"/>
  </r>
  <r>
    <x v="1"/>
    <x v="3"/>
    <n v="24"/>
    <x v="4"/>
    <s v="Netherlands"/>
    <n v="14879"/>
    <n v="14.879"/>
  </r>
  <r>
    <x v="1"/>
    <x v="3"/>
    <n v="24"/>
    <x v="4"/>
    <s v="Netherlands"/>
    <n v="16707"/>
    <n v="16.707000000000001"/>
  </r>
  <r>
    <x v="1"/>
    <x v="3"/>
    <n v="24"/>
    <x v="15"/>
    <s v="Netherlands"/>
    <n v="46669"/>
    <n v="46.668999999999997"/>
  </r>
  <r>
    <x v="1"/>
    <x v="3"/>
    <n v="29"/>
    <x v="4"/>
    <s v="Netherlands"/>
    <n v="16722"/>
    <n v="16.722000000000001"/>
  </r>
  <r>
    <x v="1"/>
    <x v="4"/>
    <n v="2"/>
    <x v="4"/>
    <s v="Netherlands"/>
    <n v="17645"/>
    <n v="17.645"/>
  </r>
  <r>
    <x v="1"/>
    <x v="4"/>
    <n v="4"/>
    <x v="4"/>
    <s v="Netherlands"/>
    <n v="16707"/>
    <n v="16.707000000000001"/>
  </r>
  <r>
    <x v="1"/>
    <x v="4"/>
    <n v="6"/>
    <x v="14"/>
    <s v="Netherlands"/>
    <n v="6080"/>
    <n v="6.08"/>
  </r>
  <r>
    <x v="1"/>
    <x v="4"/>
    <n v="12"/>
    <x v="15"/>
    <s v="Netherlands"/>
    <n v="61284"/>
    <n v="61.283999999999999"/>
  </r>
  <r>
    <x v="1"/>
    <x v="4"/>
    <n v="12"/>
    <x v="13"/>
    <s v="Netherlands"/>
    <n v="52643"/>
    <n v="52.643000000000001"/>
  </r>
  <r>
    <x v="1"/>
    <x v="4"/>
    <n v="13"/>
    <x v="3"/>
    <s v="Netherlands"/>
    <n v="2179"/>
    <n v="2.1789999999999998"/>
  </r>
  <r>
    <x v="1"/>
    <x v="4"/>
    <n v="13"/>
    <x v="3"/>
    <s v="Netherlands"/>
    <n v="7085"/>
    <n v="7.085"/>
  </r>
  <r>
    <x v="1"/>
    <x v="4"/>
    <n v="16"/>
    <x v="4"/>
    <s v="Belgium"/>
    <n v="18991"/>
    <n v="18.991"/>
  </r>
  <r>
    <x v="1"/>
    <x v="4"/>
    <n v="16"/>
    <x v="4"/>
    <s v="Netherlands"/>
    <n v="16715"/>
    <n v="16.715"/>
  </r>
  <r>
    <x v="1"/>
    <x v="4"/>
    <n v="17"/>
    <x v="13"/>
    <s v="Netherlands"/>
    <n v="42073"/>
    <n v="42.073"/>
  </r>
  <r>
    <x v="1"/>
    <x v="4"/>
    <n v="18"/>
    <x v="4"/>
    <s v="Netherlands"/>
    <n v="15706"/>
    <n v="15.706"/>
  </r>
  <r>
    <x v="1"/>
    <x v="4"/>
    <n v="20"/>
    <x v="9"/>
    <s v="Netherlands"/>
    <n v="18542"/>
    <n v="18.542000000000002"/>
  </r>
  <r>
    <x v="1"/>
    <x v="4"/>
    <n v="22"/>
    <x v="4"/>
    <s v="Netherlands"/>
    <n v="16722"/>
    <n v="16.722000000000001"/>
  </r>
  <r>
    <x v="1"/>
    <x v="4"/>
    <n v="23"/>
    <x v="12"/>
    <s v="Netherlands"/>
    <n v="7297"/>
    <n v="7.2969999999999997"/>
  </r>
  <r>
    <x v="1"/>
    <x v="4"/>
    <n v="23"/>
    <x v="12"/>
    <s v="Netherlands"/>
    <n v="52743"/>
    <n v="52.743000000000002"/>
  </r>
  <r>
    <x v="1"/>
    <x v="4"/>
    <n v="25"/>
    <x v="4"/>
    <s v="Belgium"/>
    <n v="1433"/>
    <n v="1.4330000000000001"/>
  </r>
  <r>
    <x v="1"/>
    <x v="4"/>
    <n v="25"/>
    <x v="7"/>
    <s v="Belgium"/>
    <n v="3266"/>
    <n v="3.266"/>
  </r>
  <r>
    <x v="1"/>
    <x v="4"/>
    <n v="28"/>
    <x v="1"/>
    <s v="Netherlands"/>
    <n v="9647"/>
    <n v="9.6470000000000002"/>
  </r>
  <r>
    <x v="1"/>
    <x v="5"/>
    <n v="6"/>
    <x v="12"/>
    <s v="Netherlands"/>
    <n v="45146"/>
    <n v="45.146000000000001"/>
  </r>
  <r>
    <x v="1"/>
    <x v="5"/>
    <n v="6"/>
    <x v="12"/>
    <s v="Netherlands"/>
    <n v="7365"/>
    <n v="7.3650000000000002"/>
  </r>
  <r>
    <x v="1"/>
    <x v="5"/>
    <n v="6"/>
    <x v="8"/>
    <s v="Netherlands"/>
    <n v="27742"/>
    <n v="27.742000000000001"/>
  </r>
  <r>
    <x v="1"/>
    <x v="5"/>
    <n v="12"/>
    <x v="4"/>
    <s v="Netherlands"/>
    <n v="7943"/>
    <n v="7.9429999999999996"/>
  </r>
  <r>
    <x v="1"/>
    <x v="5"/>
    <n v="13"/>
    <x v="15"/>
    <s v="Netherlands"/>
    <n v="2991"/>
    <n v="2.9910000000000001"/>
  </r>
  <r>
    <x v="1"/>
    <x v="5"/>
    <n v="15"/>
    <x v="14"/>
    <s v="Netherlands"/>
    <n v="54092"/>
    <n v="54.091999999999999"/>
  </r>
  <r>
    <x v="1"/>
    <x v="5"/>
    <n v="16"/>
    <x v="14"/>
    <s v="Netherlands"/>
    <n v="53303"/>
    <n v="53.302999999999997"/>
  </r>
  <r>
    <x v="1"/>
    <x v="5"/>
    <n v="18"/>
    <x v="9"/>
    <s v="Netherlands"/>
    <n v="32502"/>
    <n v="32.502000000000002"/>
  </r>
  <r>
    <x v="1"/>
    <x v="5"/>
    <n v="19"/>
    <x v="17"/>
    <s v="Netherlands"/>
    <n v="4102"/>
    <n v="4.1020000000000003"/>
  </r>
  <r>
    <x v="1"/>
    <x v="5"/>
    <n v="19"/>
    <x v="17"/>
    <s v="Netherlands"/>
    <n v="9406"/>
    <n v="9.4060000000000006"/>
  </r>
  <r>
    <x v="1"/>
    <x v="5"/>
    <n v="19"/>
    <x v="17"/>
    <s v="Netherlands"/>
    <n v="9406"/>
    <n v="9.4060000000000006"/>
  </r>
  <r>
    <x v="1"/>
    <x v="5"/>
    <n v="21"/>
    <x v="17"/>
    <s v="Netherlands"/>
    <n v="2387"/>
    <n v="2.387"/>
  </r>
  <r>
    <x v="1"/>
    <x v="5"/>
    <n v="21"/>
    <x v="17"/>
    <s v="Netherlands"/>
    <n v="9481"/>
    <n v="9.4809999999999999"/>
  </r>
  <r>
    <x v="1"/>
    <x v="5"/>
    <n v="21"/>
    <x v="17"/>
    <s v="Netherlands"/>
    <n v="5473"/>
    <n v="5.4729999999999999"/>
  </r>
  <r>
    <x v="1"/>
    <x v="5"/>
    <n v="23"/>
    <x v="17"/>
    <s v="Netherlands"/>
    <n v="36796"/>
    <n v="36.795999999999999"/>
  </r>
  <r>
    <x v="1"/>
    <x v="5"/>
    <n v="24"/>
    <x v="4"/>
    <s v="Netherlands"/>
    <n v="18140"/>
    <n v="18.14"/>
  </r>
  <r>
    <x v="1"/>
    <x v="5"/>
    <n v="29"/>
    <x v="29"/>
    <s v="Netherlands"/>
    <n v="22551"/>
    <n v="22.550999999999998"/>
  </r>
  <r>
    <x v="1"/>
    <x v="6"/>
    <n v="2"/>
    <x v="3"/>
    <s v="Netherlands"/>
    <n v="7084"/>
    <n v="7.0839999999999996"/>
  </r>
  <r>
    <x v="1"/>
    <x v="6"/>
    <n v="3"/>
    <x v="4"/>
    <s v="Netherlands"/>
    <n v="18140"/>
    <n v="18.14"/>
  </r>
  <r>
    <x v="1"/>
    <x v="6"/>
    <n v="6"/>
    <x v="4"/>
    <s v="Netherlands"/>
    <n v="8666"/>
    <n v="8.6660000000000004"/>
  </r>
  <r>
    <x v="1"/>
    <x v="6"/>
    <n v="8"/>
    <x v="30"/>
    <s v="Netherlands"/>
    <n v="7871"/>
    <n v="7.8710000000000004"/>
  </r>
  <r>
    <x v="1"/>
    <x v="6"/>
    <n v="9"/>
    <x v="13"/>
    <s v="Netherlands"/>
    <n v="44697"/>
    <n v="44.697000000000003"/>
  </r>
  <r>
    <x v="1"/>
    <x v="6"/>
    <n v="9"/>
    <x v="13"/>
    <s v="Netherlands"/>
    <n v="62418"/>
    <n v="62.417999999999999"/>
  </r>
  <r>
    <x v="1"/>
    <x v="6"/>
    <n v="12"/>
    <x v="4"/>
    <s v="Netherlands"/>
    <n v="16715"/>
    <n v="16.715"/>
  </r>
  <r>
    <x v="1"/>
    <x v="6"/>
    <n v="15"/>
    <x v="13"/>
    <s v="Netherlands"/>
    <n v="18657"/>
    <n v="18.657"/>
  </r>
  <r>
    <x v="1"/>
    <x v="6"/>
    <n v="16"/>
    <x v="4"/>
    <s v="Netherlands"/>
    <n v="16722"/>
    <n v="16.722000000000001"/>
  </r>
  <r>
    <x v="1"/>
    <x v="6"/>
    <n v="18"/>
    <x v="14"/>
    <s v="Netherlands"/>
    <n v="38906"/>
    <n v="38.905999999999999"/>
  </r>
  <r>
    <x v="1"/>
    <x v="6"/>
    <n v="18"/>
    <x v="4"/>
    <s v="Netherlands"/>
    <n v="16661"/>
    <n v="16.661000000000001"/>
  </r>
  <r>
    <x v="1"/>
    <x v="6"/>
    <n v="18"/>
    <x v="18"/>
    <s v="Netherlands"/>
    <n v="53641"/>
    <n v="53.640999999999998"/>
  </r>
  <r>
    <x v="1"/>
    <x v="6"/>
    <n v="20"/>
    <x v="31"/>
    <s v="Netherlands"/>
    <n v="7785"/>
    <n v="7.7850000000000001"/>
  </r>
  <r>
    <x v="1"/>
    <x v="6"/>
    <n v="20"/>
    <x v="6"/>
    <s v="Netherlands"/>
    <n v="25568"/>
    <n v="25.568000000000001"/>
  </r>
  <r>
    <x v="1"/>
    <x v="6"/>
    <n v="20"/>
    <x v="6"/>
    <s v="Netherlands"/>
    <n v="35445"/>
    <n v="35.445"/>
  </r>
  <r>
    <x v="1"/>
    <x v="6"/>
    <n v="20"/>
    <x v="18"/>
    <s v="Netherlands"/>
    <n v="7785"/>
    <n v="7.7850000000000001"/>
  </r>
  <r>
    <x v="1"/>
    <x v="6"/>
    <n v="22"/>
    <x v="6"/>
    <s v="Netherlands"/>
    <n v="67144"/>
    <n v="67.144000000000005"/>
  </r>
  <r>
    <x v="1"/>
    <x v="6"/>
    <n v="22"/>
    <x v="15"/>
    <s v="Netherlands"/>
    <n v="29619"/>
    <n v="29.619"/>
  </r>
  <r>
    <x v="1"/>
    <x v="6"/>
    <n v="26"/>
    <x v="4"/>
    <s v="Netherlands"/>
    <n v="16675"/>
    <n v="16.675000000000001"/>
  </r>
  <r>
    <x v="1"/>
    <x v="6"/>
    <n v="28"/>
    <x v="17"/>
    <s v="Netherlands"/>
    <n v="13460"/>
    <n v="13.46"/>
  </r>
  <r>
    <x v="1"/>
    <x v="6"/>
    <n v="28"/>
    <x v="17"/>
    <s v="Netherlands"/>
    <n v="28135"/>
    <n v="28.135000000000002"/>
  </r>
  <r>
    <x v="1"/>
    <x v="6"/>
    <n v="28"/>
    <x v="9"/>
    <s v="Netherlands"/>
    <n v="10344"/>
    <n v="10.343999999999999"/>
  </r>
  <r>
    <x v="1"/>
    <x v="6"/>
    <n v="30"/>
    <x v="17"/>
    <s v="Netherlands"/>
    <n v="36907"/>
    <n v="36.906999999999996"/>
  </r>
  <r>
    <x v="1"/>
    <x v="6"/>
    <n v="30"/>
    <x v="4"/>
    <s v="Netherlands"/>
    <n v="18140"/>
    <n v="18.14"/>
  </r>
  <r>
    <x v="1"/>
    <x v="7"/>
    <n v="3"/>
    <x v="4"/>
    <s v="Netherlands"/>
    <n v="16661"/>
    <n v="16.661000000000001"/>
  </r>
  <r>
    <x v="1"/>
    <x v="7"/>
    <n v="7"/>
    <x v="4"/>
    <s v="Netherlands"/>
    <n v="16722"/>
    <n v="16.722000000000001"/>
  </r>
  <r>
    <x v="1"/>
    <x v="7"/>
    <n v="13"/>
    <x v="3"/>
    <s v="Netherlands"/>
    <n v="7629"/>
    <n v="7.6289999999999996"/>
  </r>
  <r>
    <x v="1"/>
    <x v="7"/>
    <n v="16"/>
    <x v="4"/>
    <s v="Netherlands"/>
    <n v="13853"/>
    <n v="13.853"/>
  </r>
  <r>
    <x v="1"/>
    <x v="7"/>
    <n v="17"/>
    <x v="4"/>
    <s v="Netherlands"/>
    <n v="4868"/>
    <n v="4.8680000000000003"/>
  </r>
  <r>
    <x v="1"/>
    <x v="7"/>
    <n v="17"/>
    <x v="4"/>
    <s v="Netherlands"/>
    <n v="1858"/>
    <n v="1.8580000000000001"/>
  </r>
  <r>
    <x v="1"/>
    <x v="7"/>
    <n v="19"/>
    <x v="14"/>
    <s v="Netherlands"/>
    <n v="37449"/>
    <n v="37.448999999999998"/>
  </r>
  <r>
    <x v="1"/>
    <x v="7"/>
    <n v="19"/>
    <x v="24"/>
    <s v="Netherlands"/>
    <n v="51300"/>
    <n v="51.3"/>
  </r>
  <r>
    <x v="1"/>
    <x v="7"/>
    <n v="19"/>
    <x v="4"/>
    <s v="Netherlands"/>
    <n v="16722"/>
    <n v="16.722000000000001"/>
  </r>
  <r>
    <x v="1"/>
    <x v="7"/>
    <n v="23"/>
    <x v="10"/>
    <s v="Netherlands"/>
    <n v="39375"/>
    <n v="39.375"/>
  </r>
  <r>
    <x v="1"/>
    <x v="7"/>
    <n v="23"/>
    <x v="9"/>
    <s v="Belgium"/>
    <n v="5586"/>
    <n v="5.5860000000000003"/>
  </r>
  <r>
    <x v="1"/>
    <x v="7"/>
    <n v="23"/>
    <x v="26"/>
    <s v="Belgium"/>
    <n v="6693"/>
    <n v="6.6929999999999996"/>
  </r>
  <r>
    <x v="1"/>
    <x v="7"/>
    <n v="27"/>
    <x v="4"/>
    <s v="Netherlands"/>
    <n v="18140"/>
    <n v="18.14"/>
  </r>
  <r>
    <x v="1"/>
    <x v="7"/>
    <n v="28"/>
    <x v="11"/>
    <s v="Netherlands"/>
    <n v="33804"/>
    <n v="33.804000000000002"/>
  </r>
  <r>
    <x v="1"/>
    <x v="7"/>
    <n v="29"/>
    <x v="4"/>
    <s v="Netherlands"/>
    <n v="14541"/>
    <n v="14.541"/>
  </r>
  <r>
    <x v="1"/>
    <x v="7"/>
    <n v="30"/>
    <x v="4"/>
    <s v="Belgium"/>
    <n v="16163"/>
    <n v="16.163"/>
  </r>
  <r>
    <x v="1"/>
    <x v="8"/>
    <n v="4"/>
    <x v="4"/>
    <s v="Netherlands"/>
    <n v="16722"/>
    <n v="16.722000000000001"/>
  </r>
  <r>
    <x v="1"/>
    <x v="8"/>
    <n v="7"/>
    <x v="4"/>
    <s v="Netherlands"/>
    <n v="18140"/>
    <n v="18.14"/>
  </r>
  <r>
    <x v="1"/>
    <x v="8"/>
    <n v="11"/>
    <x v="4"/>
    <s v="Belgium"/>
    <n v="457"/>
    <n v="0.45700000000000002"/>
  </r>
  <r>
    <x v="1"/>
    <x v="8"/>
    <n v="12"/>
    <x v="4"/>
    <s v="Netherlands"/>
    <n v="16356"/>
    <n v="16.356000000000002"/>
  </r>
  <r>
    <x v="1"/>
    <x v="8"/>
    <n v="17"/>
    <x v="4"/>
    <s v="Netherlands"/>
    <n v="13794"/>
    <n v="13.794"/>
  </r>
  <r>
    <x v="1"/>
    <x v="8"/>
    <n v="18"/>
    <x v="4"/>
    <s v="Netherlands"/>
    <n v="16566"/>
    <n v="16.565999999999999"/>
  </r>
  <r>
    <x v="1"/>
    <x v="8"/>
    <n v="20"/>
    <x v="14"/>
    <s v="Netherlands"/>
    <n v="99055"/>
    <n v="99.055000000000007"/>
  </r>
  <r>
    <x v="1"/>
    <x v="8"/>
    <n v="22"/>
    <x v="3"/>
    <s v="Netherlands"/>
    <n v="2724"/>
    <n v="2.7240000000000002"/>
  </r>
  <r>
    <x v="1"/>
    <x v="8"/>
    <n v="22"/>
    <x v="3"/>
    <s v="Netherlands"/>
    <n v="7630"/>
    <n v="7.63"/>
  </r>
  <r>
    <x v="1"/>
    <x v="8"/>
    <n v="25"/>
    <x v="4"/>
    <s v="Netherlands"/>
    <n v="16722"/>
    <n v="16.722000000000001"/>
  </r>
  <r>
    <x v="1"/>
    <x v="8"/>
    <n v="26"/>
    <x v="4"/>
    <s v="Netherlands"/>
    <n v="8486"/>
    <n v="8.4860000000000007"/>
  </r>
  <r>
    <x v="1"/>
    <x v="8"/>
    <n v="29"/>
    <x v="23"/>
    <s v="Netherlands"/>
    <n v="94708"/>
    <n v="94.707999999999998"/>
  </r>
  <r>
    <x v="1"/>
    <x v="8"/>
    <n v="29"/>
    <x v="4"/>
    <s v="Netherlands"/>
    <n v="12443"/>
    <n v="12.443"/>
  </r>
  <r>
    <x v="1"/>
    <x v="9"/>
    <n v="1"/>
    <x v="11"/>
    <s v="Netherlands"/>
    <n v="29736"/>
    <n v="29.736000000000001"/>
  </r>
  <r>
    <x v="1"/>
    <x v="9"/>
    <n v="2"/>
    <x v="15"/>
    <s v="Netherlands"/>
    <n v="89028"/>
    <n v="89.028000000000006"/>
  </r>
  <r>
    <x v="1"/>
    <x v="9"/>
    <n v="3"/>
    <x v="4"/>
    <s v="Netherlands"/>
    <n v="12397"/>
    <n v="12.397"/>
  </r>
  <r>
    <x v="1"/>
    <x v="9"/>
    <n v="3"/>
    <x v="4"/>
    <s v="Netherlands"/>
    <n v="4224"/>
    <n v="4.2240000000000002"/>
  </r>
  <r>
    <x v="1"/>
    <x v="9"/>
    <n v="8"/>
    <x v="9"/>
    <s v="Netherlands"/>
    <n v="27348"/>
    <n v="27.347999999999999"/>
  </r>
  <r>
    <x v="1"/>
    <x v="9"/>
    <n v="10"/>
    <x v="4"/>
    <s v="Netherlands"/>
    <n v="8388"/>
    <n v="8.3879999999999999"/>
  </r>
  <r>
    <x v="1"/>
    <x v="9"/>
    <n v="12"/>
    <x v="12"/>
    <s v="Netherlands"/>
    <n v="7220"/>
    <n v="7.22"/>
  </r>
  <r>
    <x v="1"/>
    <x v="9"/>
    <n v="12"/>
    <x v="12"/>
    <s v="Netherlands"/>
    <n v="43713"/>
    <n v="43.713000000000001"/>
  </r>
  <r>
    <x v="1"/>
    <x v="9"/>
    <n v="16"/>
    <x v="4"/>
    <s v="Netherlands"/>
    <n v="16855"/>
    <n v="16.855"/>
  </r>
  <r>
    <x v="1"/>
    <x v="9"/>
    <n v="17"/>
    <x v="4"/>
    <s v="Netherlands"/>
    <n v="8907"/>
    <n v="8.907"/>
  </r>
  <r>
    <x v="1"/>
    <x v="9"/>
    <n v="17"/>
    <x v="4"/>
    <s v="Netherlands"/>
    <n v="7413"/>
    <n v="7.4130000000000003"/>
  </r>
  <r>
    <x v="1"/>
    <x v="9"/>
    <n v="21"/>
    <x v="4"/>
    <s v="Netherlands"/>
    <n v="16722"/>
    <n v="16.722000000000001"/>
  </r>
  <r>
    <x v="1"/>
    <x v="9"/>
    <n v="22"/>
    <x v="14"/>
    <s v="Netherlands"/>
    <n v="83508"/>
    <n v="83.507999999999996"/>
  </r>
  <r>
    <x v="1"/>
    <x v="9"/>
    <n v="23"/>
    <x v="4"/>
    <s v="Netherlands"/>
    <n v="10726"/>
    <n v="10.726000000000001"/>
  </r>
  <r>
    <x v="1"/>
    <x v="9"/>
    <n v="26"/>
    <x v="9"/>
    <s v="Netherlands"/>
    <n v="5926"/>
    <n v="5.9260000000000002"/>
  </r>
  <r>
    <x v="1"/>
    <x v="9"/>
    <n v="26"/>
    <x v="4"/>
    <s v="Netherlands"/>
    <n v="6290"/>
    <n v="6.29"/>
  </r>
  <r>
    <x v="1"/>
    <x v="9"/>
    <n v="26"/>
    <x v="4"/>
    <s v="Netherlands"/>
    <n v="10371"/>
    <n v="10.371"/>
  </r>
  <r>
    <x v="1"/>
    <x v="9"/>
    <n v="27"/>
    <x v="9"/>
    <s v="Netherlands"/>
    <n v="7214"/>
    <n v="7.2140000000000004"/>
  </r>
  <r>
    <x v="1"/>
    <x v="9"/>
    <n v="30"/>
    <x v="1"/>
    <s v="Netherlands"/>
    <n v="9736"/>
    <n v="9.7360000000000007"/>
  </r>
  <r>
    <x v="1"/>
    <x v="9"/>
    <n v="31"/>
    <x v="4"/>
    <s v="Belgium"/>
    <n v="16722"/>
    <n v="16.722000000000001"/>
  </r>
  <r>
    <x v="1"/>
    <x v="10"/>
    <n v="2"/>
    <x v="11"/>
    <s v="Netherlands"/>
    <n v="34643"/>
    <n v="34.643000000000001"/>
  </r>
  <r>
    <x v="1"/>
    <x v="10"/>
    <n v="2"/>
    <x v="11"/>
    <s v="Netherlands"/>
    <n v="17321"/>
    <n v="17.321000000000002"/>
  </r>
  <r>
    <x v="1"/>
    <x v="10"/>
    <n v="5"/>
    <x v="11"/>
    <s v="Netherlands"/>
    <n v="43304"/>
    <n v="43.304000000000002"/>
  </r>
  <r>
    <x v="1"/>
    <x v="10"/>
    <n v="7"/>
    <x v="1"/>
    <s v="Netherlands"/>
    <n v="6123"/>
    <n v="6.1230000000000002"/>
  </r>
  <r>
    <x v="1"/>
    <x v="10"/>
    <n v="10"/>
    <x v="13"/>
    <s v="Netherlands"/>
    <n v="37147"/>
    <n v="37.146999999999998"/>
  </r>
  <r>
    <x v="1"/>
    <x v="10"/>
    <n v="11"/>
    <x v="22"/>
    <s v="Netherlands"/>
    <n v="27417"/>
    <n v="27.417000000000002"/>
  </r>
  <r>
    <x v="1"/>
    <x v="10"/>
    <n v="12"/>
    <x v="3"/>
    <s v="Netherlands"/>
    <n v="1634"/>
    <n v="1.6339999999999999"/>
  </r>
  <r>
    <x v="1"/>
    <x v="10"/>
    <n v="12"/>
    <x v="3"/>
    <s v="Netherlands"/>
    <n v="9811"/>
    <n v="9.8109999999999999"/>
  </r>
  <r>
    <x v="1"/>
    <x v="10"/>
    <n v="13"/>
    <x v="3"/>
    <s v="Netherlands"/>
    <n v="1634"/>
    <n v="1.6339999999999999"/>
  </r>
  <r>
    <x v="1"/>
    <x v="10"/>
    <n v="15"/>
    <x v="11"/>
    <s v="Netherlands"/>
    <n v="67455"/>
    <n v="67.454999999999998"/>
  </r>
  <r>
    <x v="1"/>
    <x v="10"/>
    <n v="19"/>
    <x v="9"/>
    <s v="Netherlands"/>
    <n v="30135"/>
    <n v="30.135000000000002"/>
  </r>
  <r>
    <x v="1"/>
    <x v="10"/>
    <n v="19"/>
    <x v="4"/>
    <s v="Netherlands"/>
    <n v="14364"/>
    <n v="14.364000000000001"/>
  </r>
  <r>
    <x v="1"/>
    <x v="10"/>
    <n v="19"/>
    <x v="4"/>
    <s v="Netherlands"/>
    <n v="16356"/>
    <n v="16.356000000000002"/>
  </r>
  <r>
    <x v="1"/>
    <x v="10"/>
    <n v="21"/>
    <x v="4"/>
    <s v="Netherlands"/>
    <n v="16337"/>
    <n v="16.337"/>
  </r>
  <r>
    <x v="1"/>
    <x v="10"/>
    <n v="22"/>
    <x v="14"/>
    <s v="Netherlands"/>
    <n v="67715"/>
    <n v="67.715000000000003"/>
  </r>
  <r>
    <x v="1"/>
    <x v="10"/>
    <n v="30"/>
    <x v="4"/>
    <s v="Netherlands"/>
    <n v="16386"/>
    <n v="16.385999999999999"/>
  </r>
  <r>
    <x v="1"/>
    <x v="10"/>
    <n v="30"/>
    <x v="32"/>
    <s v="Netherlands"/>
    <n v="3030"/>
    <n v="3.03"/>
  </r>
  <r>
    <x v="1"/>
    <x v="11"/>
    <n v="2"/>
    <x v="4"/>
    <s v="Netherlands"/>
    <n v="6987"/>
    <n v="6.9870000000000001"/>
  </r>
  <r>
    <x v="1"/>
    <x v="11"/>
    <n v="2"/>
    <x v="4"/>
    <s v="Netherlands"/>
    <n v="6424"/>
    <n v="6.4240000000000004"/>
  </r>
  <r>
    <x v="1"/>
    <x v="11"/>
    <n v="3"/>
    <x v="20"/>
    <s v="Belgium"/>
    <n v="25430"/>
    <n v="25.43"/>
  </r>
  <r>
    <x v="1"/>
    <x v="11"/>
    <n v="5"/>
    <x v="4"/>
    <s v="Netherlands"/>
    <n v="16000"/>
    <n v="16"/>
  </r>
  <r>
    <x v="1"/>
    <x v="11"/>
    <n v="7"/>
    <x v="1"/>
    <s v="Netherlands"/>
    <n v="6228"/>
    <n v="6.2279999999999998"/>
  </r>
  <r>
    <x v="1"/>
    <x v="11"/>
    <n v="9"/>
    <x v="4"/>
    <s v="Netherlands"/>
    <n v="10131"/>
    <n v="10.131"/>
  </r>
  <r>
    <x v="1"/>
    <x v="11"/>
    <n v="9"/>
    <x v="4"/>
    <s v="Netherlands"/>
    <n v="5428"/>
    <n v="5.4279999999999999"/>
  </r>
  <r>
    <x v="1"/>
    <x v="11"/>
    <n v="12"/>
    <x v="6"/>
    <s v="Netherlands"/>
    <n v="32806"/>
    <n v="32.805999999999997"/>
  </r>
  <r>
    <x v="1"/>
    <x v="11"/>
    <n v="12"/>
    <x v="6"/>
    <s v="Netherlands"/>
    <n v="22906"/>
    <n v="22.905999999999999"/>
  </r>
  <r>
    <x v="1"/>
    <x v="11"/>
    <n v="13"/>
    <x v="4"/>
    <s v="Netherlands"/>
    <n v="3463"/>
    <n v="3.4630000000000001"/>
  </r>
  <r>
    <x v="1"/>
    <x v="11"/>
    <n v="13"/>
    <x v="4"/>
    <s v="Netherlands"/>
    <n v="9253"/>
    <n v="9.2530000000000001"/>
  </r>
  <r>
    <x v="1"/>
    <x v="11"/>
    <n v="14"/>
    <x v="6"/>
    <s v="Netherlands"/>
    <n v="55298"/>
    <n v="55.298000000000002"/>
  </r>
  <r>
    <x v="1"/>
    <x v="11"/>
    <n v="17"/>
    <x v="4"/>
    <s v="Netherlands"/>
    <n v="16401"/>
    <n v="16.401"/>
  </r>
  <r>
    <x v="1"/>
    <x v="11"/>
    <n v="21"/>
    <x v="4"/>
    <s v="Netherlands"/>
    <n v="15920"/>
    <n v="15.92"/>
  </r>
  <r>
    <x v="1"/>
    <x v="11"/>
    <n v="25"/>
    <x v="14"/>
    <s v="Netherlands"/>
    <n v="89999"/>
    <n v="89.998999999999995"/>
  </r>
  <r>
    <x v="1"/>
    <x v="11"/>
    <n v="26"/>
    <x v="4"/>
    <s v="Netherlands"/>
    <n v="16722"/>
    <n v="16.722000000000001"/>
  </r>
  <r>
    <x v="1"/>
    <x v="11"/>
    <n v="27"/>
    <x v="3"/>
    <s v="Netherlands"/>
    <n v="5722"/>
    <n v="5.7220000000000004"/>
  </r>
  <r>
    <x v="1"/>
    <x v="11"/>
    <n v="30"/>
    <x v="4"/>
    <s v="Netherlands"/>
    <n v="16401"/>
    <n v="16.401"/>
  </r>
  <r>
    <x v="1"/>
    <x v="11"/>
    <n v="30"/>
    <x v="11"/>
    <s v="Netherlands"/>
    <n v="74762"/>
    <n v="74.762"/>
  </r>
  <r>
    <x v="2"/>
    <x v="0"/>
    <n v="3"/>
    <x v="1"/>
    <s v="Netherlands"/>
    <n v="1769"/>
    <n v="1.7689999999999999"/>
  </r>
  <r>
    <x v="2"/>
    <x v="0"/>
    <n v="3"/>
    <x v="1"/>
    <s v="Netherlands"/>
    <n v="2762"/>
    <n v="2.762"/>
  </r>
  <r>
    <x v="2"/>
    <x v="0"/>
    <n v="3"/>
    <x v="4"/>
    <s v="Netherlands"/>
    <n v="16722"/>
    <n v="16.722000000000001"/>
  </r>
  <r>
    <x v="2"/>
    <x v="0"/>
    <n v="8"/>
    <x v="4"/>
    <s v="Netherlands"/>
    <n v="17098"/>
    <n v="17.097999999999999"/>
  </r>
  <r>
    <x v="2"/>
    <x v="0"/>
    <n v="9"/>
    <x v="4"/>
    <s v="Netherlands"/>
    <n v="16401"/>
    <n v="16.401"/>
  </r>
  <r>
    <x v="2"/>
    <x v="0"/>
    <n v="12"/>
    <x v="4"/>
    <s v="Netherlands"/>
    <n v="15920"/>
    <n v="15.92"/>
  </r>
  <r>
    <x v="2"/>
    <x v="0"/>
    <n v="14"/>
    <x v="14"/>
    <s v="Netherlands"/>
    <n v="4017"/>
    <n v="4.0170000000000003"/>
  </r>
  <r>
    <x v="2"/>
    <x v="0"/>
    <n v="16"/>
    <x v="22"/>
    <s v="Netherlands"/>
    <n v="10349"/>
    <n v="10.349"/>
  </r>
  <r>
    <x v="2"/>
    <x v="0"/>
    <n v="16"/>
    <x v="22"/>
    <s v="Netherlands"/>
    <n v="6362"/>
    <n v="6.3620000000000001"/>
  </r>
  <r>
    <x v="2"/>
    <x v="0"/>
    <n v="16"/>
    <x v="4"/>
    <s v="Netherlands"/>
    <n v="1976"/>
    <n v="1.976"/>
  </r>
  <r>
    <x v="2"/>
    <x v="0"/>
    <n v="16"/>
    <x v="4"/>
    <s v="Netherlands"/>
    <n v="10345"/>
    <n v="10.345000000000001"/>
  </r>
  <r>
    <x v="2"/>
    <x v="0"/>
    <n v="20"/>
    <x v="4"/>
    <s v="Belgium"/>
    <n v="14384"/>
    <n v="14.384"/>
  </r>
  <r>
    <x v="2"/>
    <x v="0"/>
    <n v="20"/>
    <x v="4"/>
    <s v="Belgium"/>
    <n v="2338"/>
    <n v="2.3380000000000001"/>
  </r>
  <r>
    <x v="2"/>
    <x v="0"/>
    <n v="20"/>
    <x v="4"/>
    <s v="Netherlands"/>
    <n v="14999"/>
    <n v="14.999000000000001"/>
  </r>
  <r>
    <x v="2"/>
    <x v="0"/>
    <n v="20"/>
    <x v="13"/>
    <s v="Belgium"/>
    <n v="60112"/>
    <n v="60.112000000000002"/>
  </r>
  <r>
    <x v="2"/>
    <x v="0"/>
    <n v="21"/>
    <x v="28"/>
    <s v="Netherlands"/>
    <n v="45587"/>
    <n v="45.587000000000003"/>
  </r>
  <r>
    <x v="2"/>
    <x v="0"/>
    <n v="28"/>
    <x v="11"/>
    <s v="Netherlands"/>
    <n v="17125"/>
    <n v="17.125"/>
  </r>
  <r>
    <x v="2"/>
    <x v="0"/>
    <n v="28"/>
    <x v="11"/>
    <s v="Netherlands"/>
    <n v="17125"/>
    <n v="17.125"/>
  </r>
  <r>
    <x v="2"/>
    <x v="0"/>
    <n v="29"/>
    <x v="4"/>
    <s v="Netherlands"/>
    <n v="16715"/>
    <n v="16.715"/>
  </r>
  <r>
    <x v="2"/>
    <x v="0"/>
    <n v="29"/>
    <x v="4"/>
    <s v="Netherlands"/>
    <n v="16722"/>
    <n v="16.722000000000001"/>
  </r>
  <r>
    <x v="2"/>
    <x v="0"/>
    <n v="29"/>
    <x v="13"/>
    <s v="Netherlands"/>
    <n v="37382"/>
    <n v="37.381999999999998"/>
  </r>
  <r>
    <x v="2"/>
    <x v="0"/>
    <n v="30"/>
    <x v="3"/>
    <s v="Netherlands"/>
    <n v="2179"/>
    <n v="2.1789999999999998"/>
  </r>
  <r>
    <x v="2"/>
    <x v="0"/>
    <n v="30"/>
    <x v="13"/>
    <s v="Netherlands"/>
    <n v="5516"/>
    <n v="5.516"/>
  </r>
  <r>
    <x v="2"/>
    <x v="0"/>
    <n v="31"/>
    <x v="11"/>
    <s v="Netherlands"/>
    <n v="20563"/>
    <n v="20.562999999999999"/>
  </r>
  <r>
    <x v="2"/>
    <x v="0"/>
    <n v="31"/>
    <x v="11"/>
    <s v="Netherlands"/>
    <n v="12158"/>
    <n v="12.157999999999999"/>
  </r>
  <r>
    <x v="2"/>
    <x v="0"/>
    <n v="31"/>
    <x v="13"/>
    <s v="Netherlands"/>
    <n v="11889"/>
    <n v="11.888999999999999"/>
  </r>
  <r>
    <x v="2"/>
    <x v="1"/>
    <n v="1"/>
    <x v="4"/>
    <s v="Netherlands"/>
    <n v="11677"/>
    <n v="11.677"/>
  </r>
  <r>
    <x v="2"/>
    <x v="1"/>
    <n v="5"/>
    <x v="4"/>
    <s v="Netherlands"/>
    <n v="16988"/>
    <n v="16.988"/>
  </r>
  <r>
    <x v="2"/>
    <x v="1"/>
    <n v="9"/>
    <x v="4"/>
    <s v="Netherlands"/>
    <n v="16715"/>
    <n v="16.715"/>
  </r>
  <r>
    <x v="2"/>
    <x v="1"/>
    <n v="10"/>
    <x v="6"/>
    <s v="Netherlands"/>
    <n v="141422"/>
    <n v="141.422"/>
  </r>
  <r>
    <x v="2"/>
    <x v="1"/>
    <n v="11"/>
    <x v="4"/>
    <s v="Netherlands"/>
    <n v="9890"/>
    <n v="9.89"/>
  </r>
  <r>
    <x v="2"/>
    <x v="1"/>
    <n v="17"/>
    <x v="4"/>
    <s v="Netherlands"/>
    <n v="5092"/>
    <n v="5.0919999999999996"/>
  </r>
  <r>
    <x v="2"/>
    <x v="1"/>
    <n v="17"/>
    <x v="4"/>
    <s v="Netherlands"/>
    <n v="9762"/>
    <n v="9.7620000000000005"/>
  </r>
  <r>
    <x v="2"/>
    <x v="1"/>
    <n v="19"/>
    <x v="4"/>
    <s v="Netherlands"/>
    <n v="10322"/>
    <n v="10.321999999999999"/>
  </r>
  <r>
    <x v="2"/>
    <x v="1"/>
    <n v="19"/>
    <x v="4"/>
    <s v="Netherlands"/>
    <n v="6339"/>
    <n v="6.3390000000000004"/>
  </r>
  <r>
    <x v="2"/>
    <x v="1"/>
    <n v="21"/>
    <x v="4"/>
    <s v="Netherlands"/>
    <n v="14095"/>
    <n v="14.095000000000001"/>
  </r>
  <r>
    <x v="2"/>
    <x v="1"/>
    <n v="24"/>
    <x v="4"/>
    <s v="Netherlands"/>
    <n v="2380"/>
    <n v="2.38"/>
  </r>
  <r>
    <x v="2"/>
    <x v="1"/>
    <n v="24"/>
    <x v="4"/>
    <s v="Netherlands"/>
    <n v="7834"/>
    <n v="7.8339999999999996"/>
  </r>
  <r>
    <x v="2"/>
    <x v="1"/>
    <n v="24"/>
    <x v="33"/>
    <s v="Netherlands"/>
    <n v="52649"/>
    <n v="52.649000000000001"/>
  </r>
  <r>
    <x v="2"/>
    <x v="1"/>
    <n v="27"/>
    <x v="11"/>
    <s v="Netherlands"/>
    <n v="69287"/>
    <n v="69.287000000000006"/>
  </r>
  <r>
    <x v="2"/>
    <x v="1"/>
    <n v="27"/>
    <x v="13"/>
    <s v="Belgium"/>
    <n v="52022"/>
    <n v="52.021999999999998"/>
  </r>
  <r>
    <x v="2"/>
    <x v="1"/>
    <n v="27"/>
    <x v="13"/>
    <s v="Belgium"/>
    <n v="18198"/>
    <n v="18.198"/>
  </r>
  <r>
    <x v="2"/>
    <x v="2"/>
    <n v="1"/>
    <x v="14"/>
    <s v="Netherlands"/>
    <n v="96744"/>
    <n v="96.744"/>
  </r>
  <r>
    <x v="2"/>
    <x v="2"/>
    <n v="1"/>
    <x v="4"/>
    <s v="Netherlands"/>
    <n v="16722"/>
    <n v="16.722000000000001"/>
  </r>
  <r>
    <x v="2"/>
    <x v="2"/>
    <n v="1"/>
    <x v="4"/>
    <s v="Netherlands"/>
    <n v="17037"/>
    <n v="17.036999999999999"/>
  </r>
  <r>
    <x v="2"/>
    <x v="2"/>
    <n v="2"/>
    <x v="4"/>
    <s v="Netherlands"/>
    <n v="8683"/>
    <n v="8.6829999999999998"/>
  </r>
  <r>
    <x v="2"/>
    <x v="2"/>
    <n v="3"/>
    <x v="12"/>
    <s v="Netherlands"/>
    <n v="45728"/>
    <n v="45.728000000000002"/>
  </r>
  <r>
    <x v="2"/>
    <x v="2"/>
    <n v="3"/>
    <x v="12"/>
    <s v="Netherlands"/>
    <n v="7676"/>
    <n v="7.6760000000000002"/>
  </r>
  <r>
    <x v="2"/>
    <x v="2"/>
    <n v="6"/>
    <x v="3"/>
    <s v="Netherlands"/>
    <n v="4087"/>
    <n v="4.0869999999999997"/>
  </r>
  <r>
    <x v="2"/>
    <x v="2"/>
    <n v="9"/>
    <x v="4"/>
    <s v="Netherlands"/>
    <n v="16093"/>
    <n v="16.093"/>
  </r>
  <r>
    <x v="2"/>
    <x v="2"/>
    <n v="12"/>
    <x v="4"/>
    <s v="Netherlands"/>
    <n v="5705"/>
    <n v="5.7050000000000001"/>
  </r>
  <r>
    <x v="2"/>
    <x v="2"/>
    <n v="12"/>
    <x v="4"/>
    <s v="Netherlands"/>
    <n v="10956"/>
    <n v="10.956"/>
  </r>
  <r>
    <x v="2"/>
    <x v="2"/>
    <n v="14"/>
    <x v="12"/>
    <s v="Netherlands"/>
    <n v="70850"/>
    <n v="70.849999999999994"/>
  </r>
  <r>
    <x v="2"/>
    <x v="2"/>
    <n v="14"/>
    <x v="12"/>
    <s v="Netherlands"/>
    <n v="27439"/>
    <n v="27.439"/>
  </r>
  <r>
    <x v="2"/>
    <x v="2"/>
    <n v="14"/>
    <x v="12"/>
    <s v="Netherlands"/>
    <n v="47880"/>
    <n v="47.88"/>
  </r>
  <r>
    <x v="2"/>
    <x v="2"/>
    <n v="15"/>
    <x v="9"/>
    <s v="Netherlands"/>
    <n v="10187"/>
    <n v="10.186999999999999"/>
  </r>
  <r>
    <x v="2"/>
    <x v="2"/>
    <n v="15"/>
    <x v="9"/>
    <s v="Netherlands"/>
    <n v="9965"/>
    <n v="9.9649999999999999"/>
  </r>
  <r>
    <x v="2"/>
    <x v="2"/>
    <n v="16"/>
    <x v="9"/>
    <s v="Netherlands"/>
    <n v="6492"/>
    <n v="6.492"/>
  </r>
  <r>
    <x v="2"/>
    <x v="2"/>
    <n v="18"/>
    <x v="1"/>
    <s v="Netherlands"/>
    <n v="3801"/>
    <n v="3.8010000000000002"/>
  </r>
  <r>
    <x v="2"/>
    <x v="2"/>
    <n v="18"/>
    <x v="4"/>
    <s v="Netherlands"/>
    <n v="16099"/>
    <n v="16.099"/>
  </r>
  <r>
    <x v="2"/>
    <x v="2"/>
    <n v="20"/>
    <x v="1"/>
    <s v="Netherlands"/>
    <n v="5226"/>
    <n v="5.226"/>
  </r>
  <r>
    <x v="2"/>
    <x v="2"/>
    <n v="20"/>
    <x v="33"/>
    <s v="Netherlands"/>
    <n v="17685"/>
    <n v="17.684999999999999"/>
  </r>
  <r>
    <x v="2"/>
    <x v="2"/>
    <n v="20"/>
    <x v="33"/>
    <s v="Netherlands"/>
    <n v="26161"/>
    <n v="26.161000000000001"/>
  </r>
  <r>
    <x v="2"/>
    <x v="2"/>
    <n v="23"/>
    <x v="15"/>
    <s v="Netherlands"/>
    <n v="77969"/>
    <n v="77.968999999999994"/>
  </r>
  <r>
    <x v="2"/>
    <x v="2"/>
    <n v="25"/>
    <x v="4"/>
    <s v="Netherlands"/>
    <n v="16561"/>
    <n v="16.561"/>
  </r>
  <r>
    <x v="2"/>
    <x v="2"/>
    <n v="25"/>
    <x v="4"/>
    <s v="Netherlands"/>
    <n v="14296"/>
    <n v="14.295999999999999"/>
  </r>
  <r>
    <x v="2"/>
    <x v="2"/>
    <n v="29"/>
    <x v="4"/>
    <s v="Netherlands"/>
    <n v="17097"/>
    <n v="17.097000000000001"/>
  </r>
  <r>
    <x v="2"/>
    <x v="3"/>
    <n v="1"/>
    <x v="12"/>
    <s v="Netherlands"/>
    <n v="9851"/>
    <n v="9.8510000000000009"/>
  </r>
  <r>
    <x v="2"/>
    <x v="3"/>
    <n v="1"/>
    <x v="12"/>
    <s v="Netherlands"/>
    <n v="12674"/>
    <n v="12.673999999999999"/>
  </r>
  <r>
    <x v="2"/>
    <x v="3"/>
    <n v="1"/>
    <x v="12"/>
    <s v="Netherlands"/>
    <n v="5645"/>
    <n v="5.6449999999999996"/>
  </r>
  <r>
    <x v="2"/>
    <x v="3"/>
    <n v="1"/>
    <x v="12"/>
    <s v="Netherlands"/>
    <n v="12674"/>
    <n v="12.673999999999999"/>
  </r>
  <r>
    <x v="2"/>
    <x v="3"/>
    <n v="1"/>
    <x v="20"/>
    <s v="Netherlands"/>
    <n v="4418"/>
    <n v="4.4180000000000001"/>
  </r>
  <r>
    <x v="2"/>
    <x v="3"/>
    <n v="2"/>
    <x v="4"/>
    <s v="Netherlands"/>
    <n v="16715"/>
    <n v="16.715"/>
  </r>
  <r>
    <x v="2"/>
    <x v="3"/>
    <n v="3"/>
    <x v="12"/>
    <s v="Netherlands"/>
    <n v="17541"/>
    <n v="17.541"/>
  </r>
  <r>
    <x v="2"/>
    <x v="3"/>
    <n v="3"/>
    <x v="12"/>
    <s v="Netherlands"/>
    <n v="10175"/>
    <n v="10.175000000000001"/>
  </r>
  <r>
    <x v="2"/>
    <x v="3"/>
    <n v="3"/>
    <x v="12"/>
    <s v="Netherlands"/>
    <n v="4589"/>
    <n v="4.5890000000000004"/>
  </r>
  <r>
    <x v="2"/>
    <x v="3"/>
    <n v="3"/>
    <x v="12"/>
    <s v="Netherlands"/>
    <n v="8009"/>
    <n v="8.0090000000000003"/>
  </r>
  <r>
    <x v="2"/>
    <x v="3"/>
    <n v="3"/>
    <x v="13"/>
    <s v="Netherlands"/>
    <n v="61872"/>
    <n v="61.872"/>
  </r>
  <r>
    <x v="2"/>
    <x v="3"/>
    <n v="4"/>
    <x v="10"/>
    <s v="Netherlands"/>
    <n v="41975"/>
    <n v="41.975000000000001"/>
  </r>
  <r>
    <x v="2"/>
    <x v="3"/>
    <n v="4"/>
    <x v="11"/>
    <s v="Netherlands"/>
    <n v="26731"/>
    <n v="26.731000000000002"/>
  </r>
  <r>
    <x v="2"/>
    <x v="3"/>
    <n v="7"/>
    <x v="14"/>
    <s v="Netherlands"/>
    <n v="98230"/>
    <n v="98.23"/>
  </r>
  <r>
    <x v="2"/>
    <x v="3"/>
    <n v="14"/>
    <x v="4"/>
    <s v="Netherlands"/>
    <n v="15779"/>
    <n v="15.779"/>
  </r>
  <r>
    <x v="2"/>
    <x v="3"/>
    <n v="17"/>
    <x v="33"/>
    <s v="Netherlands"/>
    <n v="75987"/>
    <n v="75.986999999999995"/>
  </r>
  <r>
    <x v="2"/>
    <x v="3"/>
    <n v="20"/>
    <x v="3"/>
    <s v="Netherlands"/>
    <n v="6540"/>
    <n v="6.54"/>
  </r>
  <r>
    <x v="2"/>
    <x v="3"/>
    <n v="20"/>
    <x v="13"/>
    <s v="Belgium"/>
    <n v="63108"/>
    <n v="63.107999999999997"/>
  </r>
  <r>
    <x v="2"/>
    <x v="3"/>
    <n v="23"/>
    <x v="4"/>
    <s v="Netherlands"/>
    <n v="15817"/>
    <n v="15.817"/>
  </r>
  <r>
    <x v="2"/>
    <x v="3"/>
    <n v="29"/>
    <x v="4"/>
    <s v="Netherlands"/>
    <n v="16661"/>
    <n v="16.661000000000001"/>
  </r>
  <r>
    <x v="2"/>
    <x v="3"/>
    <n v="29"/>
    <x v="15"/>
    <s v="Netherlands"/>
    <n v="66454"/>
    <n v="66.453999999999994"/>
  </r>
  <r>
    <x v="2"/>
    <x v="3"/>
    <n v="30"/>
    <x v="20"/>
    <s v="Netherlands"/>
    <n v="28741"/>
    <n v="28.741"/>
  </r>
  <r>
    <x v="2"/>
    <x v="4"/>
    <n v="1"/>
    <x v="14"/>
    <s v="Netherlands"/>
    <n v="103796"/>
    <n v="103.79600000000001"/>
  </r>
  <r>
    <x v="2"/>
    <x v="4"/>
    <n v="3"/>
    <x v="22"/>
    <s v="Netherlands"/>
    <n v="21113"/>
    <n v="21.113"/>
  </r>
  <r>
    <x v="2"/>
    <x v="4"/>
    <n v="3"/>
    <x v="22"/>
    <s v="Netherlands"/>
    <n v="15162"/>
    <n v="15.162000000000001"/>
  </r>
  <r>
    <x v="2"/>
    <x v="4"/>
    <n v="4"/>
    <x v="4"/>
    <s v="Netherlands"/>
    <n v="15779"/>
    <n v="15.779"/>
  </r>
  <r>
    <x v="2"/>
    <x v="4"/>
    <n v="12"/>
    <x v="34"/>
    <s v="Netherlands"/>
    <n v="31585"/>
    <n v="31.585000000000001"/>
  </r>
  <r>
    <x v="2"/>
    <x v="4"/>
    <n v="12"/>
    <x v="13"/>
    <s v="Netherlands"/>
    <n v="39815"/>
    <n v="39.814999999999998"/>
  </r>
  <r>
    <x v="2"/>
    <x v="4"/>
    <n v="13"/>
    <x v="4"/>
    <s v="Netherlands"/>
    <n v="17631"/>
    <n v="17.631"/>
  </r>
  <r>
    <x v="2"/>
    <x v="4"/>
    <n v="14"/>
    <x v="4"/>
    <s v="Netherlands"/>
    <n v="16661"/>
    <n v="16.661000000000001"/>
  </r>
  <r>
    <x v="2"/>
    <x v="4"/>
    <n v="17"/>
    <x v="4"/>
    <s v="Netherlands"/>
    <n v="7673"/>
    <n v="7.673"/>
  </r>
  <r>
    <x v="2"/>
    <x v="4"/>
    <n v="21"/>
    <x v="4"/>
    <s v="Netherlands"/>
    <n v="9042"/>
    <n v="9.0419999999999998"/>
  </r>
  <r>
    <x v="2"/>
    <x v="4"/>
    <n v="22"/>
    <x v="4"/>
    <s v="Netherlands"/>
    <n v="16661"/>
    <n v="16.661000000000001"/>
  </r>
  <r>
    <x v="2"/>
    <x v="4"/>
    <n v="28"/>
    <x v="13"/>
    <s v="Netherlands"/>
    <n v="47475"/>
    <n v="47.475000000000001"/>
  </r>
  <r>
    <x v="2"/>
    <x v="4"/>
    <n v="29"/>
    <x v="22"/>
    <s v="Netherlands"/>
    <n v="8193"/>
    <n v="8.1929999999999996"/>
  </r>
  <r>
    <x v="2"/>
    <x v="4"/>
    <n v="29"/>
    <x v="18"/>
    <s v="Netherlands"/>
    <n v="11603"/>
    <n v="11.603"/>
  </r>
  <r>
    <x v="2"/>
    <x v="4"/>
    <n v="29"/>
    <x v="18"/>
    <s v="Netherlands"/>
    <n v="11603"/>
    <n v="11.603"/>
  </r>
  <r>
    <x v="2"/>
    <x v="4"/>
    <n v="31"/>
    <x v="3"/>
    <s v="Netherlands"/>
    <n v="2724"/>
    <n v="2.7240000000000002"/>
  </r>
  <r>
    <x v="2"/>
    <x v="4"/>
    <n v="31"/>
    <x v="3"/>
    <s v="Netherlands"/>
    <n v="5994"/>
    <n v="5.9939999999999998"/>
  </r>
  <r>
    <x v="2"/>
    <x v="5"/>
    <n v="3"/>
    <x v="4"/>
    <s v="Netherlands"/>
    <n v="16163"/>
    <n v="16.163"/>
  </r>
  <r>
    <x v="2"/>
    <x v="5"/>
    <n v="4"/>
    <x v="14"/>
    <s v="Netherlands"/>
    <n v="91677"/>
    <n v="91.677000000000007"/>
  </r>
  <r>
    <x v="2"/>
    <x v="5"/>
    <n v="12"/>
    <x v="4"/>
    <s v="Netherlands"/>
    <n v="15817"/>
    <n v="15.817"/>
  </r>
  <r>
    <x v="2"/>
    <x v="5"/>
    <n v="13"/>
    <x v="1"/>
    <s v="Netherlands"/>
    <n v="9674"/>
    <n v="9.6739999999999995"/>
  </r>
  <r>
    <x v="2"/>
    <x v="5"/>
    <n v="22"/>
    <x v="4"/>
    <s v="Netherlands"/>
    <n v="16933"/>
    <n v="16.933"/>
  </r>
  <r>
    <x v="2"/>
    <x v="5"/>
    <n v="28"/>
    <x v="4"/>
    <s v="Netherlands"/>
    <n v="16707"/>
    <n v="16.707000000000001"/>
  </r>
  <r>
    <x v="2"/>
    <x v="6"/>
    <n v="2"/>
    <x v="35"/>
    <s v="Netherlands"/>
    <n v="52012"/>
    <n v="52.012"/>
  </r>
  <r>
    <x v="2"/>
    <x v="6"/>
    <n v="4"/>
    <x v="4"/>
    <s v="Netherlands"/>
    <n v="15817"/>
    <n v="15.817"/>
  </r>
  <r>
    <x v="2"/>
    <x v="6"/>
    <n v="10"/>
    <x v="9"/>
    <s v="Netherlands"/>
    <n v="37781"/>
    <n v="37.780999999999999"/>
  </r>
  <r>
    <x v="2"/>
    <x v="6"/>
    <n v="11"/>
    <x v="9"/>
    <s v="Netherlands"/>
    <n v="2770"/>
    <n v="2.77"/>
  </r>
  <r>
    <x v="2"/>
    <x v="6"/>
    <n v="12"/>
    <x v="4"/>
    <s v="Netherlands"/>
    <n v="15779"/>
    <n v="15.779"/>
  </r>
  <r>
    <x v="2"/>
    <x v="6"/>
    <n v="13"/>
    <x v="3"/>
    <s v="Netherlands"/>
    <n v="2179"/>
    <n v="2.1789999999999998"/>
  </r>
  <r>
    <x v="2"/>
    <x v="6"/>
    <n v="13"/>
    <x v="3"/>
    <s v="Netherlands"/>
    <n v="5449"/>
    <n v="5.4489999999999998"/>
  </r>
  <r>
    <x v="2"/>
    <x v="6"/>
    <n v="13"/>
    <x v="15"/>
    <s v="Netherlands"/>
    <n v="41384"/>
    <n v="41.384"/>
  </r>
  <r>
    <x v="2"/>
    <x v="6"/>
    <n v="13"/>
    <x v="28"/>
    <s v="Netherlands"/>
    <n v="17409"/>
    <n v="17.408999999999999"/>
  </r>
  <r>
    <x v="2"/>
    <x v="6"/>
    <n v="14"/>
    <x v="14"/>
    <s v="Netherlands"/>
    <n v="95991"/>
    <n v="95.991"/>
  </r>
  <r>
    <x v="2"/>
    <x v="6"/>
    <n v="16"/>
    <x v="13"/>
    <s v="Netherlands"/>
    <n v="50362"/>
    <n v="50.362000000000002"/>
  </r>
  <r>
    <x v="2"/>
    <x v="6"/>
    <n v="19"/>
    <x v="12"/>
    <s v="Netherlands"/>
    <n v="41080"/>
    <n v="41.08"/>
  </r>
  <r>
    <x v="2"/>
    <x v="6"/>
    <n v="19"/>
    <x v="12"/>
    <s v="Netherlands"/>
    <n v="44036"/>
    <n v="44.036000000000001"/>
  </r>
  <r>
    <x v="2"/>
    <x v="6"/>
    <n v="19"/>
    <x v="12"/>
    <s v="Netherlands"/>
    <n v="58693"/>
    <n v="58.692999999999998"/>
  </r>
  <r>
    <x v="2"/>
    <x v="6"/>
    <n v="22"/>
    <x v="4"/>
    <s v="Netherlands"/>
    <n v="16661"/>
    <n v="16.661000000000001"/>
  </r>
  <r>
    <x v="2"/>
    <x v="6"/>
    <n v="25"/>
    <x v="13"/>
    <s v="Belgium"/>
    <n v="27738"/>
    <n v="27.738"/>
  </r>
  <r>
    <x v="2"/>
    <x v="6"/>
    <n v="31"/>
    <x v="4"/>
    <s v="Netherlands"/>
    <n v="16933"/>
    <n v="16.933"/>
  </r>
  <r>
    <x v="2"/>
    <x v="6"/>
    <n v="31"/>
    <x v="13"/>
    <s v="Netherlands"/>
    <n v="28700"/>
    <n v="28.7"/>
  </r>
  <r>
    <x v="2"/>
    <x v="7"/>
    <n v="3"/>
    <x v="4"/>
    <s v="Netherlands"/>
    <n v="16661"/>
    <n v="16.661000000000001"/>
  </r>
  <r>
    <x v="2"/>
    <x v="7"/>
    <n v="7"/>
    <x v="4"/>
    <s v="Netherlands"/>
    <n v="16722"/>
    <n v="16.722000000000001"/>
  </r>
  <r>
    <x v="2"/>
    <x v="7"/>
    <n v="11"/>
    <x v="4"/>
    <s v="Netherlands"/>
    <n v="16715"/>
    <n v="16.715"/>
  </r>
  <r>
    <x v="2"/>
    <x v="7"/>
    <n v="12"/>
    <x v="13"/>
    <s v="Netherlands"/>
    <n v="76334"/>
    <n v="76.334000000000003"/>
  </r>
  <r>
    <x v="2"/>
    <x v="7"/>
    <n v="13"/>
    <x v="13"/>
    <s v="Netherlands"/>
    <n v="54380"/>
    <n v="54.38"/>
  </r>
  <r>
    <x v="2"/>
    <x v="7"/>
    <n v="15"/>
    <x v="4"/>
    <s v="Netherlands"/>
    <n v="16722"/>
    <n v="16.722000000000001"/>
  </r>
  <r>
    <x v="2"/>
    <x v="7"/>
    <n v="17"/>
    <x v="14"/>
    <s v="Netherlands"/>
    <n v="49388"/>
    <n v="49.387999999999998"/>
  </r>
  <r>
    <x v="2"/>
    <x v="7"/>
    <n v="18"/>
    <x v="4"/>
    <s v="Netherlands"/>
    <n v="10741"/>
    <n v="10.741"/>
  </r>
  <r>
    <x v="2"/>
    <x v="7"/>
    <n v="19"/>
    <x v="14"/>
    <s v="Netherlands"/>
    <n v="50967"/>
    <n v="50.966999999999999"/>
  </r>
  <r>
    <x v="2"/>
    <x v="7"/>
    <n v="24"/>
    <x v="4"/>
    <s v="Netherlands"/>
    <n v="16722"/>
    <n v="16.722000000000001"/>
  </r>
  <r>
    <x v="2"/>
    <x v="7"/>
    <n v="25"/>
    <x v="3"/>
    <s v="Netherlands"/>
    <n v="8175"/>
    <n v="8.1750000000000007"/>
  </r>
  <r>
    <x v="2"/>
    <x v="7"/>
    <n v="30"/>
    <x v="12"/>
    <s v="Netherlands"/>
    <n v="27195"/>
    <n v="27.195"/>
  </r>
  <r>
    <x v="2"/>
    <x v="7"/>
    <n v="30"/>
    <x v="12"/>
    <s v="Netherlands"/>
    <n v="43225"/>
    <n v="43.225000000000001"/>
  </r>
  <r>
    <x v="2"/>
    <x v="7"/>
    <n v="30"/>
    <x v="12"/>
    <s v="Netherlands"/>
    <n v="36651"/>
    <n v="36.651000000000003"/>
  </r>
  <r>
    <x v="2"/>
    <x v="7"/>
    <n v="30"/>
    <x v="12"/>
    <s v="Netherlands"/>
    <n v="19569"/>
    <n v="19.568999999999999"/>
  </r>
  <r>
    <x v="2"/>
    <x v="7"/>
    <n v="30"/>
    <x v="12"/>
    <s v="Netherlands"/>
    <n v="22167"/>
    <n v="22.167000000000002"/>
  </r>
  <r>
    <x v="2"/>
    <x v="8"/>
    <n v="1"/>
    <x v="4"/>
    <s v="Netherlands"/>
    <n v="13101"/>
    <n v="13.101000000000001"/>
  </r>
  <r>
    <x v="2"/>
    <x v="8"/>
    <n v="4"/>
    <x v="4"/>
    <s v="Netherlands"/>
    <n v="3620"/>
    <n v="3.62"/>
  </r>
  <r>
    <x v="2"/>
    <x v="8"/>
    <n v="5"/>
    <x v="4"/>
    <s v="Netherlands"/>
    <n v="17055"/>
    <n v="17.055"/>
  </r>
  <r>
    <x v="2"/>
    <x v="8"/>
    <n v="7"/>
    <x v="25"/>
    <s v="Netherlands"/>
    <n v="4502"/>
    <n v="4.5019999999999998"/>
  </r>
  <r>
    <x v="2"/>
    <x v="8"/>
    <n v="7"/>
    <x v="1"/>
    <s v="Netherlands"/>
    <n v="23307"/>
    <n v="23.306999999999999"/>
  </r>
  <r>
    <x v="2"/>
    <x v="8"/>
    <n v="9"/>
    <x v="13"/>
    <s v="Netherlands"/>
    <n v="61208"/>
    <n v="61.207999999999998"/>
  </r>
  <r>
    <x v="2"/>
    <x v="8"/>
    <n v="10"/>
    <x v="4"/>
    <s v="Netherlands"/>
    <n v="16661"/>
    <n v="16.661000000000001"/>
  </r>
  <r>
    <x v="2"/>
    <x v="8"/>
    <n v="12"/>
    <x v="16"/>
    <s v="Netherlands"/>
    <n v="42154"/>
    <n v="42.154000000000003"/>
  </r>
  <r>
    <x v="2"/>
    <x v="8"/>
    <n v="13"/>
    <x v="14"/>
    <s v="Netherlands"/>
    <n v="66901"/>
    <n v="66.900999999999996"/>
  </r>
  <r>
    <x v="2"/>
    <x v="8"/>
    <n v="13"/>
    <x v="4"/>
    <s v="Netherlands"/>
    <n v="16722"/>
    <n v="16.722000000000001"/>
  </r>
  <r>
    <x v="2"/>
    <x v="8"/>
    <n v="18"/>
    <x v="11"/>
    <s v="Netherlands"/>
    <n v="60525"/>
    <n v="60.524999999999999"/>
  </r>
  <r>
    <x v="2"/>
    <x v="8"/>
    <n v="20"/>
    <x v="4"/>
    <s v="Netherlands"/>
    <n v="16722"/>
    <n v="16.722000000000001"/>
  </r>
  <r>
    <x v="2"/>
    <x v="8"/>
    <n v="23"/>
    <x v="13"/>
    <s v="Netherlands"/>
    <n v="67145"/>
    <n v="67.144999999999996"/>
  </r>
  <r>
    <x v="2"/>
    <x v="8"/>
    <n v="24"/>
    <x v="15"/>
    <s v="Netherlands"/>
    <n v="43600"/>
    <n v="43.6"/>
  </r>
  <r>
    <x v="2"/>
    <x v="8"/>
    <n v="26"/>
    <x v="1"/>
    <s v="Netherlands"/>
    <n v="4931"/>
    <n v="4.931"/>
  </r>
  <r>
    <x v="2"/>
    <x v="8"/>
    <n v="29"/>
    <x v="4"/>
    <s v="Netherlands"/>
    <n v="16934"/>
    <n v="16.934000000000001"/>
  </r>
  <r>
    <x v="2"/>
    <x v="9"/>
    <n v="2"/>
    <x v="1"/>
    <s v="Netherlands"/>
    <n v="5702"/>
    <n v="5.702"/>
  </r>
  <r>
    <x v="2"/>
    <x v="9"/>
    <n v="3"/>
    <x v="4"/>
    <s v="Netherlands"/>
    <n v="16722"/>
    <n v="16.722000000000001"/>
  </r>
  <r>
    <x v="2"/>
    <x v="9"/>
    <n v="5"/>
    <x v="36"/>
    <s v="Netherlands"/>
    <n v="4987"/>
    <n v="4.9870000000000001"/>
  </r>
  <r>
    <x v="2"/>
    <x v="9"/>
    <n v="7"/>
    <x v="4"/>
    <s v="Netherlands"/>
    <n v="15779"/>
    <n v="15.779"/>
  </r>
  <r>
    <x v="2"/>
    <x v="9"/>
    <n v="7"/>
    <x v="20"/>
    <s v="Netherlands"/>
    <n v="37696"/>
    <n v="37.695999999999998"/>
  </r>
  <r>
    <x v="2"/>
    <x v="9"/>
    <n v="7"/>
    <x v="11"/>
    <s v="Netherlands"/>
    <n v="21971"/>
    <n v="21.971"/>
  </r>
  <r>
    <x v="2"/>
    <x v="9"/>
    <n v="7"/>
    <x v="13"/>
    <s v="Belgium"/>
    <n v="70039"/>
    <n v="70.039000000000001"/>
  </r>
  <r>
    <x v="2"/>
    <x v="9"/>
    <n v="11"/>
    <x v="4"/>
    <s v="Netherlands"/>
    <n v="11917"/>
    <n v="11.917"/>
  </r>
  <r>
    <x v="2"/>
    <x v="9"/>
    <n v="13"/>
    <x v="4"/>
    <s v="Netherlands"/>
    <n v="3373"/>
    <n v="3.3730000000000002"/>
  </r>
  <r>
    <x v="2"/>
    <x v="9"/>
    <n v="14"/>
    <x v="14"/>
    <s v="Netherlands"/>
    <n v="99493"/>
    <n v="99.492999999999995"/>
  </r>
  <r>
    <x v="2"/>
    <x v="9"/>
    <n v="16"/>
    <x v="4"/>
    <s v="Netherlands"/>
    <n v="15779"/>
    <n v="15.779"/>
  </r>
  <r>
    <x v="2"/>
    <x v="9"/>
    <n v="19"/>
    <x v="3"/>
    <s v="Netherlands"/>
    <n v="33545"/>
    <n v="33.545000000000002"/>
  </r>
  <r>
    <x v="2"/>
    <x v="9"/>
    <n v="24"/>
    <x v="13"/>
    <s v="Netherlands"/>
    <n v="35107"/>
    <n v="35.106999999999999"/>
  </r>
  <r>
    <x v="2"/>
    <x v="9"/>
    <n v="26"/>
    <x v="11"/>
    <s v="Netherlands"/>
    <n v="68802"/>
    <n v="68.802000000000007"/>
  </r>
  <r>
    <x v="2"/>
    <x v="9"/>
    <n v="26"/>
    <x v="11"/>
    <s v="Netherlands"/>
    <n v="17199"/>
    <n v="17.199000000000002"/>
  </r>
  <r>
    <x v="2"/>
    <x v="9"/>
    <n v="26"/>
    <x v="13"/>
    <s v="Netherlands"/>
    <n v="35107"/>
    <n v="35.106999999999999"/>
  </r>
  <r>
    <x v="2"/>
    <x v="9"/>
    <n v="27"/>
    <x v="7"/>
    <s v="Belgium"/>
    <n v="1462"/>
    <n v="1.462"/>
  </r>
  <r>
    <x v="2"/>
    <x v="9"/>
    <n v="28"/>
    <x v="4"/>
    <s v="Netherlands"/>
    <n v="16722"/>
    <n v="16.722000000000001"/>
  </r>
  <r>
    <x v="2"/>
    <x v="9"/>
    <n v="31"/>
    <x v="4"/>
    <s v="Netherlands"/>
    <n v="16593"/>
    <n v="16.593"/>
  </r>
  <r>
    <x v="2"/>
    <x v="9"/>
    <n v="31"/>
    <x v="11"/>
    <s v="Netherlands"/>
    <n v="25717"/>
    <n v="25.716999999999999"/>
  </r>
  <r>
    <x v="2"/>
    <x v="10"/>
    <n v="2"/>
    <x v="11"/>
    <s v="Netherlands"/>
    <n v="8600"/>
    <n v="8.6"/>
  </r>
  <r>
    <x v="2"/>
    <x v="10"/>
    <n v="3"/>
    <x v="4"/>
    <s v="Netherlands"/>
    <n v="16100"/>
    <n v="16.100000000000001"/>
  </r>
  <r>
    <x v="2"/>
    <x v="10"/>
    <n v="4"/>
    <x v="20"/>
    <s v="Belgium"/>
    <n v="2300"/>
    <n v="2.2999999999999998"/>
  </r>
  <r>
    <x v="2"/>
    <x v="10"/>
    <n v="5"/>
    <x v="15"/>
    <s v="Netherlands"/>
    <n v="100500"/>
    <n v="100.5"/>
  </r>
  <r>
    <x v="2"/>
    <x v="10"/>
    <n v="8"/>
    <x v="4"/>
    <s v="Netherlands"/>
    <n v="15100"/>
    <n v="15.1"/>
  </r>
  <r>
    <x v="2"/>
    <x v="10"/>
    <n v="13"/>
    <x v="4"/>
    <s v="Netherlands"/>
    <n v="15600"/>
    <n v="15.6"/>
  </r>
  <r>
    <x v="2"/>
    <x v="10"/>
    <n v="14"/>
    <x v="22"/>
    <s v="Netherlands"/>
    <n v="140000"/>
    <n v="140"/>
  </r>
  <r>
    <x v="2"/>
    <x v="10"/>
    <n v="15"/>
    <x v="14"/>
    <s v="Netherlands"/>
    <n v="30300"/>
    <n v="30.3"/>
  </r>
  <r>
    <x v="2"/>
    <x v="10"/>
    <n v="17"/>
    <x v="4"/>
    <s v="Netherlands"/>
    <n v="15600"/>
    <n v="15.6"/>
  </r>
  <r>
    <x v="2"/>
    <x v="10"/>
    <n v="20"/>
    <x v="4"/>
    <s v="Netherlands"/>
    <n v="11100"/>
    <n v="11.1"/>
  </r>
  <r>
    <x v="2"/>
    <x v="10"/>
    <n v="21"/>
    <x v="4"/>
    <s v="Netherlands"/>
    <n v="15800"/>
    <n v="15.8"/>
  </r>
  <r>
    <x v="2"/>
    <x v="10"/>
    <n v="23"/>
    <x v="13"/>
    <s v="Netherlands"/>
    <n v="100000"/>
    <n v="100"/>
  </r>
  <r>
    <x v="2"/>
    <x v="10"/>
    <n v="26"/>
    <x v="22"/>
    <s v="Netherlands"/>
    <n v="152900"/>
    <n v="152.9"/>
  </r>
  <r>
    <x v="2"/>
    <x v="10"/>
    <n v="27"/>
    <x v="13"/>
    <s v="Netherlands"/>
    <n v="70000"/>
    <n v="70"/>
  </r>
  <r>
    <x v="2"/>
    <x v="10"/>
    <n v="28"/>
    <x v="37"/>
    <s v="Netherlands"/>
    <n v="54400"/>
    <n v="54.4"/>
  </r>
  <r>
    <x v="2"/>
    <x v="10"/>
    <n v="29"/>
    <x v="13"/>
    <s v="Netherlands"/>
    <n v="70200"/>
    <n v="70.2"/>
  </r>
  <r>
    <x v="2"/>
    <x v="10"/>
    <n v="29"/>
    <x v="17"/>
    <s v="Netherlands"/>
    <n v="55000"/>
    <n v="55"/>
  </r>
  <r>
    <x v="2"/>
    <x v="10"/>
    <n v="30"/>
    <x v="14"/>
    <s v="Netherlands"/>
    <n v="29000"/>
    <n v="29"/>
  </r>
  <r>
    <x v="2"/>
    <x v="11"/>
    <n v="1"/>
    <x v="4"/>
    <s v="Netherlands"/>
    <n v="15193"/>
    <n v="15.193"/>
  </r>
  <r>
    <x v="2"/>
    <x v="11"/>
    <n v="5"/>
    <x v="4"/>
    <s v="Netherlands"/>
    <n v="15029"/>
    <n v="15.029"/>
  </r>
  <r>
    <x v="2"/>
    <x v="11"/>
    <n v="9"/>
    <x v="4"/>
    <s v="Netherlands"/>
    <n v="16343"/>
    <n v="16.343"/>
  </r>
  <r>
    <x v="2"/>
    <x v="11"/>
    <n v="10"/>
    <x v="1"/>
    <s v="Netherlands"/>
    <n v="1685"/>
    <n v="1.6850000000000001"/>
  </r>
  <r>
    <x v="2"/>
    <x v="11"/>
    <n v="11"/>
    <x v="1"/>
    <s v="Netherlands"/>
    <n v="4495"/>
    <n v="4.4950000000000001"/>
  </r>
  <r>
    <x v="2"/>
    <x v="11"/>
    <n v="14"/>
    <x v="4"/>
    <s v="Netherlands"/>
    <n v="15817"/>
    <n v="15.817"/>
  </r>
  <r>
    <x v="2"/>
    <x v="11"/>
    <n v="16"/>
    <x v="4"/>
    <s v="Netherlands"/>
    <n v="16722"/>
    <n v="16.722000000000001"/>
  </r>
  <r>
    <x v="2"/>
    <x v="11"/>
    <n v="20"/>
    <x v="4"/>
    <s v="Netherlands"/>
    <n v="16343"/>
    <n v="16.343"/>
  </r>
  <r>
    <x v="2"/>
    <x v="11"/>
    <n v="22"/>
    <x v="17"/>
    <s v="Netherlands"/>
    <n v="71081"/>
    <n v="71.081000000000003"/>
  </r>
  <r>
    <x v="2"/>
    <x v="11"/>
    <n v="24"/>
    <x v="4"/>
    <s v="Netherlands"/>
    <n v="16443"/>
    <n v="16.443000000000001"/>
  </r>
  <r>
    <x v="2"/>
    <x v="11"/>
    <n v="26"/>
    <x v="20"/>
    <s v="Netherlands"/>
    <n v="27899"/>
    <n v="27.899000000000001"/>
  </r>
  <r>
    <x v="2"/>
    <x v="11"/>
    <n v="26"/>
    <x v="4"/>
    <s v="Netherlands"/>
    <n v="16722"/>
    <n v="16.722000000000001"/>
  </r>
  <r>
    <x v="3"/>
    <x v="0"/>
    <n v="3"/>
    <x v="4"/>
    <s v="Netherlands"/>
    <n v="15800"/>
    <n v="15.8"/>
  </r>
  <r>
    <x v="3"/>
    <x v="0"/>
    <n v="6"/>
    <x v="14"/>
    <s v="Netherlands"/>
    <n v="39900"/>
    <n v="39.9"/>
  </r>
  <r>
    <x v="3"/>
    <x v="0"/>
    <n v="6"/>
    <x v="4"/>
    <s v="Belgium"/>
    <n v="16700"/>
    <n v="16.7"/>
  </r>
  <r>
    <x v="3"/>
    <x v="0"/>
    <n v="7"/>
    <x v="4"/>
    <s v="Netherlands"/>
    <n v="16700"/>
    <n v="16.7"/>
  </r>
  <r>
    <x v="3"/>
    <x v="0"/>
    <n v="9"/>
    <x v="15"/>
    <s v="Netherlands"/>
    <n v="40100"/>
    <n v="40.1"/>
  </r>
  <r>
    <x v="3"/>
    <x v="0"/>
    <n v="11"/>
    <x v="4"/>
    <s v="Netherlands"/>
    <n v="15600"/>
    <n v="15.6"/>
  </r>
  <r>
    <x v="3"/>
    <x v="0"/>
    <n v="12"/>
    <x v="6"/>
    <s v="Belgium"/>
    <n v="100000"/>
    <n v="100"/>
  </r>
  <r>
    <x v="3"/>
    <x v="0"/>
    <n v="15"/>
    <x v="15"/>
    <s v="Netherlands"/>
    <n v="109800"/>
    <n v="109.8"/>
  </r>
  <r>
    <x v="3"/>
    <x v="0"/>
    <n v="15"/>
    <x v="6"/>
    <s v="Netherlands"/>
    <n v="120000"/>
    <n v="120"/>
  </r>
  <r>
    <x v="3"/>
    <x v="0"/>
    <n v="16"/>
    <x v="4"/>
    <s v="Netherlands"/>
    <n v="6000"/>
    <n v="6"/>
  </r>
  <r>
    <x v="3"/>
    <x v="0"/>
    <n v="16"/>
    <x v="38"/>
    <s v="Netherlands"/>
    <n v="60000"/>
    <n v="60"/>
  </r>
  <r>
    <x v="3"/>
    <x v="0"/>
    <n v="19"/>
    <x v="4"/>
    <s v="Netherlands"/>
    <n v="15700"/>
    <n v="15.7"/>
  </r>
  <r>
    <x v="3"/>
    <x v="0"/>
    <n v="20"/>
    <x v="14"/>
    <s v="Netherlands"/>
    <n v="38700"/>
    <n v="38.700000000000003"/>
  </r>
  <r>
    <x v="3"/>
    <x v="0"/>
    <n v="21"/>
    <x v="4"/>
    <s v="Netherlands"/>
    <n v="17000"/>
    <n v="17"/>
  </r>
  <r>
    <x v="3"/>
    <x v="0"/>
    <n v="22"/>
    <x v="6"/>
    <s v="Netherlands"/>
    <n v="116500"/>
    <n v="116.5"/>
  </r>
  <r>
    <x v="3"/>
    <x v="0"/>
    <n v="24"/>
    <x v="39"/>
    <s v="Netherlands"/>
    <n v="80000"/>
    <n v="80"/>
  </r>
  <r>
    <x v="3"/>
    <x v="0"/>
    <n v="24"/>
    <x v="4"/>
    <s v="Netherlands"/>
    <n v="15800"/>
    <n v="15.8"/>
  </r>
  <r>
    <x v="3"/>
    <x v="0"/>
    <n v="27"/>
    <x v="15"/>
    <s v="Netherlands"/>
    <n v="80000"/>
    <n v="80"/>
  </r>
  <r>
    <x v="3"/>
    <x v="0"/>
    <n v="28"/>
    <x v="6"/>
    <s v="Netherlands"/>
    <n v="140000"/>
    <n v="140"/>
  </r>
  <r>
    <x v="3"/>
    <x v="0"/>
    <n v="29"/>
    <x v="4"/>
    <s v="Netherlands"/>
    <n v="16700"/>
    <n v="16.7"/>
  </r>
  <r>
    <x v="3"/>
    <x v="1"/>
    <n v="2"/>
    <x v="14"/>
    <s v="Netherlands"/>
    <n v="70000"/>
    <n v="70"/>
  </r>
  <r>
    <x v="3"/>
    <x v="1"/>
    <n v="4"/>
    <x v="4"/>
    <s v="Netherlands"/>
    <n v="16600"/>
    <n v="16.600000000000001"/>
  </r>
  <r>
    <x v="3"/>
    <x v="1"/>
    <n v="4"/>
    <x v="4"/>
    <s v="Netherlands"/>
    <n v="6000"/>
    <n v="6"/>
  </r>
  <r>
    <x v="3"/>
    <x v="1"/>
    <n v="5"/>
    <x v="1"/>
    <s v="Netherlands"/>
    <n v="14800"/>
    <n v="14.8"/>
  </r>
  <r>
    <x v="3"/>
    <x v="1"/>
    <n v="8"/>
    <x v="15"/>
    <s v="Netherlands"/>
    <n v="110000"/>
    <n v="110"/>
  </r>
  <r>
    <x v="3"/>
    <x v="1"/>
    <n v="8"/>
    <x v="13"/>
    <s v="Netherlands"/>
    <n v="-90000"/>
    <n v="-90"/>
  </r>
  <r>
    <x v="3"/>
    <x v="1"/>
    <n v="9"/>
    <x v="40"/>
    <s v="Netherlands"/>
    <n v="-100000"/>
    <n v="-100"/>
  </r>
  <r>
    <x v="3"/>
    <x v="1"/>
    <n v="10"/>
    <x v="4"/>
    <s v="Netherlands"/>
    <n v="15300"/>
    <n v="15.3"/>
  </r>
  <r>
    <x v="3"/>
    <x v="1"/>
    <n v="10"/>
    <x v="15"/>
    <s v="Netherlands"/>
    <n v="110000"/>
    <n v="110"/>
  </r>
  <r>
    <x v="3"/>
    <x v="1"/>
    <n v="12"/>
    <x v="4"/>
    <s v="Netherlands"/>
    <n v="16700"/>
    <n v="16.7"/>
  </r>
  <r>
    <x v="3"/>
    <x v="1"/>
    <n v="12"/>
    <x v="41"/>
    <s v="Netherlands"/>
    <n v="-12000"/>
    <n v="-12"/>
  </r>
  <r>
    <x v="3"/>
    <x v="1"/>
    <n v="13"/>
    <x v="4"/>
    <s v="Netherlands"/>
    <n v="16700"/>
    <n v="16.7"/>
  </r>
  <r>
    <x v="3"/>
    <x v="1"/>
    <n v="13"/>
    <x v="11"/>
    <s v="Netherlands"/>
    <n v="-35000"/>
    <n v="-35"/>
  </r>
  <r>
    <x v="3"/>
    <x v="1"/>
    <n v="13"/>
    <x v="20"/>
    <s v="Netherlands"/>
    <n v="14200"/>
    <n v="14.2"/>
  </r>
  <r>
    <x v="3"/>
    <x v="1"/>
    <n v="16"/>
    <x v="41"/>
    <s v="Netherlands"/>
    <n v="-16000"/>
    <n v="-16"/>
  </r>
  <r>
    <x v="3"/>
    <x v="1"/>
    <n v="17"/>
    <x v="4"/>
    <s v="Netherlands"/>
    <n v="16100.000000000002"/>
    <n v="16.100000000000001"/>
  </r>
  <r>
    <x v="3"/>
    <x v="1"/>
    <n v="18"/>
    <x v="4"/>
    <s v="Netherlands"/>
    <n v="16700"/>
    <n v="16.7"/>
  </r>
  <r>
    <x v="3"/>
    <x v="1"/>
    <n v="20"/>
    <x v="6"/>
    <s v="Netherlands"/>
    <n v="130000"/>
    <n v="130"/>
  </r>
  <r>
    <x v="3"/>
    <x v="1"/>
    <n v="22"/>
    <x v="14"/>
    <s v="Netherlands"/>
    <n v="92000"/>
    <n v="92"/>
  </r>
  <r>
    <x v="3"/>
    <x v="1"/>
    <n v="25"/>
    <x v="17"/>
    <s v="Netherlands"/>
    <n v="70000"/>
    <n v="70"/>
  </r>
  <r>
    <x v="3"/>
    <x v="1"/>
    <n v="26"/>
    <x v="4"/>
    <s v="Netherlands"/>
    <n v="16700"/>
    <n v="16.7"/>
  </r>
  <r>
    <x v="3"/>
    <x v="1"/>
    <n v="28"/>
    <x v="6"/>
    <s v="Netherlands"/>
    <n v="50000"/>
    <n v="50"/>
  </r>
  <r>
    <x v="3"/>
    <x v="1"/>
    <n v="28"/>
    <x v="4"/>
    <s v="Netherlands"/>
    <n v="11400"/>
    <n v="11.4"/>
  </r>
  <r>
    <x v="3"/>
    <x v="2"/>
    <n v="5"/>
    <x v="4"/>
    <s v="Netherlands"/>
    <n v="17000"/>
    <n v="17"/>
  </r>
  <r>
    <x v="3"/>
    <x v="2"/>
    <n v="5"/>
    <x v="41"/>
    <s v="Netherlands"/>
    <n v="-13000"/>
    <n v="-13"/>
  </r>
  <r>
    <x v="3"/>
    <x v="2"/>
    <n v="6"/>
    <x v="12"/>
    <s v="Netherlands"/>
    <n v="70000"/>
    <n v="70"/>
  </r>
  <r>
    <x v="3"/>
    <x v="2"/>
    <n v="6"/>
    <x v="41"/>
    <s v="Netherlands"/>
    <n v="-30000"/>
    <n v="-30"/>
  </r>
  <r>
    <x v="3"/>
    <x v="2"/>
    <n v="9"/>
    <x v="37"/>
    <s v="Netherlands"/>
    <n v="45000"/>
    <n v="45"/>
  </r>
  <r>
    <x v="3"/>
    <x v="2"/>
    <n v="9"/>
    <x v="4"/>
    <s v="Netherlands"/>
    <n v="17000"/>
    <n v="17"/>
  </r>
  <r>
    <x v="3"/>
    <x v="2"/>
    <n v="9"/>
    <x v="20"/>
    <s v="Netherlands"/>
    <n v="-76000"/>
    <n v="-76"/>
  </r>
  <r>
    <x v="3"/>
    <x v="2"/>
    <n v="11"/>
    <x v="42"/>
    <s v="Netherlands"/>
    <n v="-75000"/>
    <n v="-75"/>
  </r>
  <r>
    <x v="3"/>
    <x v="2"/>
    <n v="13"/>
    <x v="4"/>
    <s v="Netherlands"/>
    <n v="17000"/>
    <n v="17"/>
  </r>
  <r>
    <x v="3"/>
    <x v="2"/>
    <n v="14"/>
    <x v="3"/>
    <s v="Netherlands"/>
    <n v="-10000"/>
    <n v="-10"/>
  </r>
  <r>
    <x v="3"/>
    <x v="2"/>
    <n v="16"/>
    <x v="12"/>
    <s v="Netherlands"/>
    <n v="70000"/>
    <n v="70"/>
  </r>
  <r>
    <x v="3"/>
    <x v="2"/>
    <n v="17"/>
    <x v="13"/>
    <s v="Netherlands"/>
    <n v="70000"/>
    <n v="70"/>
  </r>
  <r>
    <x v="3"/>
    <x v="2"/>
    <n v="18"/>
    <x v="4"/>
    <s v="Netherlands"/>
    <n v="17000"/>
    <n v="17"/>
  </r>
  <r>
    <x v="3"/>
    <x v="2"/>
    <n v="19"/>
    <x v="14"/>
    <s v="Netherlands"/>
    <n v="100000"/>
    <n v="100"/>
  </r>
  <r>
    <x v="3"/>
    <x v="2"/>
    <n v="20"/>
    <x v="12"/>
    <s v="Netherlands"/>
    <n v="72000"/>
    <n v="72"/>
  </r>
  <r>
    <x v="3"/>
    <x v="2"/>
    <n v="21"/>
    <x v="43"/>
    <s v="Netherlands"/>
    <n v="-29000"/>
    <n v="-29"/>
  </r>
  <r>
    <x v="3"/>
    <x v="2"/>
    <n v="22"/>
    <x v="44"/>
    <s v="Netherlands"/>
    <n v="50000"/>
    <n v="50"/>
  </r>
  <r>
    <x v="3"/>
    <x v="2"/>
    <n v="23"/>
    <x v="4"/>
    <s v="Netherlands"/>
    <n v="17000"/>
    <n v="17"/>
  </r>
  <r>
    <x v="3"/>
    <x v="2"/>
    <n v="25"/>
    <x v="16"/>
    <s v="Netherlands"/>
    <n v="-16000"/>
    <n v="-16"/>
  </r>
  <r>
    <x v="3"/>
    <x v="2"/>
    <n v="28"/>
    <x v="4"/>
    <s v="Netherlands"/>
    <n v="17000"/>
    <n v="17"/>
  </r>
  <r>
    <x v="3"/>
    <x v="3"/>
    <n v="1"/>
    <x v="4"/>
    <s v="Netherlands"/>
    <n v="10000"/>
    <n v="10"/>
  </r>
  <r>
    <x v="3"/>
    <x v="3"/>
    <n v="12"/>
    <x v="4"/>
    <s v="Netherlands"/>
    <n v="60000"/>
    <n v="60"/>
  </r>
  <r>
    <x v="3"/>
    <x v="3"/>
    <n v="20"/>
    <x v="14"/>
    <s v="Netherlands"/>
    <n v="60000"/>
    <n v="60"/>
  </r>
  <r>
    <x v="3"/>
    <x v="3"/>
    <n v="28"/>
    <x v="12"/>
    <s v="Netherlands"/>
    <n v="60000"/>
    <n v="60"/>
  </r>
  <r>
    <x v="4"/>
    <x v="12"/>
    <m/>
    <x v="28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x v="0"/>
    <x v="0"/>
    <n v="1"/>
    <x v="0"/>
    <s v="Netherlands"/>
    <n v="101637"/>
    <n v="101.637"/>
  </r>
  <r>
    <x v="0"/>
    <x v="0"/>
    <n v="3"/>
    <x v="1"/>
    <s v="Belgium"/>
    <n v="10691"/>
    <n v="10.691000000000001"/>
  </r>
  <r>
    <x v="0"/>
    <x v="0"/>
    <n v="5"/>
    <x v="0"/>
    <s v="Netherlands"/>
    <n v="96721"/>
    <n v="96.721000000000004"/>
  </r>
  <r>
    <x v="0"/>
    <x v="0"/>
    <n v="6"/>
    <x v="0"/>
    <s v="Netherlands"/>
    <n v="89768"/>
    <n v="89.768000000000001"/>
  </r>
  <r>
    <x v="0"/>
    <x v="0"/>
    <n v="9"/>
    <x v="0"/>
    <s v="Netherlands"/>
    <n v="31307"/>
    <n v="31.306999999999999"/>
  </r>
  <r>
    <x v="0"/>
    <x v="0"/>
    <n v="14"/>
    <x v="2"/>
    <s v="Netherlands"/>
    <n v="103458"/>
    <n v="103.458"/>
  </r>
  <r>
    <x v="0"/>
    <x v="0"/>
    <n v="14"/>
    <x v="0"/>
    <s v="Netherlands"/>
    <n v="85689"/>
    <n v="85.688999999999993"/>
  </r>
  <r>
    <x v="0"/>
    <x v="0"/>
    <n v="18"/>
    <x v="0"/>
    <s v="Netherlands"/>
    <n v="99558"/>
    <n v="99.558000000000007"/>
  </r>
  <r>
    <x v="0"/>
    <x v="0"/>
    <n v="19"/>
    <x v="3"/>
    <s v="Belgium"/>
    <n v="1791"/>
    <n v="1.7909999999999999"/>
  </r>
  <r>
    <x v="0"/>
    <x v="0"/>
    <n v="19"/>
    <x v="0"/>
    <s v="Netherlands"/>
    <n v="60075"/>
    <n v="60.075000000000003"/>
  </r>
  <r>
    <x v="0"/>
    <x v="0"/>
    <n v="21"/>
    <x v="0"/>
    <s v="Netherlands"/>
    <n v="99636"/>
    <n v="99.635999999999996"/>
  </r>
  <r>
    <x v="0"/>
    <x v="0"/>
    <n v="23"/>
    <x v="0"/>
    <s v="Netherlands"/>
    <n v="87290"/>
    <n v="87.29"/>
  </r>
  <r>
    <x v="0"/>
    <x v="0"/>
    <n v="25"/>
    <x v="0"/>
    <s v="Belgium"/>
    <n v="33757"/>
    <n v="33.756999999999998"/>
  </r>
  <r>
    <x v="0"/>
    <x v="0"/>
    <n v="31"/>
    <x v="0"/>
    <s v="Netherlands"/>
    <n v="101663"/>
    <n v="101.663"/>
  </r>
  <r>
    <x v="0"/>
    <x v="1"/>
    <n v="3"/>
    <x v="0"/>
    <s v="Netherlands"/>
    <n v="85797"/>
    <n v="85.796999999999997"/>
  </r>
  <r>
    <x v="0"/>
    <x v="1"/>
    <n v="4"/>
    <x v="4"/>
    <s v="Netherlands"/>
    <n v="6131"/>
    <n v="6.1310000000000002"/>
  </r>
  <r>
    <x v="0"/>
    <x v="1"/>
    <n v="5"/>
    <x v="1"/>
    <s v="Netherlands"/>
    <n v="1706"/>
    <n v="1.706"/>
  </r>
  <r>
    <x v="0"/>
    <x v="1"/>
    <n v="9"/>
    <x v="4"/>
    <s v="Netherlands"/>
    <n v="17308"/>
    <n v="17.308"/>
  </r>
  <r>
    <x v="0"/>
    <x v="1"/>
    <n v="10"/>
    <x v="0"/>
    <s v="Belgium"/>
    <n v="23756"/>
    <n v="23.756"/>
  </r>
  <r>
    <x v="0"/>
    <x v="1"/>
    <n v="11"/>
    <x v="0"/>
    <s v="Netherlands"/>
    <n v="17108"/>
    <n v="17.108000000000001"/>
  </r>
  <r>
    <x v="0"/>
    <x v="1"/>
    <n v="12"/>
    <x v="3"/>
    <s v="Netherlands"/>
    <n v="4496"/>
    <n v="4.4960000000000004"/>
  </r>
  <r>
    <x v="0"/>
    <x v="1"/>
    <n v="12"/>
    <x v="3"/>
    <s v="Netherlands"/>
    <n v="2860"/>
    <n v="2.86"/>
  </r>
  <r>
    <x v="0"/>
    <x v="1"/>
    <n v="12"/>
    <x v="0"/>
    <s v="Netherlands"/>
    <n v="87744"/>
    <n v="87.744"/>
  </r>
  <r>
    <x v="0"/>
    <x v="1"/>
    <n v="13"/>
    <x v="1"/>
    <s v="Netherlands"/>
    <n v="3090"/>
    <n v="3.09"/>
  </r>
  <r>
    <x v="0"/>
    <x v="1"/>
    <n v="13"/>
    <x v="0"/>
    <s v="Netherlands"/>
    <n v="6404"/>
    <n v="6.4039999999999999"/>
  </r>
  <r>
    <x v="0"/>
    <x v="1"/>
    <n v="14"/>
    <x v="2"/>
    <s v="Netherlands"/>
    <n v="102839"/>
    <n v="102.839"/>
  </r>
  <r>
    <x v="0"/>
    <x v="1"/>
    <n v="14"/>
    <x v="1"/>
    <s v="Netherlands"/>
    <n v="11795"/>
    <n v="11.795"/>
  </r>
  <r>
    <x v="0"/>
    <x v="1"/>
    <n v="14"/>
    <x v="5"/>
    <s v="Belgium"/>
    <n v="954"/>
    <n v="0.95399999999999996"/>
  </r>
  <r>
    <x v="0"/>
    <x v="1"/>
    <n v="16"/>
    <x v="5"/>
    <s v="Belgium"/>
    <n v="1359"/>
    <n v="1.359"/>
  </r>
  <r>
    <x v="0"/>
    <x v="1"/>
    <n v="19"/>
    <x v="0"/>
    <s v="Netherlands"/>
    <n v="44795"/>
    <n v="44.795000000000002"/>
  </r>
  <r>
    <x v="0"/>
    <x v="1"/>
    <n v="21"/>
    <x v="0"/>
    <s v="Netherlands"/>
    <n v="84519"/>
    <n v="84.519000000000005"/>
  </r>
  <r>
    <x v="0"/>
    <x v="1"/>
    <n v="22"/>
    <x v="6"/>
    <s v="Netherlands"/>
    <n v="98439"/>
    <n v="98.438999999999993"/>
  </r>
  <r>
    <x v="0"/>
    <x v="1"/>
    <n v="25"/>
    <x v="4"/>
    <s v="Belgium"/>
    <n v="13770"/>
    <n v="13.77"/>
  </r>
  <r>
    <x v="0"/>
    <x v="1"/>
    <n v="26"/>
    <x v="4"/>
    <s v="Belgium"/>
    <n v="14827"/>
    <n v="14.827"/>
  </r>
  <r>
    <x v="0"/>
    <x v="1"/>
    <n v="26"/>
    <x v="0"/>
    <s v="Netherlands"/>
    <n v="30841"/>
    <n v="30.841000000000001"/>
  </r>
  <r>
    <x v="0"/>
    <x v="2"/>
    <n v="2"/>
    <x v="0"/>
    <s v="Netherlands"/>
    <n v="86432"/>
    <n v="86.432000000000002"/>
  </r>
  <r>
    <x v="0"/>
    <x v="2"/>
    <n v="3"/>
    <x v="7"/>
    <s v="Belgium"/>
    <n v="28919"/>
    <n v="28.919"/>
  </r>
  <r>
    <x v="0"/>
    <x v="2"/>
    <n v="4"/>
    <x v="4"/>
    <s v="Belgium"/>
    <n v="14917"/>
    <n v="14.917"/>
  </r>
  <r>
    <x v="0"/>
    <x v="2"/>
    <n v="8"/>
    <x v="7"/>
    <s v="Belgium"/>
    <n v="713"/>
    <n v="0.71299999999999997"/>
  </r>
  <r>
    <x v="0"/>
    <x v="2"/>
    <n v="9"/>
    <x v="4"/>
    <s v="Netherlands"/>
    <n v="15303"/>
    <n v="15.303000000000001"/>
  </r>
  <r>
    <x v="0"/>
    <x v="2"/>
    <n v="9"/>
    <x v="8"/>
    <s v="Netherlands"/>
    <n v="18716"/>
    <n v="18.716000000000001"/>
  </r>
  <r>
    <x v="0"/>
    <x v="2"/>
    <n v="9"/>
    <x v="0"/>
    <s v="Netherlands"/>
    <n v="98568"/>
    <n v="98.567999999999998"/>
  </r>
  <r>
    <x v="0"/>
    <x v="2"/>
    <n v="11"/>
    <x v="0"/>
    <s v="Netherlands"/>
    <n v="80641"/>
    <n v="80.641000000000005"/>
  </r>
  <r>
    <x v="0"/>
    <x v="2"/>
    <n v="12"/>
    <x v="0"/>
    <s v="Netherlands"/>
    <n v="98566"/>
    <n v="98.566000000000003"/>
  </r>
  <r>
    <x v="0"/>
    <x v="2"/>
    <n v="13"/>
    <x v="9"/>
    <s v="Belgium"/>
    <n v="5527"/>
    <n v="5.5270000000000001"/>
  </r>
  <r>
    <x v="0"/>
    <x v="2"/>
    <n v="14"/>
    <x v="0"/>
    <s v="Netherlands"/>
    <n v="7335"/>
    <n v="7.335"/>
  </r>
  <r>
    <x v="0"/>
    <x v="2"/>
    <n v="17"/>
    <x v="2"/>
    <s v="Netherlands"/>
    <n v="19637"/>
    <n v="19.637"/>
  </r>
  <r>
    <x v="0"/>
    <x v="2"/>
    <n v="17"/>
    <x v="2"/>
    <s v="Netherlands"/>
    <n v="45868"/>
    <n v="45.868000000000002"/>
  </r>
  <r>
    <x v="0"/>
    <x v="2"/>
    <n v="17"/>
    <x v="2"/>
    <s v="Netherlands"/>
    <n v="19637"/>
    <n v="19.637"/>
  </r>
  <r>
    <x v="0"/>
    <x v="2"/>
    <n v="17"/>
    <x v="0"/>
    <s v="Netherlands"/>
    <n v="100056"/>
    <n v="100.056"/>
  </r>
  <r>
    <x v="0"/>
    <x v="2"/>
    <n v="18"/>
    <x v="0"/>
    <s v="Netherlands"/>
    <n v="17047"/>
    <n v="17.047000000000001"/>
  </r>
  <r>
    <x v="0"/>
    <x v="2"/>
    <n v="19"/>
    <x v="7"/>
    <s v="Netherlands"/>
    <n v="37049"/>
    <n v="37.048999999999999"/>
  </r>
  <r>
    <x v="0"/>
    <x v="2"/>
    <n v="21"/>
    <x v="5"/>
    <s v="Belgium"/>
    <n v="3394"/>
    <n v="3.3940000000000001"/>
  </r>
  <r>
    <x v="0"/>
    <x v="2"/>
    <n v="22"/>
    <x v="0"/>
    <s v="Belgium"/>
    <n v="81968"/>
    <n v="81.968000000000004"/>
  </r>
  <r>
    <x v="0"/>
    <x v="2"/>
    <n v="22"/>
    <x v="0"/>
    <s v="Netherlands"/>
    <n v="18641"/>
    <n v="18.640999999999998"/>
  </r>
  <r>
    <x v="0"/>
    <x v="2"/>
    <n v="23"/>
    <x v="10"/>
    <s v="Netherlands"/>
    <n v="33169"/>
    <n v="33.168999999999997"/>
  </r>
  <r>
    <x v="0"/>
    <x v="2"/>
    <n v="23"/>
    <x v="11"/>
    <s v="Netherlands"/>
    <n v="66588"/>
    <n v="66.587999999999994"/>
  </r>
  <r>
    <x v="0"/>
    <x v="2"/>
    <n v="26"/>
    <x v="0"/>
    <s v="Netherlands"/>
    <n v="101891"/>
    <n v="101.89100000000001"/>
  </r>
  <r>
    <x v="0"/>
    <x v="2"/>
    <n v="27"/>
    <x v="0"/>
    <s v="Netherlands"/>
    <n v="82107"/>
    <n v="82.106999999999999"/>
  </r>
  <r>
    <x v="0"/>
    <x v="3"/>
    <n v="1"/>
    <x v="3"/>
    <s v="Netherlands"/>
    <n v="1634"/>
    <n v="1.6339999999999999"/>
  </r>
  <r>
    <x v="0"/>
    <x v="3"/>
    <n v="1"/>
    <x v="3"/>
    <s v="Netherlands"/>
    <n v="4904"/>
    <n v="4.9039999999999999"/>
  </r>
  <r>
    <x v="0"/>
    <x v="3"/>
    <n v="3"/>
    <x v="0"/>
    <s v="Netherlands"/>
    <n v="12378"/>
    <n v="12.378"/>
  </r>
  <r>
    <x v="0"/>
    <x v="3"/>
    <n v="4"/>
    <x v="0"/>
    <s v="Belgium"/>
    <n v="2905"/>
    <n v="2.9049999999999998"/>
  </r>
  <r>
    <x v="0"/>
    <x v="3"/>
    <n v="4"/>
    <x v="0"/>
    <s v="Belgium"/>
    <n v="3756"/>
    <n v="3.7559999999999998"/>
  </r>
  <r>
    <x v="0"/>
    <x v="3"/>
    <n v="5"/>
    <x v="0"/>
    <s v="Netherlands"/>
    <n v="98889"/>
    <n v="98.888999999999996"/>
  </r>
  <r>
    <x v="0"/>
    <x v="3"/>
    <n v="6"/>
    <x v="0"/>
    <s v="Netherlands"/>
    <n v="55653"/>
    <n v="55.652999999999999"/>
  </r>
  <r>
    <x v="0"/>
    <x v="3"/>
    <n v="9"/>
    <x v="0"/>
    <s v="Netherlands"/>
    <n v="6568"/>
    <n v="6.5679999999999996"/>
  </r>
  <r>
    <x v="0"/>
    <x v="3"/>
    <n v="11"/>
    <x v="1"/>
    <s v="Belgium"/>
    <n v="9006"/>
    <n v="9.0060000000000002"/>
  </r>
  <r>
    <x v="0"/>
    <x v="3"/>
    <n v="11"/>
    <x v="0"/>
    <s v="Netherlands"/>
    <n v="31316"/>
    <n v="31.315999999999999"/>
  </r>
  <r>
    <x v="0"/>
    <x v="3"/>
    <n v="13"/>
    <x v="0"/>
    <s v="Netherlands"/>
    <n v="4181"/>
    <n v="4.181"/>
  </r>
  <r>
    <x v="0"/>
    <x v="3"/>
    <n v="17"/>
    <x v="0"/>
    <s v="Netherlands"/>
    <n v="13582"/>
    <n v="13.582000000000001"/>
  </r>
  <r>
    <x v="0"/>
    <x v="3"/>
    <n v="17"/>
    <x v="0"/>
    <s v="Netherlands"/>
    <n v="51675"/>
    <n v="51.674999999999997"/>
  </r>
  <r>
    <x v="0"/>
    <x v="3"/>
    <n v="19"/>
    <x v="12"/>
    <s v="Netherlands"/>
    <n v="26362"/>
    <n v="26.361999999999998"/>
  </r>
  <r>
    <x v="0"/>
    <x v="3"/>
    <n v="19"/>
    <x v="12"/>
    <s v="Netherlands"/>
    <n v="23131"/>
    <n v="23.131"/>
  </r>
  <r>
    <x v="0"/>
    <x v="3"/>
    <n v="19"/>
    <x v="0"/>
    <s v="Netherlands"/>
    <n v="24957"/>
    <n v="24.957000000000001"/>
  </r>
  <r>
    <x v="0"/>
    <x v="3"/>
    <n v="19"/>
    <x v="0"/>
    <s v="Netherlands"/>
    <n v="24957"/>
    <n v="24.957000000000001"/>
  </r>
  <r>
    <x v="0"/>
    <x v="3"/>
    <n v="19"/>
    <x v="0"/>
    <s v="Netherlands"/>
    <n v="32563"/>
    <n v="32.563000000000002"/>
  </r>
  <r>
    <x v="0"/>
    <x v="3"/>
    <n v="19"/>
    <x v="0"/>
    <s v="Netherlands"/>
    <n v="24957"/>
    <n v="24.957000000000001"/>
  </r>
  <r>
    <x v="0"/>
    <x v="3"/>
    <n v="23"/>
    <x v="0"/>
    <s v="Netherlands"/>
    <n v="42790"/>
    <n v="42.79"/>
  </r>
  <r>
    <x v="0"/>
    <x v="3"/>
    <n v="24"/>
    <x v="6"/>
    <s v="Netherlands"/>
    <n v="31419"/>
    <n v="31.419"/>
  </r>
  <r>
    <x v="0"/>
    <x v="3"/>
    <n v="24"/>
    <x v="0"/>
    <s v="Netherlands"/>
    <n v="30322"/>
    <n v="30.321999999999999"/>
  </r>
  <r>
    <x v="0"/>
    <x v="3"/>
    <n v="25"/>
    <x v="1"/>
    <s v="Netherlands"/>
    <n v="5258"/>
    <n v="5.258"/>
  </r>
  <r>
    <x v="0"/>
    <x v="3"/>
    <n v="25"/>
    <x v="0"/>
    <s v="Netherlands"/>
    <n v="54176"/>
    <n v="54.176000000000002"/>
  </r>
  <r>
    <x v="0"/>
    <x v="3"/>
    <n v="27"/>
    <x v="4"/>
    <s v="Belgium"/>
    <n v="16715"/>
    <n v="16.715"/>
  </r>
  <r>
    <x v="0"/>
    <x v="3"/>
    <n v="30"/>
    <x v="10"/>
    <s v="Netherlands"/>
    <n v="34794"/>
    <n v="34.793999999999997"/>
  </r>
  <r>
    <x v="0"/>
    <x v="3"/>
    <n v="30"/>
    <x v="0"/>
    <s v="Netherlands"/>
    <n v="25940"/>
    <n v="25.94"/>
  </r>
  <r>
    <x v="0"/>
    <x v="4"/>
    <n v="1"/>
    <x v="9"/>
    <s v="Netherlands"/>
    <n v="6750"/>
    <n v="6.75"/>
  </r>
  <r>
    <x v="0"/>
    <x v="4"/>
    <n v="1"/>
    <x v="0"/>
    <s v="Netherlands"/>
    <n v="10827"/>
    <n v="10.827"/>
  </r>
  <r>
    <x v="0"/>
    <x v="4"/>
    <n v="1"/>
    <x v="0"/>
    <s v="Netherlands"/>
    <n v="31657"/>
    <n v="31.657"/>
  </r>
  <r>
    <x v="0"/>
    <x v="4"/>
    <n v="1"/>
    <x v="13"/>
    <s v="Belgium"/>
    <n v="7675"/>
    <n v="7.6749999999999998"/>
  </r>
  <r>
    <x v="0"/>
    <x v="4"/>
    <n v="3"/>
    <x v="0"/>
    <s v="Netherlands"/>
    <n v="19219"/>
    <n v="19.219000000000001"/>
  </r>
  <r>
    <x v="0"/>
    <x v="4"/>
    <n v="4"/>
    <x v="3"/>
    <s v="Netherlands"/>
    <n v="9831"/>
    <n v="9.8309999999999995"/>
  </r>
  <r>
    <x v="0"/>
    <x v="4"/>
    <n v="4"/>
    <x v="0"/>
    <s v="Netherlands"/>
    <n v="48850"/>
    <n v="48.85"/>
  </r>
  <r>
    <x v="0"/>
    <x v="4"/>
    <n v="4"/>
    <x v="0"/>
    <s v="Netherlands"/>
    <n v="51212"/>
    <n v="51.212000000000003"/>
  </r>
  <r>
    <x v="0"/>
    <x v="4"/>
    <n v="11"/>
    <x v="0"/>
    <s v="Netherlands"/>
    <n v="31633"/>
    <n v="31.632999999999999"/>
  </r>
  <r>
    <x v="0"/>
    <x v="4"/>
    <n v="12"/>
    <x v="3"/>
    <s v="Netherlands"/>
    <n v="10355"/>
    <n v="10.355"/>
  </r>
  <r>
    <x v="0"/>
    <x v="4"/>
    <n v="12"/>
    <x v="3"/>
    <s v="Netherlands"/>
    <n v="2179"/>
    <n v="2.1789999999999998"/>
  </r>
  <r>
    <x v="0"/>
    <x v="4"/>
    <n v="17"/>
    <x v="0"/>
    <s v="Netherlands"/>
    <n v="30419"/>
    <n v="30.419"/>
  </r>
  <r>
    <x v="0"/>
    <x v="4"/>
    <n v="19"/>
    <x v="0"/>
    <s v="Netherlands"/>
    <n v="19987"/>
    <n v="19.986999999999998"/>
  </r>
  <r>
    <x v="0"/>
    <x v="4"/>
    <n v="19"/>
    <x v="0"/>
    <s v="Netherlands"/>
    <n v="103419"/>
    <n v="103.419"/>
  </r>
  <r>
    <x v="0"/>
    <x v="4"/>
    <n v="19"/>
    <x v="0"/>
    <s v="Netherlands"/>
    <n v="98022"/>
    <n v="98.022000000000006"/>
  </r>
  <r>
    <x v="0"/>
    <x v="4"/>
    <n v="20"/>
    <x v="14"/>
    <s v="Netherlands"/>
    <n v="20092"/>
    <n v="20.091999999999999"/>
  </r>
  <r>
    <x v="0"/>
    <x v="4"/>
    <n v="21"/>
    <x v="15"/>
    <s v="Netherlands"/>
    <n v="62586"/>
    <n v="62.585999999999999"/>
  </r>
  <r>
    <x v="0"/>
    <x v="4"/>
    <n v="24"/>
    <x v="10"/>
    <s v="Netherlands"/>
    <n v="8056"/>
    <n v="8.0559999999999992"/>
  </r>
  <r>
    <x v="0"/>
    <x v="4"/>
    <n v="24"/>
    <x v="10"/>
    <s v="Netherlands"/>
    <n v="8056"/>
    <n v="8.0559999999999992"/>
  </r>
  <r>
    <x v="0"/>
    <x v="4"/>
    <n v="26"/>
    <x v="0"/>
    <s v="Netherlands"/>
    <n v="31314"/>
    <n v="31.314"/>
  </r>
  <r>
    <x v="0"/>
    <x v="4"/>
    <n v="27"/>
    <x v="9"/>
    <s v="Netherlands"/>
    <n v="32895"/>
    <n v="32.895000000000003"/>
  </r>
  <r>
    <x v="0"/>
    <x v="4"/>
    <n v="29"/>
    <x v="10"/>
    <s v="Netherlands"/>
    <n v="10528"/>
    <n v="10.528"/>
  </r>
  <r>
    <x v="0"/>
    <x v="4"/>
    <n v="29"/>
    <x v="10"/>
    <s v="Netherlands"/>
    <n v="7438"/>
    <n v="7.4379999999999997"/>
  </r>
  <r>
    <x v="0"/>
    <x v="4"/>
    <n v="30"/>
    <x v="0"/>
    <s v="Netherlands"/>
    <n v="129163"/>
    <n v="129.16300000000001"/>
  </r>
  <r>
    <x v="0"/>
    <x v="5"/>
    <n v="4"/>
    <x v="16"/>
    <s v="Belgium"/>
    <n v="30407"/>
    <n v="30.407"/>
  </r>
  <r>
    <x v="0"/>
    <x v="5"/>
    <n v="4"/>
    <x v="4"/>
    <s v="Belgium"/>
    <n v="18991"/>
    <n v="18.991"/>
  </r>
  <r>
    <x v="0"/>
    <x v="5"/>
    <n v="4"/>
    <x v="0"/>
    <s v="Netherlands"/>
    <n v="15984"/>
    <n v="15.984"/>
  </r>
  <r>
    <x v="0"/>
    <x v="5"/>
    <n v="4"/>
    <x v="0"/>
    <s v="Netherlands"/>
    <n v="75947"/>
    <n v="75.947000000000003"/>
  </r>
  <r>
    <x v="0"/>
    <x v="5"/>
    <n v="7"/>
    <x v="4"/>
    <s v="Belgium"/>
    <n v="18991"/>
    <n v="18.991"/>
  </r>
  <r>
    <x v="0"/>
    <x v="5"/>
    <n v="9"/>
    <x v="14"/>
    <s v="Netherlands"/>
    <n v="30553"/>
    <n v="30.553000000000001"/>
  </r>
  <r>
    <x v="0"/>
    <x v="5"/>
    <n v="10"/>
    <x v="0"/>
    <s v="Netherlands"/>
    <n v="48366"/>
    <n v="48.366"/>
  </r>
  <r>
    <x v="0"/>
    <x v="5"/>
    <n v="13"/>
    <x v="0"/>
    <s v="Netherlands"/>
    <n v="31023"/>
    <n v="31.023"/>
  </r>
  <r>
    <x v="0"/>
    <x v="5"/>
    <n v="17"/>
    <x v="4"/>
    <s v="Belgium"/>
    <n v="18227"/>
    <n v="18.227"/>
  </r>
  <r>
    <x v="0"/>
    <x v="5"/>
    <n v="22"/>
    <x v="0"/>
    <s v="Netherlands"/>
    <n v="30988"/>
    <n v="30.988"/>
  </r>
  <r>
    <x v="0"/>
    <x v="5"/>
    <n v="23"/>
    <x v="2"/>
    <s v="Netherlands"/>
    <n v="13641"/>
    <n v="13.641"/>
  </r>
  <r>
    <x v="0"/>
    <x v="5"/>
    <n v="23"/>
    <x v="2"/>
    <s v="Netherlands"/>
    <n v="7607"/>
    <n v="7.6070000000000002"/>
  </r>
  <r>
    <x v="0"/>
    <x v="5"/>
    <n v="26"/>
    <x v="4"/>
    <s v="Netherlands"/>
    <n v="18998"/>
    <n v="18.998000000000001"/>
  </r>
  <r>
    <x v="0"/>
    <x v="5"/>
    <n v="29"/>
    <x v="0"/>
    <s v="Netherlands"/>
    <n v="84118"/>
    <n v="84.117999999999995"/>
  </r>
  <r>
    <x v="0"/>
    <x v="6"/>
    <n v="1"/>
    <x v="0"/>
    <s v="Netherlands"/>
    <n v="70098"/>
    <n v="70.097999999999999"/>
  </r>
  <r>
    <x v="0"/>
    <x v="6"/>
    <n v="5"/>
    <x v="10"/>
    <s v="Netherlands"/>
    <n v="19529"/>
    <n v="19.529"/>
  </r>
  <r>
    <x v="0"/>
    <x v="6"/>
    <n v="5"/>
    <x v="3"/>
    <s v="Netherlands"/>
    <n v="33631"/>
    <n v="33.631"/>
  </r>
  <r>
    <x v="0"/>
    <x v="6"/>
    <n v="6"/>
    <x v="17"/>
    <s v="Netherlands"/>
    <n v="53917"/>
    <n v="53.917000000000002"/>
  </r>
  <r>
    <x v="0"/>
    <x v="6"/>
    <n v="6"/>
    <x v="2"/>
    <s v="Netherlands"/>
    <n v="33124"/>
    <n v="33.124000000000002"/>
  </r>
  <r>
    <x v="0"/>
    <x v="6"/>
    <n v="8"/>
    <x v="3"/>
    <s v="Netherlands"/>
    <n v="2071"/>
    <n v="2.0710000000000002"/>
  </r>
  <r>
    <x v="0"/>
    <x v="6"/>
    <n v="10"/>
    <x v="0"/>
    <s v="Netherlands"/>
    <n v="107515"/>
    <n v="107.515"/>
  </r>
  <r>
    <x v="0"/>
    <x v="6"/>
    <n v="11"/>
    <x v="17"/>
    <s v="Netherlands"/>
    <n v="42319"/>
    <n v="42.319000000000003"/>
  </r>
  <r>
    <x v="0"/>
    <x v="6"/>
    <n v="11"/>
    <x v="0"/>
    <s v="Belgium"/>
    <n v="17614"/>
    <n v="17.614000000000001"/>
  </r>
  <r>
    <x v="0"/>
    <x v="6"/>
    <n v="11"/>
    <x v="0"/>
    <s v="Netherlands"/>
    <n v="29216"/>
    <n v="29.216000000000001"/>
  </r>
  <r>
    <x v="0"/>
    <x v="6"/>
    <n v="12"/>
    <x v="4"/>
    <s v="Netherlands"/>
    <n v="18849"/>
    <n v="18.849"/>
  </r>
  <r>
    <x v="0"/>
    <x v="6"/>
    <n v="13"/>
    <x v="9"/>
    <s v="Belgium"/>
    <n v="3685"/>
    <n v="3.6850000000000001"/>
  </r>
  <r>
    <x v="0"/>
    <x v="6"/>
    <n v="13"/>
    <x v="11"/>
    <s v="Belgium"/>
    <n v="5895"/>
    <n v="5.8949999999999996"/>
  </r>
  <r>
    <x v="0"/>
    <x v="6"/>
    <n v="14"/>
    <x v="14"/>
    <s v="Belgium"/>
    <n v="37530"/>
    <n v="37.53"/>
  </r>
  <r>
    <x v="0"/>
    <x v="6"/>
    <n v="15"/>
    <x v="0"/>
    <s v="Netherlands"/>
    <n v="19770"/>
    <n v="19.77"/>
  </r>
  <r>
    <x v="0"/>
    <x v="6"/>
    <n v="15"/>
    <x v="0"/>
    <s v="Netherlands"/>
    <n v="37386"/>
    <n v="37.386000000000003"/>
  </r>
  <r>
    <x v="0"/>
    <x v="6"/>
    <n v="16"/>
    <x v="4"/>
    <s v="Netherlands"/>
    <n v="14813"/>
    <n v="14.813000000000001"/>
  </r>
  <r>
    <x v="0"/>
    <x v="6"/>
    <n v="21"/>
    <x v="9"/>
    <s v="Netherlands"/>
    <n v="8903"/>
    <n v="8.9030000000000005"/>
  </r>
  <r>
    <x v="0"/>
    <x v="6"/>
    <n v="23"/>
    <x v="15"/>
    <s v="Netherlands"/>
    <n v="82187"/>
    <n v="82.186999999999998"/>
  </r>
  <r>
    <x v="0"/>
    <x v="6"/>
    <n v="25"/>
    <x v="0"/>
    <s v="Netherlands"/>
    <n v="140752"/>
    <n v="140.75200000000001"/>
  </r>
  <r>
    <x v="0"/>
    <x v="6"/>
    <n v="28"/>
    <x v="0"/>
    <s v="Netherlands"/>
    <n v="36567"/>
    <n v="36.567"/>
  </r>
  <r>
    <x v="0"/>
    <x v="6"/>
    <n v="30"/>
    <x v="0"/>
    <s v="Netherlands"/>
    <n v="6194"/>
    <n v="6.194"/>
  </r>
  <r>
    <x v="0"/>
    <x v="6"/>
    <n v="30"/>
    <x v="0"/>
    <s v="Netherlands"/>
    <n v="6047"/>
    <n v="6.0469999999999997"/>
  </r>
  <r>
    <x v="0"/>
    <x v="6"/>
    <n v="31"/>
    <x v="4"/>
    <s v="Netherlands"/>
    <n v="17590"/>
    <n v="17.59"/>
  </r>
  <r>
    <x v="0"/>
    <x v="7"/>
    <n v="1"/>
    <x v="4"/>
    <s v="Netherlands"/>
    <n v="8469"/>
    <n v="8.4689999999999994"/>
  </r>
  <r>
    <x v="0"/>
    <x v="7"/>
    <n v="3"/>
    <x v="3"/>
    <s v="Netherlands"/>
    <n v="17068"/>
    <n v="17.068000000000001"/>
  </r>
  <r>
    <x v="0"/>
    <x v="7"/>
    <n v="3"/>
    <x v="17"/>
    <s v="Netherlands"/>
    <n v="17068"/>
    <n v="17.068000000000001"/>
  </r>
  <r>
    <x v="0"/>
    <x v="7"/>
    <n v="4"/>
    <x v="14"/>
    <s v="Netherlands"/>
    <n v="81600"/>
    <n v="81.599999999999994"/>
  </r>
  <r>
    <x v="0"/>
    <x v="7"/>
    <n v="4"/>
    <x v="7"/>
    <s v="Belgium"/>
    <n v="9038"/>
    <n v="9.0380000000000003"/>
  </r>
  <r>
    <x v="0"/>
    <x v="7"/>
    <n v="12"/>
    <x v="4"/>
    <s v="Netherlands"/>
    <n v="13083"/>
    <n v="13.083"/>
  </r>
  <r>
    <x v="0"/>
    <x v="7"/>
    <n v="14"/>
    <x v="3"/>
    <s v="Netherlands"/>
    <n v="4359"/>
    <n v="4.359"/>
  </r>
  <r>
    <x v="0"/>
    <x v="7"/>
    <n v="19"/>
    <x v="1"/>
    <s v="Netherlands"/>
    <n v="4985"/>
    <n v="4.9850000000000003"/>
  </r>
  <r>
    <x v="0"/>
    <x v="7"/>
    <n v="23"/>
    <x v="4"/>
    <s v="Belgium"/>
    <n v="13669"/>
    <n v="13.669"/>
  </r>
  <r>
    <x v="0"/>
    <x v="7"/>
    <n v="31"/>
    <x v="15"/>
    <s v="Netherlands"/>
    <n v="25844"/>
    <n v="25.844000000000001"/>
  </r>
  <r>
    <x v="0"/>
    <x v="7"/>
    <n v="31"/>
    <x v="13"/>
    <s v="Netherlands"/>
    <n v="16594"/>
    <n v="16.594000000000001"/>
  </r>
  <r>
    <x v="0"/>
    <x v="8"/>
    <n v="1"/>
    <x v="1"/>
    <s v="Netherlands"/>
    <n v="12273"/>
    <n v="12.273"/>
  </r>
  <r>
    <x v="0"/>
    <x v="8"/>
    <n v="1"/>
    <x v="14"/>
    <s v="Netherlands"/>
    <n v="108299"/>
    <n v="108.29900000000001"/>
  </r>
  <r>
    <x v="0"/>
    <x v="8"/>
    <n v="5"/>
    <x v="6"/>
    <s v="Netherlands"/>
    <n v="99742"/>
    <n v="99.742000000000004"/>
  </r>
  <r>
    <x v="0"/>
    <x v="8"/>
    <n v="9"/>
    <x v="9"/>
    <s v="Netherlands"/>
    <n v="11146"/>
    <n v="11.146000000000001"/>
  </r>
  <r>
    <x v="0"/>
    <x v="8"/>
    <n v="10"/>
    <x v="15"/>
    <s v="Netherlands"/>
    <n v="86607"/>
    <n v="86.606999999999999"/>
  </r>
  <r>
    <x v="0"/>
    <x v="8"/>
    <n v="11"/>
    <x v="9"/>
    <s v="Netherlands"/>
    <n v="3980"/>
    <n v="3.98"/>
  </r>
  <r>
    <x v="0"/>
    <x v="8"/>
    <n v="17"/>
    <x v="17"/>
    <s v="Netherlands"/>
    <n v="38684"/>
    <n v="38.683999999999997"/>
  </r>
  <r>
    <x v="0"/>
    <x v="8"/>
    <n v="20"/>
    <x v="4"/>
    <s v="Netherlands"/>
    <n v="17412"/>
    <n v="17.411999999999999"/>
  </r>
  <r>
    <x v="0"/>
    <x v="8"/>
    <n v="23"/>
    <x v="15"/>
    <s v="Netherlands"/>
    <n v="73703"/>
    <n v="73.703000000000003"/>
  </r>
  <r>
    <x v="0"/>
    <x v="8"/>
    <n v="25"/>
    <x v="4"/>
    <s v="Netherlands"/>
    <n v="16722"/>
    <n v="16.722000000000001"/>
  </r>
  <r>
    <x v="0"/>
    <x v="8"/>
    <n v="28"/>
    <x v="12"/>
    <s v="Netherlands"/>
    <n v="33984"/>
    <n v="33.984000000000002"/>
  </r>
  <r>
    <x v="0"/>
    <x v="8"/>
    <n v="28"/>
    <x v="12"/>
    <s v="Netherlands"/>
    <n v="6618"/>
    <n v="6.6180000000000003"/>
  </r>
  <r>
    <x v="0"/>
    <x v="8"/>
    <n v="28"/>
    <x v="12"/>
    <s v="Netherlands"/>
    <n v="33461"/>
    <n v="33.460999999999999"/>
  </r>
  <r>
    <x v="0"/>
    <x v="8"/>
    <n v="28"/>
    <x v="12"/>
    <s v="Netherlands"/>
    <n v="17061"/>
    <n v="17.061"/>
  </r>
  <r>
    <x v="0"/>
    <x v="8"/>
    <n v="28"/>
    <x v="11"/>
    <s v="Netherlands"/>
    <n v="35559"/>
    <n v="35.558999999999997"/>
  </r>
  <r>
    <x v="0"/>
    <x v="8"/>
    <n v="30"/>
    <x v="4"/>
    <s v="Netherlands"/>
    <n v="9205"/>
    <n v="9.2050000000000001"/>
  </r>
  <r>
    <x v="0"/>
    <x v="9"/>
    <n v="1"/>
    <x v="4"/>
    <s v="Netherlands"/>
    <n v="9786"/>
    <n v="9.7859999999999996"/>
  </r>
  <r>
    <x v="0"/>
    <x v="9"/>
    <n v="1"/>
    <x v="18"/>
    <s v="Netherlands"/>
    <n v="29991"/>
    <n v="29.991"/>
  </r>
  <r>
    <x v="0"/>
    <x v="9"/>
    <n v="1"/>
    <x v="18"/>
    <s v="Netherlands"/>
    <n v="55697"/>
    <n v="55.697000000000003"/>
  </r>
  <r>
    <x v="0"/>
    <x v="9"/>
    <n v="2"/>
    <x v="15"/>
    <s v="Netherlands"/>
    <n v="36558"/>
    <n v="36.558"/>
  </r>
  <r>
    <x v="0"/>
    <x v="9"/>
    <n v="3"/>
    <x v="14"/>
    <s v="Netherlands"/>
    <n v="75606"/>
    <n v="75.605999999999995"/>
  </r>
  <r>
    <x v="0"/>
    <x v="9"/>
    <n v="5"/>
    <x v="15"/>
    <s v="Netherlands"/>
    <n v="35703"/>
    <n v="35.703000000000003"/>
  </r>
  <r>
    <x v="0"/>
    <x v="9"/>
    <n v="7"/>
    <x v="10"/>
    <s v="Netherlands"/>
    <n v="34370"/>
    <n v="34.369999999999997"/>
  </r>
  <r>
    <x v="0"/>
    <x v="9"/>
    <n v="8"/>
    <x v="6"/>
    <s v="Netherlands"/>
    <n v="83951"/>
    <n v="83.950999999999993"/>
  </r>
  <r>
    <x v="0"/>
    <x v="9"/>
    <n v="8"/>
    <x v="4"/>
    <s v="Netherlands"/>
    <n v="6071"/>
    <n v="6.0709999999999997"/>
  </r>
  <r>
    <x v="0"/>
    <x v="9"/>
    <n v="9"/>
    <x v="12"/>
    <s v="Netherlands"/>
    <n v="71966"/>
    <n v="71.965999999999994"/>
  </r>
  <r>
    <x v="0"/>
    <x v="9"/>
    <n v="9"/>
    <x v="4"/>
    <s v="Netherlands"/>
    <n v="6227"/>
    <n v="6.2270000000000003"/>
  </r>
  <r>
    <x v="0"/>
    <x v="9"/>
    <n v="9"/>
    <x v="15"/>
    <s v="Netherlands"/>
    <n v="36558"/>
    <n v="36.558"/>
  </r>
  <r>
    <x v="0"/>
    <x v="9"/>
    <n v="10"/>
    <x v="19"/>
    <s v="Netherlands"/>
    <n v="84425"/>
    <n v="84.424999999999997"/>
  </r>
  <r>
    <x v="0"/>
    <x v="9"/>
    <n v="10"/>
    <x v="20"/>
    <s v="Netherlands"/>
    <n v="22951"/>
    <n v="22.951000000000001"/>
  </r>
  <r>
    <x v="0"/>
    <x v="9"/>
    <n v="11"/>
    <x v="4"/>
    <s v="Netherlands"/>
    <n v="6693"/>
    <n v="6.6929999999999996"/>
  </r>
  <r>
    <x v="0"/>
    <x v="9"/>
    <n v="14"/>
    <x v="15"/>
    <s v="Netherlands"/>
    <n v="53112"/>
    <n v="53.112000000000002"/>
  </r>
  <r>
    <x v="0"/>
    <x v="9"/>
    <n v="15"/>
    <x v="10"/>
    <s v="Netherlands"/>
    <n v="30880"/>
    <n v="30.88"/>
  </r>
  <r>
    <x v="0"/>
    <x v="9"/>
    <n v="17"/>
    <x v="17"/>
    <s v="Netherlands"/>
    <n v="102092"/>
    <n v="102.092"/>
  </r>
  <r>
    <x v="0"/>
    <x v="9"/>
    <n v="20"/>
    <x v="15"/>
    <s v="Netherlands"/>
    <n v="47220"/>
    <n v="47.22"/>
  </r>
  <r>
    <x v="0"/>
    <x v="9"/>
    <n v="21"/>
    <x v="4"/>
    <s v="Netherlands"/>
    <n v="18724"/>
    <n v="18.724"/>
  </r>
  <r>
    <x v="0"/>
    <x v="9"/>
    <n v="29"/>
    <x v="21"/>
    <s v="Netherlands"/>
    <n v="80882"/>
    <n v="80.882000000000005"/>
  </r>
  <r>
    <x v="0"/>
    <x v="9"/>
    <n v="29"/>
    <x v="4"/>
    <s v="Netherlands"/>
    <n v="16722"/>
    <n v="16.722000000000001"/>
  </r>
  <r>
    <x v="0"/>
    <x v="9"/>
    <n v="29"/>
    <x v="15"/>
    <s v="Netherlands"/>
    <n v="81422"/>
    <n v="81.421999999999997"/>
  </r>
  <r>
    <x v="0"/>
    <x v="10"/>
    <n v="7"/>
    <x v="3"/>
    <s v="Netherlands"/>
    <n v="1635"/>
    <n v="1.635"/>
  </r>
  <r>
    <x v="0"/>
    <x v="10"/>
    <n v="7"/>
    <x v="3"/>
    <s v="Netherlands"/>
    <n v="8175"/>
    <n v="8.1750000000000007"/>
  </r>
  <r>
    <x v="0"/>
    <x v="10"/>
    <n v="8"/>
    <x v="4"/>
    <s v="Netherlands"/>
    <n v="16722"/>
    <n v="16.722000000000001"/>
  </r>
  <r>
    <x v="0"/>
    <x v="10"/>
    <n v="9"/>
    <x v="14"/>
    <s v="Netherlands"/>
    <n v="75412"/>
    <n v="75.412000000000006"/>
  </r>
  <r>
    <x v="0"/>
    <x v="10"/>
    <n v="14"/>
    <x v="4"/>
    <s v="Netherlands"/>
    <n v="18998"/>
    <n v="18.998000000000001"/>
  </r>
  <r>
    <x v="0"/>
    <x v="10"/>
    <n v="15"/>
    <x v="22"/>
    <s v="Netherlands"/>
    <n v="104376"/>
    <n v="104.376"/>
  </r>
  <r>
    <x v="0"/>
    <x v="10"/>
    <n v="15"/>
    <x v="23"/>
    <s v="Netherlands"/>
    <n v="8142"/>
    <n v="8.1419999999999995"/>
  </r>
  <r>
    <x v="0"/>
    <x v="10"/>
    <n v="15"/>
    <x v="18"/>
    <s v="Netherlands"/>
    <n v="29211"/>
    <n v="29.210999999999999"/>
  </r>
  <r>
    <x v="0"/>
    <x v="10"/>
    <n v="18"/>
    <x v="4"/>
    <s v="Netherlands"/>
    <n v="16722"/>
    <n v="16.722000000000001"/>
  </r>
  <r>
    <x v="0"/>
    <x v="10"/>
    <n v="18"/>
    <x v="15"/>
    <s v="Netherlands"/>
    <n v="84595"/>
    <n v="84.594999999999999"/>
  </r>
  <r>
    <x v="0"/>
    <x v="10"/>
    <n v="21"/>
    <x v="17"/>
    <s v="Netherlands"/>
    <n v="17770"/>
    <n v="17.77"/>
  </r>
  <r>
    <x v="0"/>
    <x v="10"/>
    <n v="22"/>
    <x v="4"/>
    <s v="Netherlands"/>
    <n v="18998"/>
    <n v="18.998000000000001"/>
  </r>
  <r>
    <x v="0"/>
    <x v="10"/>
    <n v="23"/>
    <x v="17"/>
    <s v="Netherlands"/>
    <n v="26467"/>
    <n v="26.466999999999999"/>
  </r>
  <r>
    <x v="0"/>
    <x v="10"/>
    <n v="26"/>
    <x v="20"/>
    <s v="Belgium"/>
    <n v="35702"/>
    <n v="35.701999999999998"/>
  </r>
  <r>
    <x v="0"/>
    <x v="10"/>
    <n v="28"/>
    <x v="4"/>
    <s v="Netherlands"/>
    <n v="16722"/>
    <n v="16.722000000000001"/>
  </r>
  <r>
    <x v="0"/>
    <x v="10"/>
    <n v="30"/>
    <x v="6"/>
    <s v="Netherlands"/>
    <n v="30029"/>
    <n v="30.029"/>
  </r>
  <r>
    <x v="0"/>
    <x v="10"/>
    <n v="30"/>
    <x v="4"/>
    <s v="Netherlands"/>
    <n v="18991"/>
    <n v="18.991"/>
  </r>
  <r>
    <x v="0"/>
    <x v="11"/>
    <n v="3"/>
    <x v="1"/>
    <s v="Netherlands"/>
    <n v="8498"/>
    <n v="8.4979999999999993"/>
  </r>
  <r>
    <x v="0"/>
    <x v="11"/>
    <n v="4"/>
    <x v="24"/>
    <s v="Netherlands"/>
    <n v="69502"/>
    <n v="69.501999999999995"/>
  </r>
  <r>
    <x v="0"/>
    <x v="11"/>
    <n v="6"/>
    <x v="4"/>
    <s v="Netherlands"/>
    <n v="16661"/>
    <n v="16.661000000000001"/>
  </r>
  <r>
    <x v="0"/>
    <x v="11"/>
    <n v="10"/>
    <x v="4"/>
    <s v="Netherlands"/>
    <n v="3068"/>
    <n v="3.0680000000000001"/>
  </r>
  <r>
    <x v="0"/>
    <x v="11"/>
    <n v="10"/>
    <x v="4"/>
    <s v="Netherlands"/>
    <n v="7586"/>
    <n v="7.5860000000000003"/>
  </r>
  <r>
    <x v="0"/>
    <x v="11"/>
    <n v="11"/>
    <x v="14"/>
    <s v="Netherlands"/>
    <n v="65664"/>
    <n v="65.664000000000001"/>
  </r>
  <r>
    <x v="0"/>
    <x v="11"/>
    <n v="12"/>
    <x v="4"/>
    <s v="Netherlands"/>
    <n v="17665"/>
    <n v="17.664999999999999"/>
  </r>
  <r>
    <x v="0"/>
    <x v="11"/>
    <n v="17"/>
    <x v="4"/>
    <s v="Netherlands"/>
    <n v="16722"/>
    <n v="16.722000000000001"/>
  </r>
  <r>
    <x v="0"/>
    <x v="11"/>
    <n v="19"/>
    <x v="3"/>
    <s v="Netherlands"/>
    <n v="7629"/>
    <n v="7.6289999999999996"/>
  </r>
  <r>
    <x v="0"/>
    <x v="11"/>
    <n v="19"/>
    <x v="25"/>
    <s v="Netherlands"/>
    <n v="32520"/>
    <n v="32.520000000000003"/>
  </r>
  <r>
    <x v="0"/>
    <x v="11"/>
    <n v="22"/>
    <x v="4"/>
    <s v="Netherlands"/>
    <n v="16750"/>
    <n v="16.75"/>
  </r>
  <r>
    <x v="0"/>
    <x v="11"/>
    <n v="25"/>
    <x v="4"/>
    <s v="Netherlands"/>
    <n v="13118"/>
    <n v="13.118"/>
  </r>
  <r>
    <x v="0"/>
    <x v="11"/>
    <n v="27"/>
    <x v="26"/>
    <s v="Belgium"/>
    <n v="904"/>
    <n v="0.90400000000000003"/>
  </r>
  <r>
    <x v="0"/>
    <x v="11"/>
    <n v="28"/>
    <x v="27"/>
    <s v="Belgium"/>
    <n v="32861"/>
    <n v="32.860999999999997"/>
  </r>
  <r>
    <x v="0"/>
    <x v="11"/>
    <n v="30"/>
    <x v="4"/>
    <s v="Netherlands"/>
    <n v="2165"/>
    <n v="2.165"/>
  </r>
  <r>
    <x v="0"/>
    <x v="11"/>
    <n v="30"/>
    <x v="4"/>
    <s v="Netherlands"/>
    <n v="10225"/>
    <n v="10.225"/>
  </r>
  <r>
    <x v="1"/>
    <x v="0"/>
    <n v="1"/>
    <x v="4"/>
    <s v="Netherlands"/>
    <n v="18227"/>
    <n v="18.227"/>
  </r>
  <r>
    <x v="1"/>
    <x v="0"/>
    <n v="2"/>
    <x v="0"/>
    <s v="Netherlands"/>
    <n v="4753"/>
    <n v="4.7530000000000001"/>
  </r>
  <r>
    <x v="1"/>
    <x v="0"/>
    <n v="3"/>
    <x v="14"/>
    <s v="Netherlands"/>
    <n v="76931"/>
    <n v="76.930999999999997"/>
  </r>
  <r>
    <x v="1"/>
    <x v="0"/>
    <n v="4"/>
    <x v="4"/>
    <s v="Netherlands"/>
    <n v="18193"/>
    <n v="18.193000000000001"/>
  </r>
  <r>
    <x v="1"/>
    <x v="0"/>
    <n v="6"/>
    <x v="4"/>
    <s v="Netherlands"/>
    <n v="10910"/>
    <n v="10.91"/>
  </r>
  <r>
    <x v="1"/>
    <x v="0"/>
    <n v="9"/>
    <x v="4"/>
    <s v="Netherlands"/>
    <n v="16675"/>
    <n v="16.675000000000001"/>
  </r>
  <r>
    <x v="1"/>
    <x v="0"/>
    <n v="14"/>
    <x v="15"/>
    <s v="Netherlands"/>
    <n v="87322"/>
    <n v="87.322000000000003"/>
  </r>
  <r>
    <x v="1"/>
    <x v="0"/>
    <n v="16"/>
    <x v="4"/>
    <s v="Netherlands"/>
    <n v="8964"/>
    <n v="8.9640000000000004"/>
  </r>
  <r>
    <x v="1"/>
    <x v="0"/>
    <n v="19"/>
    <x v="4"/>
    <s v="Netherlands"/>
    <n v="17928"/>
    <n v="17.928000000000001"/>
  </r>
  <r>
    <x v="1"/>
    <x v="0"/>
    <n v="20"/>
    <x v="4"/>
    <s v="Netherlands"/>
    <n v="16715"/>
    <n v="16.715"/>
  </r>
  <r>
    <x v="1"/>
    <x v="0"/>
    <n v="25"/>
    <x v="4"/>
    <s v="Netherlands"/>
    <n v="16129"/>
    <n v="16.129000000000001"/>
  </r>
  <r>
    <x v="1"/>
    <x v="0"/>
    <n v="28"/>
    <x v="17"/>
    <s v="Netherlands"/>
    <n v="17997"/>
    <n v="17.997"/>
  </r>
  <r>
    <x v="1"/>
    <x v="0"/>
    <n v="28"/>
    <x v="17"/>
    <s v="Netherlands"/>
    <n v="62991"/>
    <n v="62.991"/>
  </r>
  <r>
    <x v="1"/>
    <x v="0"/>
    <n v="30"/>
    <x v="3"/>
    <s v="Netherlands"/>
    <n v="7085"/>
    <n v="7.085"/>
  </r>
  <r>
    <x v="1"/>
    <x v="0"/>
    <n v="30"/>
    <x v="4"/>
    <s v="Netherlands"/>
    <n v="8277"/>
    <n v="8.2769999999999992"/>
  </r>
  <r>
    <x v="1"/>
    <x v="0"/>
    <n v="31"/>
    <x v="10"/>
    <s v="Netherlands"/>
    <n v="40048"/>
    <n v="40.048000000000002"/>
  </r>
  <r>
    <x v="1"/>
    <x v="0"/>
    <n v="31"/>
    <x v="4"/>
    <s v="Netherlands"/>
    <n v="7502"/>
    <n v="7.5019999999999998"/>
  </r>
  <r>
    <x v="1"/>
    <x v="1"/>
    <n v="2"/>
    <x v="22"/>
    <s v="Netherlands"/>
    <n v="17878"/>
    <n v="17.878"/>
  </r>
  <r>
    <x v="1"/>
    <x v="1"/>
    <n v="2"/>
    <x v="14"/>
    <s v="Netherlands"/>
    <n v="101809"/>
    <n v="101.809"/>
  </r>
  <r>
    <x v="1"/>
    <x v="1"/>
    <n v="4"/>
    <x v="17"/>
    <s v="Netherlands"/>
    <n v="8999"/>
    <n v="8.9990000000000006"/>
  </r>
  <r>
    <x v="1"/>
    <x v="1"/>
    <n v="4"/>
    <x v="4"/>
    <s v="Netherlands"/>
    <n v="17736"/>
    <n v="17.736000000000001"/>
  </r>
  <r>
    <x v="1"/>
    <x v="1"/>
    <n v="9"/>
    <x v="4"/>
    <s v="Belgium"/>
    <n v="16715"/>
    <n v="16.715"/>
  </r>
  <r>
    <x v="1"/>
    <x v="1"/>
    <n v="10"/>
    <x v="4"/>
    <s v="Netherlands"/>
    <n v="16561"/>
    <n v="16.561"/>
  </r>
  <r>
    <x v="1"/>
    <x v="1"/>
    <n v="11"/>
    <x v="6"/>
    <s v="Netherlands"/>
    <n v="29128"/>
    <n v="29.128"/>
  </r>
  <r>
    <x v="1"/>
    <x v="1"/>
    <n v="11"/>
    <x v="6"/>
    <s v="Netherlands"/>
    <n v="8266"/>
    <n v="8.266"/>
  </r>
  <r>
    <x v="1"/>
    <x v="1"/>
    <n v="11"/>
    <x v="28"/>
    <s v="Netherlands"/>
    <n v="29128"/>
    <n v="29.128"/>
  </r>
  <r>
    <x v="1"/>
    <x v="1"/>
    <n v="13"/>
    <x v="4"/>
    <s v="Netherlands"/>
    <n v="13549"/>
    <n v="13.548999999999999"/>
  </r>
  <r>
    <x v="1"/>
    <x v="1"/>
    <n v="17"/>
    <x v="4"/>
    <s v="Netherlands"/>
    <n v="18991"/>
    <n v="18.991"/>
  </r>
  <r>
    <x v="1"/>
    <x v="1"/>
    <n v="18"/>
    <x v="6"/>
    <s v="Netherlands"/>
    <n v="67875"/>
    <n v="67.875"/>
  </r>
  <r>
    <x v="1"/>
    <x v="1"/>
    <n v="18"/>
    <x v="20"/>
    <s v="Netherlands"/>
    <n v="16661"/>
    <n v="16.661000000000001"/>
  </r>
  <r>
    <x v="1"/>
    <x v="1"/>
    <n v="20"/>
    <x v="4"/>
    <s v="Netherlands"/>
    <n v="18998"/>
    <n v="18.998000000000001"/>
  </r>
  <r>
    <x v="1"/>
    <x v="1"/>
    <n v="25"/>
    <x v="4"/>
    <s v="Netherlands"/>
    <n v="18991"/>
    <n v="18.991"/>
  </r>
  <r>
    <x v="1"/>
    <x v="1"/>
    <n v="27"/>
    <x v="4"/>
    <s v="Netherlands"/>
    <n v="8276"/>
    <n v="8.2759999999999998"/>
  </r>
  <r>
    <x v="1"/>
    <x v="2"/>
    <n v="1"/>
    <x v="4"/>
    <s v="Netherlands"/>
    <n v="18991"/>
    <n v="18.991"/>
  </r>
  <r>
    <x v="1"/>
    <x v="2"/>
    <n v="1"/>
    <x v="20"/>
    <s v="Netherlands"/>
    <n v="23960"/>
    <n v="23.96"/>
  </r>
  <r>
    <x v="1"/>
    <x v="2"/>
    <n v="4"/>
    <x v="14"/>
    <s v="Netherlands"/>
    <n v="72669"/>
    <n v="72.668999999999997"/>
  </r>
  <r>
    <x v="1"/>
    <x v="2"/>
    <n v="5"/>
    <x v="4"/>
    <s v="Netherlands"/>
    <n v="16722"/>
    <n v="16.722000000000001"/>
  </r>
  <r>
    <x v="1"/>
    <x v="2"/>
    <n v="7"/>
    <x v="4"/>
    <s v="Netherlands"/>
    <n v="16933"/>
    <n v="16.933"/>
  </r>
  <r>
    <x v="1"/>
    <x v="2"/>
    <n v="9"/>
    <x v="15"/>
    <s v="Netherlands"/>
    <n v="66502"/>
    <n v="66.501999999999995"/>
  </r>
  <r>
    <x v="1"/>
    <x v="2"/>
    <n v="12"/>
    <x v="3"/>
    <s v="Netherlands"/>
    <n v="8992"/>
    <n v="8.9920000000000009"/>
  </r>
  <r>
    <x v="1"/>
    <x v="2"/>
    <n v="12"/>
    <x v="15"/>
    <s v="Netherlands"/>
    <n v="19000"/>
    <n v="19"/>
  </r>
  <r>
    <x v="1"/>
    <x v="2"/>
    <n v="12"/>
    <x v="13"/>
    <s v="Netherlands"/>
    <n v="8288"/>
    <n v="8.2880000000000003"/>
  </r>
  <r>
    <x v="1"/>
    <x v="2"/>
    <n v="15"/>
    <x v="12"/>
    <s v="Netherlands"/>
    <n v="35136"/>
    <n v="35.136000000000003"/>
  </r>
  <r>
    <x v="1"/>
    <x v="2"/>
    <n v="15"/>
    <x v="4"/>
    <s v="Netherlands"/>
    <n v="18991"/>
    <n v="18.991"/>
  </r>
  <r>
    <x v="1"/>
    <x v="2"/>
    <n v="15"/>
    <x v="13"/>
    <s v="Netherlands"/>
    <n v="35136"/>
    <n v="35.136000000000003"/>
  </r>
  <r>
    <x v="1"/>
    <x v="2"/>
    <n v="16"/>
    <x v="6"/>
    <s v="Netherlands"/>
    <n v="36368"/>
    <n v="36.368000000000002"/>
  </r>
  <r>
    <x v="1"/>
    <x v="2"/>
    <n v="16"/>
    <x v="11"/>
    <s v="Netherlands"/>
    <n v="21215"/>
    <n v="21.215"/>
  </r>
  <r>
    <x v="1"/>
    <x v="2"/>
    <n v="16"/>
    <x v="11"/>
    <s v="Netherlands"/>
    <n v="21791"/>
    <n v="21.791"/>
  </r>
  <r>
    <x v="1"/>
    <x v="2"/>
    <n v="18"/>
    <x v="12"/>
    <s v="Netherlands"/>
    <n v="15984"/>
    <n v="15.984"/>
  </r>
  <r>
    <x v="1"/>
    <x v="2"/>
    <n v="20"/>
    <x v="4"/>
    <s v="Netherlands"/>
    <n v="7053"/>
    <n v="7.0529999999999999"/>
  </r>
  <r>
    <x v="1"/>
    <x v="2"/>
    <n v="20"/>
    <x v="4"/>
    <s v="Netherlands"/>
    <n v="5554"/>
    <n v="5.5540000000000003"/>
  </r>
  <r>
    <x v="1"/>
    <x v="2"/>
    <n v="20"/>
    <x v="4"/>
    <s v="Netherlands"/>
    <n v="16722"/>
    <n v="16.722000000000001"/>
  </r>
  <r>
    <x v="1"/>
    <x v="2"/>
    <n v="20"/>
    <x v="4"/>
    <s v="Netherlands"/>
    <n v="4054"/>
    <n v="4.0540000000000003"/>
  </r>
  <r>
    <x v="1"/>
    <x v="2"/>
    <n v="23"/>
    <x v="22"/>
    <s v="Netherlands"/>
    <n v="18095"/>
    <n v="18.094999999999999"/>
  </r>
  <r>
    <x v="1"/>
    <x v="2"/>
    <n v="23"/>
    <x v="22"/>
    <s v="Netherlands"/>
    <n v="11480"/>
    <n v="11.48"/>
  </r>
  <r>
    <x v="1"/>
    <x v="2"/>
    <n v="23"/>
    <x v="22"/>
    <s v="Netherlands"/>
    <n v="18095"/>
    <n v="18.094999999999999"/>
  </r>
  <r>
    <x v="1"/>
    <x v="2"/>
    <n v="23"/>
    <x v="22"/>
    <s v="Netherlands"/>
    <n v="9510"/>
    <n v="9.51"/>
  </r>
  <r>
    <x v="1"/>
    <x v="2"/>
    <n v="23"/>
    <x v="22"/>
    <s v="Netherlands"/>
    <n v="8585"/>
    <n v="8.5850000000000009"/>
  </r>
  <r>
    <x v="1"/>
    <x v="2"/>
    <n v="23"/>
    <x v="4"/>
    <s v="Netherlands"/>
    <n v="16707"/>
    <n v="16.707000000000001"/>
  </r>
  <r>
    <x v="1"/>
    <x v="2"/>
    <n v="23"/>
    <x v="15"/>
    <s v="Netherlands"/>
    <n v="75498"/>
    <n v="75.498000000000005"/>
  </r>
  <r>
    <x v="1"/>
    <x v="2"/>
    <n v="26"/>
    <x v="4"/>
    <s v="Netherlands"/>
    <n v="8375"/>
    <n v="8.375"/>
  </r>
  <r>
    <x v="1"/>
    <x v="2"/>
    <n v="26"/>
    <x v="4"/>
    <s v="Netherlands"/>
    <n v="10616"/>
    <n v="10.616"/>
  </r>
  <r>
    <x v="1"/>
    <x v="2"/>
    <n v="27"/>
    <x v="4"/>
    <s v="Belgium"/>
    <n v="16553"/>
    <n v="16.553000000000001"/>
  </r>
  <r>
    <x v="1"/>
    <x v="2"/>
    <n v="31"/>
    <x v="9"/>
    <s v="Belgium"/>
    <n v="28458"/>
    <n v="28.457999999999998"/>
  </r>
  <r>
    <x v="1"/>
    <x v="2"/>
    <n v="31"/>
    <x v="13"/>
    <s v="Netherlands"/>
    <n v="46887"/>
    <n v="46.887"/>
  </r>
  <r>
    <x v="1"/>
    <x v="3"/>
    <n v="2"/>
    <x v="4"/>
    <s v="Netherlands"/>
    <n v="5273"/>
    <n v="5.2729999999999997"/>
  </r>
  <r>
    <x v="1"/>
    <x v="3"/>
    <n v="2"/>
    <x v="4"/>
    <s v="Netherlands"/>
    <n v="11274"/>
    <n v="11.273999999999999"/>
  </r>
  <r>
    <x v="1"/>
    <x v="3"/>
    <n v="5"/>
    <x v="12"/>
    <s v="Netherlands"/>
    <n v="3927"/>
    <n v="3.927"/>
  </r>
  <r>
    <x v="1"/>
    <x v="3"/>
    <n v="5"/>
    <x v="12"/>
    <s v="Netherlands"/>
    <n v="46136"/>
    <n v="46.136000000000003"/>
  </r>
  <r>
    <x v="1"/>
    <x v="3"/>
    <n v="7"/>
    <x v="4"/>
    <s v="Netherlands"/>
    <n v="16707"/>
    <n v="16.707000000000001"/>
  </r>
  <r>
    <x v="1"/>
    <x v="3"/>
    <n v="9"/>
    <x v="4"/>
    <s v="Netherlands"/>
    <n v="16722"/>
    <n v="16.722000000000001"/>
  </r>
  <r>
    <x v="1"/>
    <x v="3"/>
    <n v="9"/>
    <x v="4"/>
    <s v="Netherlands"/>
    <n v="18998"/>
    <n v="18.998000000000001"/>
  </r>
  <r>
    <x v="1"/>
    <x v="3"/>
    <n v="13"/>
    <x v="4"/>
    <s v="Netherlands"/>
    <n v="16562"/>
    <n v="16.562000000000001"/>
  </r>
  <r>
    <x v="1"/>
    <x v="3"/>
    <n v="13"/>
    <x v="11"/>
    <s v="Netherlands"/>
    <n v="43550"/>
    <n v="43.55"/>
  </r>
  <r>
    <x v="1"/>
    <x v="3"/>
    <n v="15"/>
    <x v="4"/>
    <s v="Netherlands"/>
    <n v="16707"/>
    <n v="16.707000000000001"/>
  </r>
  <r>
    <x v="1"/>
    <x v="3"/>
    <n v="16"/>
    <x v="14"/>
    <s v="Belgium"/>
    <n v="23487"/>
    <n v="23.486999999999998"/>
  </r>
  <r>
    <x v="1"/>
    <x v="3"/>
    <n v="16"/>
    <x v="14"/>
    <s v="Netherlands"/>
    <n v="92345"/>
    <n v="92.344999999999999"/>
  </r>
  <r>
    <x v="1"/>
    <x v="3"/>
    <n v="18"/>
    <x v="29"/>
    <s v="Netherlands"/>
    <n v="13272"/>
    <n v="13.272"/>
  </r>
  <r>
    <x v="1"/>
    <x v="3"/>
    <n v="19"/>
    <x v="13"/>
    <s v="Netherlands"/>
    <n v="57263"/>
    <n v="57.262999999999998"/>
  </r>
  <r>
    <x v="1"/>
    <x v="3"/>
    <n v="23"/>
    <x v="22"/>
    <s v="Netherlands"/>
    <n v="15433"/>
    <n v="15.433"/>
  </r>
  <r>
    <x v="1"/>
    <x v="3"/>
    <n v="23"/>
    <x v="18"/>
    <s v="Netherlands"/>
    <n v="114631"/>
    <n v="114.631"/>
  </r>
  <r>
    <x v="1"/>
    <x v="3"/>
    <n v="24"/>
    <x v="6"/>
    <s v="Netherlands"/>
    <n v="8526"/>
    <n v="8.5259999999999998"/>
  </r>
  <r>
    <x v="1"/>
    <x v="3"/>
    <n v="24"/>
    <x v="9"/>
    <s v="Netherlands"/>
    <n v="8526"/>
    <n v="8.5259999999999998"/>
  </r>
  <r>
    <x v="1"/>
    <x v="3"/>
    <n v="24"/>
    <x v="4"/>
    <s v="Netherlands"/>
    <n v="14879"/>
    <n v="14.879"/>
  </r>
  <r>
    <x v="1"/>
    <x v="3"/>
    <n v="24"/>
    <x v="4"/>
    <s v="Netherlands"/>
    <n v="16707"/>
    <n v="16.707000000000001"/>
  </r>
  <r>
    <x v="1"/>
    <x v="3"/>
    <n v="24"/>
    <x v="15"/>
    <s v="Netherlands"/>
    <n v="46669"/>
    <n v="46.668999999999997"/>
  </r>
  <r>
    <x v="1"/>
    <x v="3"/>
    <n v="29"/>
    <x v="4"/>
    <s v="Netherlands"/>
    <n v="16722"/>
    <n v="16.722000000000001"/>
  </r>
  <r>
    <x v="1"/>
    <x v="4"/>
    <n v="2"/>
    <x v="4"/>
    <s v="Netherlands"/>
    <n v="17645"/>
    <n v="17.645"/>
  </r>
  <r>
    <x v="1"/>
    <x v="4"/>
    <n v="4"/>
    <x v="4"/>
    <s v="Netherlands"/>
    <n v="16707"/>
    <n v="16.707000000000001"/>
  </r>
  <r>
    <x v="1"/>
    <x v="4"/>
    <n v="6"/>
    <x v="14"/>
    <s v="Netherlands"/>
    <n v="6080"/>
    <n v="6.08"/>
  </r>
  <r>
    <x v="1"/>
    <x v="4"/>
    <n v="12"/>
    <x v="15"/>
    <s v="Netherlands"/>
    <n v="61284"/>
    <n v="61.283999999999999"/>
  </r>
  <r>
    <x v="1"/>
    <x v="4"/>
    <n v="12"/>
    <x v="13"/>
    <s v="Netherlands"/>
    <n v="52643"/>
    <n v="52.643000000000001"/>
  </r>
  <r>
    <x v="1"/>
    <x v="4"/>
    <n v="13"/>
    <x v="3"/>
    <s v="Netherlands"/>
    <n v="2179"/>
    <n v="2.1789999999999998"/>
  </r>
  <r>
    <x v="1"/>
    <x v="4"/>
    <n v="13"/>
    <x v="3"/>
    <s v="Netherlands"/>
    <n v="7085"/>
    <n v="7.085"/>
  </r>
  <r>
    <x v="1"/>
    <x v="4"/>
    <n v="16"/>
    <x v="4"/>
    <s v="Belgium"/>
    <n v="18991"/>
    <n v="18.991"/>
  </r>
  <r>
    <x v="1"/>
    <x v="4"/>
    <n v="16"/>
    <x v="4"/>
    <s v="Netherlands"/>
    <n v="16715"/>
    <n v="16.715"/>
  </r>
  <r>
    <x v="1"/>
    <x v="4"/>
    <n v="17"/>
    <x v="13"/>
    <s v="Netherlands"/>
    <n v="42073"/>
    <n v="42.073"/>
  </r>
  <r>
    <x v="1"/>
    <x v="4"/>
    <n v="18"/>
    <x v="4"/>
    <s v="Netherlands"/>
    <n v="15706"/>
    <n v="15.706"/>
  </r>
  <r>
    <x v="1"/>
    <x v="4"/>
    <n v="20"/>
    <x v="9"/>
    <s v="Netherlands"/>
    <n v="18542"/>
    <n v="18.542000000000002"/>
  </r>
  <r>
    <x v="1"/>
    <x v="4"/>
    <n v="22"/>
    <x v="4"/>
    <s v="Netherlands"/>
    <n v="16722"/>
    <n v="16.722000000000001"/>
  </r>
  <r>
    <x v="1"/>
    <x v="4"/>
    <n v="23"/>
    <x v="12"/>
    <s v="Netherlands"/>
    <n v="7297"/>
    <n v="7.2969999999999997"/>
  </r>
  <r>
    <x v="1"/>
    <x v="4"/>
    <n v="23"/>
    <x v="12"/>
    <s v="Netherlands"/>
    <n v="52743"/>
    <n v="52.743000000000002"/>
  </r>
  <r>
    <x v="1"/>
    <x v="4"/>
    <n v="25"/>
    <x v="4"/>
    <s v="Belgium"/>
    <n v="1433"/>
    <n v="1.4330000000000001"/>
  </r>
  <r>
    <x v="1"/>
    <x v="4"/>
    <n v="25"/>
    <x v="7"/>
    <s v="Belgium"/>
    <n v="3266"/>
    <n v="3.266"/>
  </r>
  <r>
    <x v="1"/>
    <x v="4"/>
    <n v="28"/>
    <x v="1"/>
    <s v="Netherlands"/>
    <n v="9647"/>
    <n v="9.6470000000000002"/>
  </r>
  <r>
    <x v="1"/>
    <x v="5"/>
    <n v="6"/>
    <x v="12"/>
    <s v="Netherlands"/>
    <n v="45146"/>
    <n v="45.146000000000001"/>
  </r>
  <r>
    <x v="1"/>
    <x v="5"/>
    <n v="6"/>
    <x v="12"/>
    <s v="Netherlands"/>
    <n v="7365"/>
    <n v="7.3650000000000002"/>
  </r>
  <r>
    <x v="1"/>
    <x v="5"/>
    <n v="6"/>
    <x v="8"/>
    <s v="Netherlands"/>
    <n v="27742"/>
    <n v="27.742000000000001"/>
  </r>
  <r>
    <x v="1"/>
    <x v="5"/>
    <n v="12"/>
    <x v="4"/>
    <s v="Netherlands"/>
    <n v="7943"/>
    <n v="7.9429999999999996"/>
  </r>
  <r>
    <x v="1"/>
    <x v="5"/>
    <n v="13"/>
    <x v="15"/>
    <s v="Netherlands"/>
    <n v="2991"/>
    <n v="2.9910000000000001"/>
  </r>
  <r>
    <x v="1"/>
    <x v="5"/>
    <n v="15"/>
    <x v="14"/>
    <s v="Netherlands"/>
    <n v="54092"/>
    <n v="54.091999999999999"/>
  </r>
  <r>
    <x v="1"/>
    <x v="5"/>
    <n v="16"/>
    <x v="14"/>
    <s v="Netherlands"/>
    <n v="53303"/>
    <n v="53.302999999999997"/>
  </r>
  <r>
    <x v="1"/>
    <x v="5"/>
    <n v="18"/>
    <x v="9"/>
    <s v="Netherlands"/>
    <n v="32502"/>
    <n v="32.502000000000002"/>
  </r>
  <r>
    <x v="1"/>
    <x v="5"/>
    <n v="19"/>
    <x v="17"/>
    <s v="Netherlands"/>
    <n v="4102"/>
    <n v="4.1020000000000003"/>
  </r>
  <r>
    <x v="1"/>
    <x v="5"/>
    <n v="19"/>
    <x v="17"/>
    <s v="Netherlands"/>
    <n v="9406"/>
    <n v="9.4060000000000006"/>
  </r>
  <r>
    <x v="1"/>
    <x v="5"/>
    <n v="19"/>
    <x v="17"/>
    <s v="Netherlands"/>
    <n v="9406"/>
    <n v="9.4060000000000006"/>
  </r>
  <r>
    <x v="1"/>
    <x v="5"/>
    <n v="21"/>
    <x v="17"/>
    <s v="Netherlands"/>
    <n v="2387"/>
    <n v="2.387"/>
  </r>
  <r>
    <x v="1"/>
    <x v="5"/>
    <n v="21"/>
    <x v="17"/>
    <s v="Netherlands"/>
    <n v="9481"/>
    <n v="9.4809999999999999"/>
  </r>
  <r>
    <x v="1"/>
    <x v="5"/>
    <n v="21"/>
    <x v="17"/>
    <s v="Netherlands"/>
    <n v="5473"/>
    <n v="5.4729999999999999"/>
  </r>
  <r>
    <x v="1"/>
    <x v="5"/>
    <n v="23"/>
    <x v="17"/>
    <s v="Netherlands"/>
    <n v="36796"/>
    <n v="36.795999999999999"/>
  </r>
  <r>
    <x v="1"/>
    <x v="5"/>
    <n v="24"/>
    <x v="4"/>
    <s v="Netherlands"/>
    <n v="18140"/>
    <n v="18.14"/>
  </r>
  <r>
    <x v="1"/>
    <x v="5"/>
    <n v="29"/>
    <x v="29"/>
    <s v="Netherlands"/>
    <n v="22551"/>
    <n v="22.550999999999998"/>
  </r>
  <r>
    <x v="1"/>
    <x v="6"/>
    <n v="2"/>
    <x v="3"/>
    <s v="Netherlands"/>
    <n v="7084"/>
    <n v="7.0839999999999996"/>
  </r>
  <r>
    <x v="1"/>
    <x v="6"/>
    <n v="3"/>
    <x v="4"/>
    <s v="Netherlands"/>
    <n v="18140"/>
    <n v="18.14"/>
  </r>
  <r>
    <x v="1"/>
    <x v="6"/>
    <n v="6"/>
    <x v="4"/>
    <s v="Netherlands"/>
    <n v="8666"/>
    <n v="8.6660000000000004"/>
  </r>
  <r>
    <x v="1"/>
    <x v="6"/>
    <n v="8"/>
    <x v="30"/>
    <s v="Netherlands"/>
    <n v="7871"/>
    <n v="7.8710000000000004"/>
  </r>
  <r>
    <x v="1"/>
    <x v="6"/>
    <n v="9"/>
    <x v="13"/>
    <s v="Netherlands"/>
    <n v="44697"/>
    <n v="44.697000000000003"/>
  </r>
  <r>
    <x v="1"/>
    <x v="6"/>
    <n v="9"/>
    <x v="13"/>
    <s v="Netherlands"/>
    <n v="62418"/>
    <n v="62.417999999999999"/>
  </r>
  <r>
    <x v="1"/>
    <x v="6"/>
    <n v="12"/>
    <x v="4"/>
    <s v="Netherlands"/>
    <n v="16715"/>
    <n v="16.715"/>
  </r>
  <r>
    <x v="1"/>
    <x v="6"/>
    <n v="15"/>
    <x v="13"/>
    <s v="Netherlands"/>
    <n v="18657"/>
    <n v="18.657"/>
  </r>
  <r>
    <x v="1"/>
    <x v="6"/>
    <n v="16"/>
    <x v="4"/>
    <s v="Netherlands"/>
    <n v="16722"/>
    <n v="16.722000000000001"/>
  </r>
  <r>
    <x v="1"/>
    <x v="6"/>
    <n v="18"/>
    <x v="14"/>
    <s v="Netherlands"/>
    <n v="38906"/>
    <n v="38.905999999999999"/>
  </r>
  <r>
    <x v="1"/>
    <x v="6"/>
    <n v="18"/>
    <x v="4"/>
    <s v="Netherlands"/>
    <n v="16661"/>
    <n v="16.661000000000001"/>
  </r>
  <r>
    <x v="1"/>
    <x v="6"/>
    <n v="18"/>
    <x v="18"/>
    <s v="Netherlands"/>
    <n v="53641"/>
    <n v="53.640999999999998"/>
  </r>
  <r>
    <x v="1"/>
    <x v="6"/>
    <n v="20"/>
    <x v="31"/>
    <s v="Netherlands"/>
    <n v="7785"/>
    <n v="7.7850000000000001"/>
  </r>
  <r>
    <x v="1"/>
    <x v="6"/>
    <n v="20"/>
    <x v="6"/>
    <s v="Netherlands"/>
    <n v="25568"/>
    <n v="25.568000000000001"/>
  </r>
  <r>
    <x v="1"/>
    <x v="6"/>
    <n v="20"/>
    <x v="6"/>
    <s v="Netherlands"/>
    <n v="35445"/>
    <n v="35.445"/>
  </r>
  <r>
    <x v="1"/>
    <x v="6"/>
    <n v="20"/>
    <x v="18"/>
    <s v="Netherlands"/>
    <n v="7785"/>
    <n v="7.7850000000000001"/>
  </r>
  <r>
    <x v="1"/>
    <x v="6"/>
    <n v="22"/>
    <x v="6"/>
    <s v="Netherlands"/>
    <n v="67144"/>
    <n v="67.144000000000005"/>
  </r>
  <r>
    <x v="1"/>
    <x v="6"/>
    <n v="22"/>
    <x v="15"/>
    <s v="Netherlands"/>
    <n v="29619"/>
    <n v="29.619"/>
  </r>
  <r>
    <x v="1"/>
    <x v="6"/>
    <n v="26"/>
    <x v="4"/>
    <s v="Netherlands"/>
    <n v="16675"/>
    <n v="16.675000000000001"/>
  </r>
  <r>
    <x v="1"/>
    <x v="6"/>
    <n v="28"/>
    <x v="17"/>
    <s v="Netherlands"/>
    <n v="13460"/>
    <n v="13.46"/>
  </r>
  <r>
    <x v="1"/>
    <x v="6"/>
    <n v="28"/>
    <x v="17"/>
    <s v="Netherlands"/>
    <n v="28135"/>
    <n v="28.135000000000002"/>
  </r>
  <r>
    <x v="1"/>
    <x v="6"/>
    <n v="28"/>
    <x v="9"/>
    <s v="Netherlands"/>
    <n v="10344"/>
    <n v="10.343999999999999"/>
  </r>
  <r>
    <x v="1"/>
    <x v="6"/>
    <n v="30"/>
    <x v="17"/>
    <s v="Netherlands"/>
    <n v="36907"/>
    <n v="36.906999999999996"/>
  </r>
  <r>
    <x v="1"/>
    <x v="6"/>
    <n v="30"/>
    <x v="4"/>
    <s v="Netherlands"/>
    <n v="18140"/>
    <n v="18.14"/>
  </r>
  <r>
    <x v="1"/>
    <x v="7"/>
    <n v="3"/>
    <x v="4"/>
    <s v="Netherlands"/>
    <n v="16661"/>
    <n v="16.661000000000001"/>
  </r>
  <r>
    <x v="1"/>
    <x v="7"/>
    <n v="7"/>
    <x v="4"/>
    <s v="Netherlands"/>
    <n v="16722"/>
    <n v="16.722000000000001"/>
  </r>
  <r>
    <x v="1"/>
    <x v="7"/>
    <n v="13"/>
    <x v="3"/>
    <s v="Netherlands"/>
    <n v="7629"/>
    <n v="7.6289999999999996"/>
  </r>
  <r>
    <x v="1"/>
    <x v="7"/>
    <n v="16"/>
    <x v="4"/>
    <s v="Netherlands"/>
    <n v="13853"/>
    <n v="13.853"/>
  </r>
  <r>
    <x v="1"/>
    <x v="7"/>
    <n v="17"/>
    <x v="4"/>
    <s v="Netherlands"/>
    <n v="4868"/>
    <n v="4.8680000000000003"/>
  </r>
  <r>
    <x v="1"/>
    <x v="7"/>
    <n v="17"/>
    <x v="4"/>
    <s v="Netherlands"/>
    <n v="1858"/>
    <n v="1.8580000000000001"/>
  </r>
  <r>
    <x v="1"/>
    <x v="7"/>
    <n v="19"/>
    <x v="14"/>
    <s v="Netherlands"/>
    <n v="37449"/>
    <n v="37.448999999999998"/>
  </r>
  <r>
    <x v="1"/>
    <x v="7"/>
    <n v="19"/>
    <x v="24"/>
    <s v="Netherlands"/>
    <n v="51300"/>
    <n v="51.3"/>
  </r>
  <r>
    <x v="1"/>
    <x v="7"/>
    <n v="19"/>
    <x v="4"/>
    <s v="Netherlands"/>
    <n v="16722"/>
    <n v="16.722000000000001"/>
  </r>
  <r>
    <x v="1"/>
    <x v="7"/>
    <n v="23"/>
    <x v="10"/>
    <s v="Netherlands"/>
    <n v="39375"/>
    <n v="39.375"/>
  </r>
  <r>
    <x v="1"/>
    <x v="7"/>
    <n v="23"/>
    <x v="9"/>
    <s v="Belgium"/>
    <n v="5586"/>
    <n v="5.5860000000000003"/>
  </r>
  <r>
    <x v="1"/>
    <x v="7"/>
    <n v="23"/>
    <x v="26"/>
    <s v="Belgium"/>
    <n v="6693"/>
    <n v="6.6929999999999996"/>
  </r>
  <r>
    <x v="1"/>
    <x v="7"/>
    <n v="27"/>
    <x v="4"/>
    <s v="Netherlands"/>
    <n v="18140"/>
    <n v="18.14"/>
  </r>
  <r>
    <x v="1"/>
    <x v="7"/>
    <n v="28"/>
    <x v="11"/>
    <s v="Netherlands"/>
    <n v="33804"/>
    <n v="33.804000000000002"/>
  </r>
  <r>
    <x v="1"/>
    <x v="7"/>
    <n v="29"/>
    <x v="4"/>
    <s v="Netherlands"/>
    <n v="14541"/>
    <n v="14.541"/>
  </r>
  <r>
    <x v="1"/>
    <x v="7"/>
    <n v="30"/>
    <x v="4"/>
    <s v="Belgium"/>
    <n v="16163"/>
    <n v="16.163"/>
  </r>
  <r>
    <x v="1"/>
    <x v="8"/>
    <n v="4"/>
    <x v="4"/>
    <s v="Netherlands"/>
    <n v="16722"/>
    <n v="16.722000000000001"/>
  </r>
  <r>
    <x v="1"/>
    <x v="8"/>
    <n v="7"/>
    <x v="4"/>
    <s v="Netherlands"/>
    <n v="18140"/>
    <n v="18.14"/>
  </r>
  <r>
    <x v="1"/>
    <x v="8"/>
    <n v="11"/>
    <x v="4"/>
    <s v="Belgium"/>
    <n v="457"/>
    <n v="0.45700000000000002"/>
  </r>
  <r>
    <x v="1"/>
    <x v="8"/>
    <n v="12"/>
    <x v="4"/>
    <s v="Netherlands"/>
    <n v="16356"/>
    <n v="16.356000000000002"/>
  </r>
  <r>
    <x v="1"/>
    <x v="8"/>
    <n v="17"/>
    <x v="4"/>
    <s v="Netherlands"/>
    <n v="13794"/>
    <n v="13.794"/>
  </r>
  <r>
    <x v="1"/>
    <x v="8"/>
    <n v="18"/>
    <x v="4"/>
    <s v="Netherlands"/>
    <n v="16566"/>
    <n v="16.565999999999999"/>
  </r>
  <r>
    <x v="1"/>
    <x v="8"/>
    <n v="20"/>
    <x v="14"/>
    <s v="Netherlands"/>
    <n v="99055"/>
    <n v="99.055000000000007"/>
  </r>
  <r>
    <x v="1"/>
    <x v="8"/>
    <n v="22"/>
    <x v="3"/>
    <s v="Netherlands"/>
    <n v="2724"/>
    <n v="2.7240000000000002"/>
  </r>
  <r>
    <x v="1"/>
    <x v="8"/>
    <n v="22"/>
    <x v="3"/>
    <s v="Netherlands"/>
    <n v="7630"/>
    <n v="7.63"/>
  </r>
  <r>
    <x v="1"/>
    <x v="8"/>
    <n v="25"/>
    <x v="4"/>
    <s v="Netherlands"/>
    <n v="16722"/>
    <n v="16.722000000000001"/>
  </r>
  <r>
    <x v="1"/>
    <x v="8"/>
    <n v="26"/>
    <x v="4"/>
    <s v="Netherlands"/>
    <n v="8486"/>
    <n v="8.4860000000000007"/>
  </r>
  <r>
    <x v="1"/>
    <x v="8"/>
    <n v="29"/>
    <x v="23"/>
    <s v="Netherlands"/>
    <n v="94708"/>
    <n v="94.707999999999998"/>
  </r>
  <r>
    <x v="1"/>
    <x v="8"/>
    <n v="29"/>
    <x v="4"/>
    <s v="Netherlands"/>
    <n v="12443"/>
    <n v="12.443"/>
  </r>
  <r>
    <x v="1"/>
    <x v="9"/>
    <n v="1"/>
    <x v="11"/>
    <s v="Netherlands"/>
    <n v="29736"/>
    <n v="29.736000000000001"/>
  </r>
  <r>
    <x v="1"/>
    <x v="9"/>
    <n v="2"/>
    <x v="15"/>
    <s v="Netherlands"/>
    <n v="89028"/>
    <n v="89.028000000000006"/>
  </r>
  <r>
    <x v="1"/>
    <x v="9"/>
    <n v="3"/>
    <x v="4"/>
    <s v="Netherlands"/>
    <n v="12397"/>
    <n v="12.397"/>
  </r>
  <r>
    <x v="1"/>
    <x v="9"/>
    <n v="3"/>
    <x v="4"/>
    <s v="Netherlands"/>
    <n v="4224"/>
    <n v="4.2240000000000002"/>
  </r>
  <r>
    <x v="1"/>
    <x v="9"/>
    <n v="8"/>
    <x v="9"/>
    <s v="Netherlands"/>
    <n v="27348"/>
    <n v="27.347999999999999"/>
  </r>
  <r>
    <x v="1"/>
    <x v="9"/>
    <n v="10"/>
    <x v="4"/>
    <s v="Netherlands"/>
    <n v="8388"/>
    <n v="8.3879999999999999"/>
  </r>
  <r>
    <x v="1"/>
    <x v="9"/>
    <n v="12"/>
    <x v="12"/>
    <s v="Netherlands"/>
    <n v="7220"/>
    <n v="7.22"/>
  </r>
  <r>
    <x v="1"/>
    <x v="9"/>
    <n v="12"/>
    <x v="12"/>
    <s v="Netherlands"/>
    <n v="43713"/>
    <n v="43.713000000000001"/>
  </r>
  <r>
    <x v="1"/>
    <x v="9"/>
    <n v="16"/>
    <x v="4"/>
    <s v="Netherlands"/>
    <n v="16855"/>
    <n v="16.855"/>
  </r>
  <r>
    <x v="1"/>
    <x v="9"/>
    <n v="17"/>
    <x v="4"/>
    <s v="Netherlands"/>
    <n v="8907"/>
    <n v="8.907"/>
  </r>
  <r>
    <x v="1"/>
    <x v="9"/>
    <n v="17"/>
    <x v="4"/>
    <s v="Netherlands"/>
    <n v="7413"/>
    <n v="7.4130000000000003"/>
  </r>
  <r>
    <x v="1"/>
    <x v="9"/>
    <n v="21"/>
    <x v="4"/>
    <s v="Netherlands"/>
    <n v="16722"/>
    <n v="16.722000000000001"/>
  </r>
  <r>
    <x v="1"/>
    <x v="9"/>
    <n v="22"/>
    <x v="14"/>
    <s v="Netherlands"/>
    <n v="83508"/>
    <n v="83.507999999999996"/>
  </r>
  <r>
    <x v="1"/>
    <x v="9"/>
    <n v="23"/>
    <x v="4"/>
    <s v="Netherlands"/>
    <n v="10726"/>
    <n v="10.726000000000001"/>
  </r>
  <r>
    <x v="1"/>
    <x v="9"/>
    <n v="26"/>
    <x v="9"/>
    <s v="Netherlands"/>
    <n v="5926"/>
    <n v="5.9260000000000002"/>
  </r>
  <r>
    <x v="1"/>
    <x v="9"/>
    <n v="26"/>
    <x v="4"/>
    <s v="Netherlands"/>
    <n v="6290"/>
    <n v="6.29"/>
  </r>
  <r>
    <x v="1"/>
    <x v="9"/>
    <n v="26"/>
    <x v="4"/>
    <s v="Netherlands"/>
    <n v="10371"/>
    <n v="10.371"/>
  </r>
  <r>
    <x v="1"/>
    <x v="9"/>
    <n v="27"/>
    <x v="9"/>
    <s v="Netherlands"/>
    <n v="7214"/>
    <n v="7.2140000000000004"/>
  </r>
  <r>
    <x v="1"/>
    <x v="9"/>
    <n v="30"/>
    <x v="1"/>
    <s v="Netherlands"/>
    <n v="9736"/>
    <n v="9.7360000000000007"/>
  </r>
  <r>
    <x v="1"/>
    <x v="9"/>
    <n v="31"/>
    <x v="4"/>
    <s v="Belgium"/>
    <n v="16722"/>
    <n v="16.722000000000001"/>
  </r>
  <r>
    <x v="1"/>
    <x v="10"/>
    <n v="2"/>
    <x v="11"/>
    <s v="Netherlands"/>
    <n v="34643"/>
    <n v="34.643000000000001"/>
  </r>
  <r>
    <x v="1"/>
    <x v="10"/>
    <n v="2"/>
    <x v="11"/>
    <s v="Netherlands"/>
    <n v="17321"/>
    <n v="17.321000000000002"/>
  </r>
  <r>
    <x v="1"/>
    <x v="10"/>
    <n v="5"/>
    <x v="11"/>
    <s v="Netherlands"/>
    <n v="43304"/>
    <n v="43.304000000000002"/>
  </r>
  <r>
    <x v="1"/>
    <x v="10"/>
    <n v="7"/>
    <x v="1"/>
    <s v="Netherlands"/>
    <n v="6123"/>
    <n v="6.1230000000000002"/>
  </r>
  <r>
    <x v="1"/>
    <x v="10"/>
    <n v="10"/>
    <x v="13"/>
    <s v="Netherlands"/>
    <n v="37147"/>
    <n v="37.146999999999998"/>
  </r>
  <r>
    <x v="1"/>
    <x v="10"/>
    <n v="11"/>
    <x v="22"/>
    <s v="Netherlands"/>
    <n v="27417"/>
    <n v="27.417000000000002"/>
  </r>
  <r>
    <x v="1"/>
    <x v="10"/>
    <n v="12"/>
    <x v="3"/>
    <s v="Netherlands"/>
    <n v="1634"/>
    <n v="1.6339999999999999"/>
  </r>
  <r>
    <x v="1"/>
    <x v="10"/>
    <n v="12"/>
    <x v="3"/>
    <s v="Netherlands"/>
    <n v="9811"/>
    <n v="9.8109999999999999"/>
  </r>
  <r>
    <x v="1"/>
    <x v="10"/>
    <n v="13"/>
    <x v="3"/>
    <s v="Netherlands"/>
    <n v="1634"/>
    <n v="1.6339999999999999"/>
  </r>
  <r>
    <x v="1"/>
    <x v="10"/>
    <n v="15"/>
    <x v="11"/>
    <s v="Netherlands"/>
    <n v="67455"/>
    <n v="67.454999999999998"/>
  </r>
  <r>
    <x v="1"/>
    <x v="10"/>
    <n v="19"/>
    <x v="9"/>
    <s v="Netherlands"/>
    <n v="30135"/>
    <n v="30.135000000000002"/>
  </r>
  <r>
    <x v="1"/>
    <x v="10"/>
    <n v="19"/>
    <x v="4"/>
    <s v="Netherlands"/>
    <n v="14364"/>
    <n v="14.364000000000001"/>
  </r>
  <r>
    <x v="1"/>
    <x v="10"/>
    <n v="19"/>
    <x v="4"/>
    <s v="Netherlands"/>
    <n v="16356"/>
    <n v="16.356000000000002"/>
  </r>
  <r>
    <x v="1"/>
    <x v="10"/>
    <n v="21"/>
    <x v="4"/>
    <s v="Netherlands"/>
    <n v="16337"/>
    <n v="16.337"/>
  </r>
  <r>
    <x v="1"/>
    <x v="10"/>
    <n v="22"/>
    <x v="14"/>
    <s v="Netherlands"/>
    <n v="67715"/>
    <n v="67.715000000000003"/>
  </r>
  <r>
    <x v="1"/>
    <x v="10"/>
    <n v="30"/>
    <x v="4"/>
    <s v="Netherlands"/>
    <n v="16386"/>
    <n v="16.385999999999999"/>
  </r>
  <r>
    <x v="1"/>
    <x v="10"/>
    <n v="30"/>
    <x v="32"/>
    <s v="Netherlands"/>
    <n v="3030"/>
    <n v="3.03"/>
  </r>
  <r>
    <x v="1"/>
    <x v="11"/>
    <n v="2"/>
    <x v="4"/>
    <s v="Netherlands"/>
    <n v="6987"/>
    <n v="6.9870000000000001"/>
  </r>
  <r>
    <x v="1"/>
    <x v="11"/>
    <n v="2"/>
    <x v="4"/>
    <s v="Netherlands"/>
    <n v="6424"/>
    <n v="6.4240000000000004"/>
  </r>
  <r>
    <x v="1"/>
    <x v="11"/>
    <n v="3"/>
    <x v="20"/>
    <s v="Belgium"/>
    <n v="25430"/>
    <n v="25.43"/>
  </r>
  <r>
    <x v="1"/>
    <x v="11"/>
    <n v="5"/>
    <x v="4"/>
    <s v="Netherlands"/>
    <n v="16000"/>
    <n v="16"/>
  </r>
  <r>
    <x v="1"/>
    <x v="11"/>
    <n v="7"/>
    <x v="1"/>
    <s v="Netherlands"/>
    <n v="6228"/>
    <n v="6.2279999999999998"/>
  </r>
  <r>
    <x v="1"/>
    <x v="11"/>
    <n v="9"/>
    <x v="4"/>
    <s v="Netherlands"/>
    <n v="10131"/>
    <n v="10.131"/>
  </r>
  <r>
    <x v="1"/>
    <x v="11"/>
    <n v="9"/>
    <x v="4"/>
    <s v="Netherlands"/>
    <n v="5428"/>
    <n v="5.4279999999999999"/>
  </r>
  <r>
    <x v="1"/>
    <x v="11"/>
    <n v="12"/>
    <x v="6"/>
    <s v="Netherlands"/>
    <n v="32806"/>
    <n v="32.805999999999997"/>
  </r>
  <r>
    <x v="1"/>
    <x v="11"/>
    <n v="12"/>
    <x v="6"/>
    <s v="Netherlands"/>
    <n v="22906"/>
    <n v="22.905999999999999"/>
  </r>
  <r>
    <x v="1"/>
    <x v="11"/>
    <n v="13"/>
    <x v="4"/>
    <s v="Netherlands"/>
    <n v="3463"/>
    <n v="3.4630000000000001"/>
  </r>
  <r>
    <x v="1"/>
    <x v="11"/>
    <n v="13"/>
    <x v="4"/>
    <s v="Netherlands"/>
    <n v="9253"/>
    <n v="9.2530000000000001"/>
  </r>
  <r>
    <x v="1"/>
    <x v="11"/>
    <n v="14"/>
    <x v="6"/>
    <s v="Netherlands"/>
    <n v="55298"/>
    <n v="55.298000000000002"/>
  </r>
  <r>
    <x v="1"/>
    <x v="11"/>
    <n v="17"/>
    <x v="4"/>
    <s v="Netherlands"/>
    <n v="16401"/>
    <n v="16.401"/>
  </r>
  <r>
    <x v="1"/>
    <x v="11"/>
    <n v="21"/>
    <x v="4"/>
    <s v="Netherlands"/>
    <n v="15920"/>
    <n v="15.92"/>
  </r>
  <r>
    <x v="1"/>
    <x v="11"/>
    <n v="25"/>
    <x v="14"/>
    <s v="Netherlands"/>
    <n v="89999"/>
    <n v="89.998999999999995"/>
  </r>
  <r>
    <x v="1"/>
    <x v="11"/>
    <n v="26"/>
    <x v="4"/>
    <s v="Netherlands"/>
    <n v="16722"/>
    <n v="16.722000000000001"/>
  </r>
  <r>
    <x v="1"/>
    <x v="11"/>
    <n v="27"/>
    <x v="3"/>
    <s v="Netherlands"/>
    <n v="5722"/>
    <n v="5.7220000000000004"/>
  </r>
  <r>
    <x v="1"/>
    <x v="11"/>
    <n v="30"/>
    <x v="4"/>
    <s v="Netherlands"/>
    <n v="16401"/>
    <n v="16.401"/>
  </r>
  <r>
    <x v="1"/>
    <x v="11"/>
    <n v="30"/>
    <x v="11"/>
    <s v="Netherlands"/>
    <n v="74762"/>
    <n v="74.762"/>
  </r>
  <r>
    <x v="2"/>
    <x v="0"/>
    <n v="3"/>
    <x v="1"/>
    <s v="Netherlands"/>
    <n v="1769"/>
    <n v="1.7689999999999999"/>
  </r>
  <r>
    <x v="2"/>
    <x v="0"/>
    <n v="3"/>
    <x v="1"/>
    <s v="Netherlands"/>
    <n v="2762"/>
    <n v="2.762"/>
  </r>
  <r>
    <x v="2"/>
    <x v="0"/>
    <n v="3"/>
    <x v="4"/>
    <s v="Netherlands"/>
    <n v="16722"/>
    <n v="16.722000000000001"/>
  </r>
  <r>
    <x v="2"/>
    <x v="0"/>
    <n v="8"/>
    <x v="4"/>
    <s v="Netherlands"/>
    <n v="17098"/>
    <n v="17.097999999999999"/>
  </r>
  <r>
    <x v="2"/>
    <x v="0"/>
    <n v="9"/>
    <x v="4"/>
    <s v="Netherlands"/>
    <n v="16401"/>
    <n v="16.401"/>
  </r>
  <r>
    <x v="2"/>
    <x v="0"/>
    <n v="12"/>
    <x v="4"/>
    <s v="Netherlands"/>
    <n v="15920"/>
    <n v="15.92"/>
  </r>
  <r>
    <x v="2"/>
    <x v="0"/>
    <n v="14"/>
    <x v="14"/>
    <s v="Netherlands"/>
    <n v="4017"/>
    <n v="4.0170000000000003"/>
  </r>
  <r>
    <x v="2"/>
    <x v="0"/>
    <n v="16"/>
    <x v="22"/>
    <s v="Netherlands"/>
    <n v="10349"/>
    <n v="10.349"/>
  </r>
  <r>
    <x v="2"/>
    <x v="0"/>
    <n v="16"/>
    <x v="22"/>
    <s v="Netherlands"/>
    <n v="6362"/>
    <n v="6.3620000000000001"/>
  </r>
  <r>
    <x v="2"/>
    <x v="0"/>
    <n v="16"/>
    <x v="4"/>
    <s v="Netherlands"/>
    <n v="1976"/>
    <n v="1.976"/>
  </r>
  <r>
    <x v="2"/>
    <x v="0"/>
    <n v="16"/>
    <x v="4"/>
    <s v="Netherlands"/>
    <n v="10345"/>
    <n v="10.345000000000001"/>
  </r>
  <r>
    <x v="2"/>
    <x v="0"/>
    <n v="20"/>
    <x v="4"/>
    <s v="Belgium"/>
    <n v="14384"/>
    <n v="14.384"/>
  </r>
  <r>
    <x v="2"/>
    <x v="0"/>
    <n v="20"/>
    <x v="4"/>
    <s v="Belgium"/>
    <n v="2338"/>
    <n v="2.3380000000000001"/>
  </r>
  <r>
    <x v="2"/>
    <x v="0"/>
    <n v="20"/>
    <x v="4"/>
    <s v="Netherlands"/>
    <n v="14999"/>
    <n v="14.999000000000001"/>
  </r>
  <r>
    <x v="2"/>
    <x v="0"/>
    <n v="20"/>
    <x v="13"/>
    <s v="Belgium"/>
    <n v="60112"/>
    <n v="60.112000000000002"/>
  </r>
  <r>
    <x v="2"/>
    <x v="0"/>
    <n v="21"/>
    <x v="28"/>
    <s v="Netherlands"/>
    <n v="45587"/>
    <n v="45.587000000000003"/>
  </r>
  <r>
    <x v="2"/>
    <x v="0"/>
    <n v="28"/>
    <x v="11"/>
    <s v="Netherlands"/>
    <n v="17125"/>
    <n v="17.125"/>
  </r>
  <r>
    <x v="2"/>
    <x v="0"/>
    <n v="28"/>
    <x v="11"/>
    <s v="Netherlands"/>
    <n v="17125"/>
    <n v="17.125"/>
  </r>
  <r>
    <x v="2"/>
    <x v="0"/>
    <n v="29"/>
    <x v="4"/>
    <s v="Netherlands"/>
    <n v="16715"/>
    <n v="16.715"/>
  </r>
  <r>
    <x v="2"/>
    <x v="0"/>
    <n v="29"/>
    <x v="4"/>
    <s v="Netherlands"/>
    <n v="16722"/>
    <n v="16.722000000000001"/>
  </r>
  <r>
    <x v="2"/>
    <x v="0"/>
    <n v="29"/>
    <x v="13"/>
    <s v="Netherlands"/>
    <n v="37382"/>
    <n v="37.381999999999998"/>
  </r>
  <r>
    <x v="2"/>
    <x v="0"/>
    <n v="30"/>
    <x v="3"/>
    <s v="Netherlands"/>
    <n v="2179"/>
    <n v="2.1789999999999998"/>
  </r>
  <r>
    <x v="2"/>
    <x v="0"/>
    <n v="30"/>
    <x v="13"/>
    <s v="Netherlands"/>
    <n v="5516"/>
    <n v="5.516"/>
  </r>
  <r>
    <x v="2"/>
    <x v="0"/>
    <n v="31"/>
    <x v="11"/>
    <s v="Netherlands"/>
    <n v="20563"/>
    <n v="20.562999999999999"/>
  </r>
  <r>
    <x v="2"/>
    <x v="0"/>
    <n v="31"/>
    <x v="11"/>
    <s v="Netherlands"/>
    <n v="12158"/>
    <n v="12.157999999999999"/>
  </r>
  <r>
    <x v="2"/>
    <x v="0"/>
    <n v="31"/>
    <x v="13"/>
    <s v="Netherlands"/>
    <n v="11889"/>
    <n v="11.888999999999999"/>
  </r>
  <r>
    <x v="2"/>
    <x v="1"/>
    <n v="1"/>
    <x v="4"/>
    <s v="Netherlands"/>
    <n v="11677"/>
    <n v="11.677"/>
  </r>
  <r>
    <x v="2"/>
    <x v="1"/>
    <n v="5"/>
    <x v="4"/>
    <s v="Netherlands"/>
    <n v="16988"/>
    <n v="16.988"/>
  </r>
  <r>
    <x v="2"/>
    <x v="1"/>
    <n v="9"/>
    <x v="4"/>
    <s v="Netherlands"/>
    <n v="16715"/>
    <n v="16.715"/>
  </r>
  <r>
    <x v="2"/>
    <x v="1"/>
    <n v="10"/>
    <x v="6"/>
    <s v="Netherlands"/>
    <n v="141422"/>
    <n v="141.422"/>
  </r>
  <r>
    <x v="2"/>
    <x v="1"/>
    <n v="11"/>
    <x v="4"/>
    <s v="Netherlands"/>
    <n v="9890"/>
    <n v="9.89"/>
  </r>
  <r>
    <x v="2"/>
    <x v="1"/>
    <n v="17"/>
    <x v="4"/>
    <s v="Netherlands"/>
    <n v="5092"/>
    <n v="5.0919999999999996"/>
  </r>
  <r>
    <x v="2"/>
    <x v="1"/>
    <n v="17"/>
    <x v="4"/>
    <s v="Netherlands"/>
    <n v="9762"/>
    <n v="9.7620000000000005"/>
  </r>
  <r>
    <x v="2"/>
    <x v="1"/>
    <n v="19"/>
    <x v="4"/>
    <s v="Netherlands"/>
    <n v="10322"/>
    <n v="10.321999999999999"/>
  </r>
  <r>
    <x v="2"/>
    <x v="1"/>
    <n v="19"/>
    <x v="4"/>
    <s v="Netherlands"/>
    <n v="6339"/>
    <n v="6.3390000000000004"/>
  </r>
  <r>
    <x v="2"/>
    <x v="1"/>
    <n v="21"/>
    <x v="4"/>
    <s v="Netherlands"/>
    <n v="14095"/>
    <n v="14.095000000000001"/>
  </r>
  <r>
    <x v="2"/>
    <x v="1"/>
    <n v="24"/>
    <x v="4"/>
    <s v="Netherlands"/>
    <n v="2380"/>
    <n v="2.38"/>
  </r>
  <r>
    <x v="2"/>
    <x v="1"/>
    <n v="24"/>
    <x v="4"/>
    <s v="Netherlands"/>
    <n v="7834"/>
    <n v="7.8339999999999996"/>
  </r>
  <r>
    <x v="2"/>
    <x v="1"/>
    <n v="24"/>
    <x v="33"/>
    <s v="Netherlands"/>
    <n v="52649"/>
    <n v="52.649000000000001"/>
  </r>
  <r>
    <x v="2"/>
    <x v="1"/>
    <n v="27"/>
    <x v="11"/>
    <s v="Netherlands"/>
    <n v="69287"/>
    <n v="69.287000000000006"/>
  </r>
  <r>
    <x v="2"/>
    <x v="1"/>
    <n v="27"/>
    <x v="13"/>
    <s v="Belgium"/>
    <n v="52022"/>
    <n v="52.021999999999998"/>
  </r>
  <r>
    <x v="2"/>
    <x v="1"/>
    <n v="27"/>
    <x v="13"/>
    <s v="Belgium"/>
    <n v="18198"/>
    <n v="18.198"/>
  </r>
  <r>
    <x v="2"/>
    <x v="2"/>
    <n v="1"/>
    <x v="14"/>
    <s v="Netherlands"/>
    <n v="96744"/>
    <n v="96.744"/>
  </r>
  <r>
    <x v="2"/>
    <x v="2"/>
    <n v="1"/>
    <x v="4"/>
    <s v="Netherlands"/>
    <n v="16722"/>
    <n v="16.722000000000001"/>
  </r>
  <r>
    <x v="2"/>
    <x v="2"/>
    <n v="1"/>
    <x v="4"/>
    <s v="Netherlands"/>
    <n v="17037"/>
    <n v="17.036999999999999"/>
  </r>
  <r>
    <x v="2"/>
    <x v="2"/>
    <n v="2"/>
    <x v="4"/>
    <s v="Netherlands"/>
    <n v="8683"/>
    <n v="8.6829999999999998"/>
  </r>
  <r>
    <x v="2"/>
    <x v="2"/>
    <n v="3"/>
    <x v="12"/>
    <s v="Netherlands"/>
    <n v="45728"/>
    <n v="45.728000000000002"/>
  </r>
  <r>
    <x v="2"/>
    <x v="2"/>
    <n v="3"/>
    <x v="12"/>
    <s v="Netherlands"/>
    <n v="7676"/>
    <n v="7.6760000000000002"/>
  </r>
  <r>
    <x v="2"/>
    <x v="2"/>
    <n v="6"/>
    <x v="3"/>
    <s v="Netherlands"/>
    <n v="4087"/>
    <n v="4.0869999999999997"/>
  </r>
  <r>
    <x v="2"/>
    <x v="2"/>
    <n v="9"/>
    <x v="4"/>
    <s v="Netherlands"/>
    <n v="16093"/>
    <n v="16.093"/>
  </r>
  <r>
    <x v="2"/>
    <x v="2"/>
    <n v="12"/>
    <x v="4"/>
    <s v="Netherlands"/>
    <n v="5705"/>
    <n v="5.7050000000000001"/>
  </r>
  <r>
    <x v="2"/>
    <x v="2"/>
    <n v="12"/>
    <x v="4"/>
    <s v="Netherlands"/>
    <n v="10956"/>
    <n v="10.956"/>
  </r>
  <r>
    <x v="2"/>
    <x v="2"/>
    <n v="14"/>
    <x v="12"/>
    <s v="Netherlands"/>
    <n v="70850"/>
    <n v="70.849999999999994"/>
  </r>
  <r>
    <x v="2"/>
    <x v="2"/>
    <n v="14"/>
    <x v="12"/>
    <s v="Netherlands"/>
    <n v="27439"/>
    <n v="27.439"/>
  </r>
  <r>
    <x v="2"/>
    <x v="2"/>
    <n v="14"/>
    <x v="12"/>
    <s v="Netherlands"/>
    <n v="47880"/>
    <n v="47.88"/>
  </r>
  <r>
    <x v="2"/>
    <x v="2"/>
    <n v="15"/>
    <x v="9"/>
    <s v="Netherlands"/>
    <n v="10187"/>
    <n v="10.186999999999999"/>
  </r>
  <r>
    <x v="2"/>
    <x v="2"/>
    <n v="15"/>
    <x v="9"/>
    <s v="Netherlands"/>
    <n v="9965"/>
    <n v="9.9649999999999999"/>
  </r>
  <r>
    <x v="2"/>
    <x v="2"/>
    <n v="16"/>
    <x v="9"/>
    <s v="Netherlands"/>
    <n v="6492"/>
    <n v="6.492"/>
  </r>
  <r>
    <x v="2"/>
    <x v="2"/>
    <n v="18"/>
    <x v="1"/>
    <s v="Netherlands"/>
    <n v="3801"/>
    <n v="3.8010000000000002"/>
  </r>
  <r>
    <x v="2"/>
    <x v="2"/>
    <n v="18"/>
    <x v="4"/>
    <s v="Netherlands"/>
    <n v="16099"/>
    <n v="16.099"/>
  </r>
  <r>
    <x v="2"/>
    <x v="2"/>
    <n v="20"/>
    <x v="1"/>
    <s v="Netherlands"/>
    <n v="5226"/>
    <n v="5.226"/>
  </r>
  <r>
    <x v="2"/>
    <x v="2"/>
    <n v="20"/>
    <x v="33"/>
    <s v="Netherlands"/>
    <n v="17685"/>
    <n v="17.684999999999999"/>
  </r>
  <r>
    <x v="2"/>
    <x v="2"/>
    <n v="20"/>
    <x v="33"/>
    <s v="Netherlands"/>
    <n v="26161"/>
    <n v="26.161000000000001"/>
  </r>
  <r>
    <x v="2"/>
    <x v="2"/>
    <n v="23"/>
    <x v="15"/>
    <s v="Netherlands"/>
    <n v="77969"/>
    <n v="77.968999999999994"/>
  </r>
  <r>
    <x v="2"/>
    <x v="2"/>
    <n v="25"/>
    <x v="4"/>
    <s v="Netherlands"/>
    <n v="16561"/>
    <n v="16.561"/>
  </r>
  <r>
    <x v="2"/>
    <x v="2"/>
    <n v="25"/>
    <x v="4"/>
    <s v="Netherlands"/>
    <n v="14296"/>
    <n v="14.295999999999999"/>
  </r>
  <r>
    <x v="2"/>
    <x v="2"/>
    <n v="29"/>
    <x v="4"/>
    <s v="Netherlands"/>
    <n v="17097"/>
    <n v="17.097000000000001"/>
  </r>
  <r>
    <x v="2"/>
    <x v="3"/>
    <n v="1"/>
    <x v="12"/>
    <s v="Netherlands"/>
    <n v="9851"/>
    <n v="9.8510000000000009"/>
  </r>
  <r>
    <x v="2"/>
    <x v="3"/>
    <n v="1"/>
    <x v="12"/>
    <s v="Netherlands"/>
    <n v="12674"/>
    <n v="12.673999999999999"/>
  </r>
  <r>
    <x v="2"/>
    <x v="3"/>
    <n v="1"/>
    <x v="12"/>
    <s v="Netherlands"/>
    <n v="5645"/>
    <n v="5.6449999999999996"/>
  </r>
  <r>
    <x v="2"/>
    <x v="3"/>
    <n v="1"/>
    <x v="12"/>
    <s v="Netherlands"/>
    <n v="12674"/>
    <n v="12.673999999999999"/>
  </r>
  <r>
    <x v="2"/>
    <x v="3"/>
    <n v="1"/>
    <x v="20"/>
    <s v="Netherlands"/>
    <n v="4418"/>
    <n v="4.4180000000000001"/>
  </r>
  <r>
    <x v="2"/>
    <x v="3"/>
    <n v="2"/>
    <x v="4"/>
    <s v="Netherlands"/>
    <n v="16715"/>
    <n v="16.715"/>
  </r>
  <r>
    <x v="2"/>
    <x v="3"/>
    <n v="3"/>
    <x v="12"/>
    <s v="Netherlands"/>
    <n v="17541"/>
    <n v="17.541"/>
  </r>
  <r>
    <x v="2"/>
    <x v="3"/>
    <n v="3"/>
    <x v="12"/>
    <s v="Netherlands"/>
    <n v="10175"/>
    <n v="10.175000000000001"/>
  </r>
  <r>
    <x v="2"/>
    <x v="3"/>
    <n v="3"/>
    <x v="12"/>
    <s v="Netherlands"/>
    <n v="4589"/>
    <n v="4.5890000000000004"/>
  </r>
  <r>
    <x v="2"/>
    <x v="3"/>
    <n v="3"/>
    <x v="12"/>
    <s v="Netherlands"/>
    <n v="8009"/>
    <n v="8.0090000000000003"/>
  </r>
  <r>
    <x v="2"/>
    <x v="3"/>
    <n v="3"/>
    <x v="13"/>
    <s v="Netherlands"/>
    <n v="61872"/>
    <n v="61.872"/>
  </r>
  <r>
    <x v="2"/>
    <x v="3"/>
    <n v="4"/>
    <x v="10"/>
    <s v="Netherlands"/>
    <n v="41975"/>
    <n v="41.975000000000001"/>
  </r>
  <r>
    <x v="2"/>
    <x v="3"/>
    <n v="4"/>
    <x v="11"/>
    <s v="Netherlands"/>
    <n v="26731"/>
    <n v="26.731000000000002"/>
  </r>
  <r>
    <x v="2"/>
    <x v="3"/>
    <n v="7"/>
    <x v="14"/>
    <s v="Netherlands"/>
    <n v="98230"/>
    <n v="98.23"/>
  </r>
  <r>
    <x v="2"/>
    <x v="3"/>
    <n v="14"/>
    <x v="4"/>
    <s v="Netherlands"/>
    <n v="15779"/>
    <n v="15.779"/>
  </r>
  <r>
    <x v="2"/>
    <x v="3"/>
    <n v="17"/>
    <x v="33"/>
    <s v="Netherlands"/>
    <n v="75987"/>
    <n v="75.986999999999995"/>
  </r>
  <r>
    <x v="2"/>
    <x v="3"/>
    <n v="20"/>
    <x v="3"/>
    <s v="Netherlands"/>
    <n v="6540"/>
    <n v="6.54"/>
  </r>
  <r>
    <x v="2"/>
    <x v="3"/>
    <n v="20"/>
    <x v="13"/>
    <s v="Belgium"/>
    <n v="63108"/>
    <n v="63.107999999999997"/>
  </r>
  <r>
    <x v="2"/>
    <x v="3"/>
    <n v="23"/>
    <x v="4"/>
    <s v="Netherlands"/>
    <n v="15817"/>
    <n v="15.817"/>
  </r>
  <r>
    <x v="2"/>
    <x v="3"/>
    <n v="29"/>
    <x v="4"/>
    <s v="Netherlands"/>
    <n v="16661"/>
    <n v="16.661000000000001"/>
  </r>
  <r>
    <x v="2"/>
    <x v="3"/>
    <n v="29"/>
    <x v="15"/>
    <s v="Netherlands"/>
    <n v="66454"/>
    <n v="66.453999999999994"/>
  </r>
  <r>
    <x v="2"/>
    <x v="3"/>
    <n v="30"/>
    <x v="20"/>
    <s v="Netherlands"/>
    <n v="28741"/>
    <n v="28.741"/>
  </r>
  <r>
    <x v="2"/>
    <x v="4"/>
    <n v="1"/>
    <x v="14"/>
    <s v="Netherlands"/>
    <n v="103796"/>
    <n v="103.79600000000001"/>
  </r>
  <r>
    <x v="2"/>
    <x v="4"/>
    <n v="3"/>
    <x v="22"/>
    <s v="Netherlands"/>
    <n v="21113"/>
    <n v="21.113"/>
  </r>
  <r>
    <x v="2"/>
    <x v="4"/>
    <n v="3"/>
    <x v="22"/>
    <s v="Netherlands"/>
    <n v="15162"/>
    <n v="15.162000000000001"/>
  </r>
  <r>
    <x v="2"/>
    <x v="4"/>
    <n v="4"/>
    <x v="4"/>
    <s v="Netherlands"/>
    <n v="15779"/>
    <n v="15.779"/>
  </r>
  <r>
    <x v="2"/>
    <x v="4"/>
    <n v="12"/>
    <x v="34"/>
    <s v="Netherlands"/>
    <n v="31585"/>
    <n v="31.585000000000001"/>
  </r>
  <r>
    <x v="2"/>
    <x v="4"/>
    <n v="12"/>
    <x v="13"/>
    <s v="Netherlands"/>
    <n v="39815"/>
    <n v="39.814999999999998"/>
  </r>
  <r>
    <x v="2"/>
    <x v="4"/>
    <n v="13"/>
    <x v="4"/>
    <s v="Netherlands"/>
    <n v="17631"/>
    <n v="17.631"/>
  </r>
  <r>
    <x v="2"/>
    <x v="4"/>
    <n v="14"/>
    <x v="4"/>
    <s v="Netherlands"/>
    <n v="16661"/>
    <n v="16.661000000000001"/>
  </r>
  <r>
    <x v="2"/>
    <x v="4"/>
    <n v="17"/>
    <x v="4"/>
    <s v="Netherlands"/>
    <n v="7673"/>
    <n v="7.673"/>
  </r>
  <r>
    <x v="2"/>
    <x v="4"/>
    <n v="21"/>
    <x v="4"/>
    <s v="Netherlands"/>
    <n v="9042"/>
    <n v="9.0419999999999998"/>
  </r>
  <r>
    <x v="2"/>
    <x v="4"/>
    <n v="22"/>
    <x v="4"/>
    <s v="Netherlands"/>
    <n v="16661"/>
    <n v="16.661000000000001"/>
  </r>
  <r>
    <x v="2"/>
    <x v="4"/>
    <n v="28"/>
    <x v="13"/>
    <s v="Netherlands"/>
    <n v="47475"/>
    <n v="47.475000000000001"/>
  </r>
  <r>
    <x v="2"/>
    <x v="4"/>
    <n v="29"/>
    <x v="22"/>
    <s v="Netherlands"/>
    <n v="8193"/>
    <n v="8.1929999999999996"/>
  </r>
  <r>
    <x v="2"/>
    <x v="4"/>
    <n v="29"/>
    <x v="18"/>
    <s v="Netherlands"/>
    <n v="11603"/>
    <n v="11.603"/>
  </r>
  <r>
    <x v="2"/>
    <x v="4"/>
    <n v="29"/>
    <x v="18"/>
    <s v="Netherlands"/>
    <n v="11603"/>
    <n v="11.603"/>
  </r>
  <r>
    <x v="2"/>
    <x v="4"/>
    <n v="31"/>
    <x v="3"/>
    <s v="Netherlands"/>
    <n v="2724"/>
    <n v="2.7240000000000002"/>
  </r>
  <r>
    <x v="2"/>
    <x v="4"/>
    <n v="31"/>
    <x v="3"/>
    <s v="Netherlands"/>
    <n v="5994"/>
    <n v="5.9939999999999998"/>
  </r>
  <r>
    <x v="2"/>
    <x v="5"/>
    <n v="3"/>
    <x v="4"/>
    <s v="Netherlands"/>
    <n v="16163"/>
    <n v="16.163"/>
  </r>
  <r>
    <x v="2"/>
    <x v="5"/>
    <n v="4"/>
    <x v="14"/>
    <s v="Netherlands"/>
    <n v="91677"/>
    <n v="91.677000000000007"/>
  </r>
  <r>
    <x v="2"/>
    <x v="5"/>
    <n v="12"/>
    <x v="4"/>
    <s v="Netherlands"/>
    <n v="15817"/>
    <n v="15.817"/>
  </r>
  <r>
    <x v="2"/>
    <x v="5"/>
    <n v="13"/>
    <x v="1"/>
    <s v="Netherlands"/>
    <n v="9674"/>
    <n v="9.6739999999999995"/>
  </r>
  <r>
    <x v="2"/>
    <x v="5"/>
    <n v="22"/>
    <x v="4"/>
    <s v="Netherlands"/>
    <n v="16933"/>
    <n v="16.933"/>
  </r>
  <r>
    <x v="2"/>
    <x v="5"/>
    <n v="28"/>
    <x v="4"/>
    <s v="Netherlands"/>
    <n v="16707"/>
    <n v="16.707000000000001"/>
  </r>
  <r>
    <x v="2"/>
    <x v="6"/>
    <n v="2"/>
    <x v="35"/>
    <s v="Netherlands"/>
    <n v="52012"/>
    <n v="52.012"/>
  </r>
  <r>
    <x v="2"/>
    <x v="6"/>
    <n v="4"/>
    <x v="4"/>
    <s v="Netherlands"/>
    <n v="15817"/>
    <n v="15.817"/>
  </r>
  <r>
    <x v="2"/>
    <x v="6"/>
    <n v="10"/>
    <x v="9"/>
    <s v="Netherlands"/>
    <n v="37781"/>
    <n v="37.780999999999999"/>
  </r>
  <r>
    <x v="2"/>
    <x v="6"/>
    <n v="11"/>
    <x v="9"/>
    <s v="Netherlands"/>
    <n v="2770"/>
    <n v="2.77"/>
  </r>
  <r>
    <x v="2"/>
    <x v="6"/>
    <n v="12"/>
    <x v="4"/>
    <s v="Netherlands"/>
    <n v="15779"/>
    <n v="15.779"/>
  </r>
  <r>
    <x v="2"/>
    <x v="6"/>
    <n v="13"/>
    <x v="3"/>
    <s v="Netherlands"/>
    <n v="2179"/>
    <n v="2.1789999999999998"/>
  </r>
  <r>
    <x v="2"/>
    <x v="6"/>
    <n v="13"/>
    <x v="3"/>
    <s v="Netherlands"/>
    <n v="5449"/>
    <n v="5.4489999999999998"/>
  </r>
  <r>
    <x v="2"/>
    <x v="6"/>
    <n v="13"/>
    <x v="15"/>
    <s v="Netherlands"/>
    <n v="41384"/>
    <n v="41.384"/>
  </r>
  <r>
    <x v="2"/>
    <x v="6"/>
    <n v="13"/>
    <x v="28"/>
    <s v="Netherlands"/>
    <n v="17409"/>
    <n v="17.408999999999999"/>
  </r>
  <r>
    <x v="2"/>
    <x v="6"/>
    <n v="14"/>
    <x v="14"/>
    <s v="Netherlands"/>
    <n v="95991"/>
    <n v="95.991"/>
  </r>
  <r>
    <x v="2"/>
    <x v="6"/>
    <n v="16"/>
    <x v="13"/>
    <s v="Netherlands"/>
    <n v="50362"/>
    <n v="50.362000000000002"/>
  </r>
  <r>
    <x v="2"/>
    <x v="6"/>
    <n v="19"/>
    <x v="12"/>
    <s v="Netherlands"/>
    <n v="41080"/>
    <n v="41.08"/>
  </r>
  <r>
    <x v="2"/>
    <x v="6"/>
    <n v="19"/>
    <x v="12"/>
    <s v="Netherlands"/>
    <n v="44036"/>
    <n v="44.036000000000001"/>
  </r>
  <r>
    <x v="2"/>
    <x v="6"/>
    <n v="19"/>
    <x v="12"/>
    <s v="Netherlands"/>
    <n v="58693"/>
    <n v="58.692999999999998"/>
  </r>
  <r>
    <x v="2"/>
    <x v="6"/>
    <n v="22"/>
    <x v="4"/>
    <s v="Netherlands"/>
    <n v="16661"/>
    <n v="16.661000000000001"/>
  </r>
  <r>
    <x v="2"/>
    <x v="6"/>
    <n v="25"/>
    <x v="13"/>
    <s v="Belgium"/>
    <n v="27738"/>
    <n v="27.738"/>
  </r>
  <r>
    <x v="2"/>
    <x v="6"/>
    <n v="31"/>
    <x v="4"/>
    <s v="Netherlands"/>
    <n v="16933"/>
    <n v="16.933"/>
  </r>
  <r>
    <x v="2"/>
    <x v="6"/>
    <n v="31"/>
    <x v="13"/>
    <s v="Netherlands"/>
    <n v="28700"/>
    <n v="28.7"/>
  </r>
  <r>
    <x v="2"/>
    <x v="7"/>
    <n v="3"/>
    <x v="4"/>
    <s v="Netherlands"/>
    <n v="16661"/>
    <n v="16.661000000000001"/>
  </r>
  <r>
    <x v="2"/>
    <x v="7"/>
    <n v="7"/>
    <x v="4"/>
    <s v="Netherlands"/>
    <n v="16722"/>
    <n v="16.722000000000001"/>
  </r>
  <r>
    <x v="2"/>
    <x v="7"/>
    <n v="11"/>
    <x v="4"/>
    <s v="Netherlands"/>
    <n v="16715"/>
    <n v="16.715"/>
  </r>
  <r>
    <x v="2"/>
    <x v="7"/>
    <n v="12"/>
    <x v="13"/>
    <s v="Netherlands"/>
    <n v="76334"/>
    <n v="76.334000000000003"/>
  </r>
  <r>
    <x v="2"/>
    <x v="7"/>
    <n v="13"/>
    <x v="13"/>
    <s v="Netherlands"/>
    <n v="54380"/>
    <n v="54.38"/>
  </r>
  <r>
    <x v="2"/>
    <x v="7"/>
    <n v="15"/>
    <x v="4"/>
    <s v="Netherlands"/>
    <n v="16722"/>
    <n v="16.722000000000001"/>
  </r>
  <r>
    <x v="2"/>
    <x v="7"/>
    <n v="17"/>
    <x v="14"/>
    <s v="Netherlands"/>
    <n v="49388"/>
    <n v="49.387999999999998"/>
  </r>
  <r>
    <x v="2"/>
    <x v="7"/>
    <n v="18"/>
    <x v="4"/>
    <s v="Netherlands"/>
    <n v="10741"/>
    <n v="10.741"/>
  </r>
  <r>
    <x v="2"/>
    <x v="7"/>
    <n v="19"/>
    <x v="14"/>
    <s v="Netherlands"/>
    <n v="50967"/>
    <n v="50.966999999999999"/>
  </r>
  <r>
    <x v="2"/>
    <x v="7"/>
    <n v="24"/>
    <x v="4"/>
    <s v="Netherlands"/>
    <n v="16722"/>
    <n v="16.722000000000001"/>
  </r>
  <r>
    <x v="2"/>
    <x v="7"/>
    <n v="25"/>
    <x v="3"/>
    <s v="Netherlands"/>
    <n v="8175"/>
    <n v="8.1750000000000007"/>
  </r>
  <r>
    <x v="2"/>
    <x v="7"/>
    <n v="30"/>
    <x v="12"/>
    <s v="Netherlands"/>
    <n v="27195"/>
    <n v="27.195"/>
  </r>
  <r>
    <x v="2"/>
    <x v="7"/>
    <n v="30"/>
    <x v="12"/>
    <s v="Netherlands"/>
    <n v="43225"/>
    <n v="43.225000000000001"/>
  </r>
  <r>
    <x v="2"/>
    <x v="7"/>
    <n v="30"/>
    <x v="12"/>
    <s v="Netherlands"/>
    <n v="36651"/>
    <n v="36.651000000000003"/>
  </r>
  <r>
    <x v="2"/>
    <x v="7"/>
    <n v="30"/>
    <x v="12"/>
    <s v="Netherlands"/>
    <n v="19569"/>
    <n v="19.568999999999999"/>
  </r>
  <r>
    <x v="2"/>
    <x v="7"/>
    <n v="30"/>
    <x v="12"/>
    <s v="Netherlands"/>
    <n v="22167"/>
    <n v="22.167000000000002"/>
  </r>
  <r>
    <x v="2"/>
    <x v="8"/>
    <n v="1"/>
    <x v="4"/>
    <s v="Netherlands"/>
    <n v="13101"/>
    <n v="13.101000000000001"/>
  </r>
  <r>
    <x v="2"/>
    <x v="8"/>
    <n v="4"/>
    <x v="4"/>
    <s v="Netherlands"/>
    <n v="3620"/>
    <n v="3.62"/>
  </r>
  <r>
    <x v="2"/>
    <x v="8"/>
    <n v="5"/>
    <x v="4"/>
    <s v="Netherlands"/>
    <n v="17055"/>
    <n v="17.055"/>
  </r>
  <r>
    <x v="2"/>
    <x v="8"/>
    <n v="7"/>
    <x v="25"/>
    <s v="Netherlands"/>
    <n v="4502"/>
    <n v="4.5019999999999998"/>
  </r>
  <r>
    <x v="2"/>
    <x v="8"/>
    <n v="7"/>
    <x v="1"/>
    <s v="Netherlands"/>
    <n v="23307"/>
    <n v="23.306999999999999"/>
  </r>
  <r>
    <x v="2"/>
    <x v="8"/>
    <n v="9"/>
    <x v="13"/>
    <s v="Netherlands"/>
    <n v="61208"/>
    <n v="61.207999999999998"/>
  </r>
  <r>
    <x v="2"/>
    <x v="8"/>
    <n v="10"/>
    <x v="4"/>
    <s v="Netherlands"/>
    <n v="16661"/>
    <n v="16.661000000000001"/>
  </r>
  <r>
    <x v="2"/>
    <x v="8"/>
    <n v="12"/>
    <x v="16"/>
    <s v="Netherlands"/>
    <n v="42154"/>
    <n v="42.154000000000003"/>
  </r>
  <r>
    <x v="2"/>
    <x v="8"/>
    <n v="13"/>
    <x v="14"/>
    <s v="Netherlands"/>
    <n v="66901"/>
    <n v="66.900999999999996"/>
  </r>
  <r>
    <x v="2"/>
    <x v="8"/>
    <n v="13"/>
    <x v="4"/>
    <s v="Netherlands"/>
    <n v="16722"/>
    <n v="16.722000000000001"/>
  </r>
  <r>
    <x v="2"/>
    <x v="8"/>
    <n v="18"/>
    <x v="11"/>
    <s v="Netherlands"/>
    <n v="60525"/>
    <n v="60.524999999999999"/>
  </r>
  <r>
    <x v="2"/>
    <x v="8"/>
    <n v="20"/>
    <x v="4"/>
    <s v="Netherlands"/>
    <n v="16722"/>
    <n v="16.722000000000001"/>
  </r>
  <r>
    <x v="2"/>
    <x v="8"/>
    <n v="23"/>
    <x v="13"/>
    <s v="Netherlands"/>
    <n v="67145"/>
    <n v="67.144999999999996"/>
  </r>
  <r>
    <x v="2"/>
    <x v="8"/>
    <n v="24"/>
    <x v="15"/>
    <s v="Netherlands"/>
    <n v="43600"/>
    <n v="43.6"/>
  </r>
  <r>
    <x v="2"/>
    <x v="8"/>
    <n v="26"/>
    <x v="1"/>
    <s v="Netherlands"/>
    <n v="4931"/>
    <n v="4.931"/>
  </r>
  <r>
    <x v="2"/>
    <x v="8"/>
    <n v="29"/>
    <x v="4"/>
    <s v="Netherlands"/>
    <n v="16934"/>
    <n v="16.934000000000001"/>
  </r>
  <r>
    <x v="2"/>
    <x v="9"/>
    <n v="2"/>
    <x v="1"/>
    <s v="Netherlands"/>
    <n v="5702"/>
    <n v="5.702"/>
  </r>
  <r>
    <x v="2"/>
    <x v="9"/>
    <n v="3"/>
    <x v="4"/>
    <s v="Netherlands"/>
    <n v="16722"/>
    <n v="16.722000000000001"/>
  </r>
  <r>
    <x v="2"/>
    <x v="9"/>
    <n v="5"/>
    <x v="36"/>
    <s v="Netherlands"/>
    <n v="4987"/>
    <n v="4.9870000000000001"/>
  </r>
  <r>
    <x v="2"/>
    <x v="9"/>
    <n v="7"/>
    <x v="4"/>
    <s v="Netherlands"/>
    <n v="15779"/>
    <n v="15.779"/>
  </r>
  <r>
    <x v="2"/>
    <x v="9"/>
    <n v="7"/>
    <x v="20"/>
    <s v="Netherlands"/>
    <n v="37696"/>
    <n v="37.695999999999998"/>
  </r>
  <r>
    <x v="2"/>
    <x v="9"/>
    <n v="7"/>
    <x v="11"/>
    <s v="Netherlands"/>
    <n v="21971"/>
    <n v="21.971"/>
  </r>
  <r>
    <x v="2"/>
    <x v="9"/>
    <n v="7"/>
    <x v="13"/>
    <s v="Belgium"/>
    <n v="70039"/>
    <n v="70.039000000000001"/>
  </r>
  <r>
    <x v="2"/>
    <x v="9"/>
    <n v="11"/>
    <x v="4"/>
    <s v="Netherlands"/>
    <n v="11917"/>
    <n v="11.917"/>
  </r>
  <r>
    <x v="2"/>
    <x v="9"/>
    <n v="13"/>
    <x v="4"/>
    <s v="Netherlands"/>
    <n v="3373"/>
    <n v="3.3730000000000002"/>
  </r>
  <r>
    <x v="2"/>
    <x v="9"/>
    <n v="14"/>
    <x v="14"/>
    <s v="Netherlands"/>
    <n v="99493"/>
    <n v="99.492999999999995"/>
  </r>
  <r>
    <x v="2"/>
    <x v="9"/>
    <n v="16"/>
    <x v="4"/>
    <s v="Netherlands"/>
    <n v="15779"/>
    <n v="15.779"/>
  </r>
  <r>
    <x v="2"/>
    <x v="9"/>
    <n v="19"/>
    <x v="3"/>
    <s v="Netherlands"/>
    <n v="33545"/>
    <n v="33.545000000000002"/>
  </r>
  <r>
    <x v="2"/>
    <x v="9"/>
    <n v="24"/>
    <x v="13"/>
    <s v="Netherlands"/>
    <n v="35107"/>
    <n v="35.106999999999999"/>
  </r>
  <r>
    <x v="2"/>
    <x v="9"/>
    <n v="26"/>
    <x v="11"/>
    <s v="Netherlands"/>
    <n v="68802"/>
    <n v="68.802000000000007"/>
  </r>
  <r>
    <x v="2"/>
    <x v="9"/>
    <n v="26"/>
    <x v="11"/>
    <s v="Netherlands"/>
    <n v="17199"/>
    <n v="17.199000000000002"/>
  </r>
  <r>
    <x v="2"/>
    <x v="9"/>
    <n v="26"/>
    <x v="13"/>
    <s v="Netherlands"/>
    <n v="35107"/>
    <n v="35.106999999999999"/>
  </r>
  <r>
    <x v="2"/>
    <x v="9"/>
    <n v="27"/>
    <x v="7"/>
    <s v="Belgium"/>
    <n v="1462"/>
    <n v="1.462"/>
  </r>
  <r>
    <x v="2"/>
    <x v="9"/>
    <n v="28"/>
    <x v="4"/>
    <s v="Netherlands"/>
    <n v="16722"/>
    <n v="16.722000000000001"/>
  </r>
  <r>
    <x v="2"/>
    <x v="9"/>
    <n v="31"/>
    <x v="4"/>
    <s v="Netherlands"/>
    <n v="16593"/>
    <n v="16.593"/>
  </r>
  <r>
    <x v="2"/>
    <x v="9"/>
    <n v="31"/>
    <x v="11"/>
    <s v="Netherlands"/>
    <n v="25717"/>
    <n v="25.716999999999999"/>
  </r>
  <r>
    <x v="2"/>
    <x v="10"/>
    <n v="2"/>
    <x v="11"/>
    <s v="Netherlands"/>
    <n v="8600"/>
    <n v="8.6"/>
  </r>
  <r>
    <x v="2"/>
    <x v="10"/>
    <n v="3"/>
    <x v="4"/>
    <s v="Netherlands"/>
    <n v="16100"/>
    <n v="16.100000000000001"/>
  </r>
  <r>
    <x v="2"/>
    <x v="10"/>
    <n v="4"/>
    <x v="20"/>
    <s v="Belgium"/>
    <n v="2300"/>
    <n v="2.2999999999999998"/>
  </r>
  <r>
    <x v="2"/>
    <x v="10"/>
    <n v="5"/>
    <x v="15"/>
    <s v="Netherlands"/>
    <n v="100500"/>
    <n v="100.5"/>
  </r>
  <r>
    <x v="2"/>
    <x v="10"/>
    <n v="8"/>
    <x v="4"/>
    <s v="Netherlands"/>
    <n v="15100"/>
    <n v="15.1"/>
  </r>
  <r>
    <x v="2"/>
    <x v="10"/>
    <n v="13"/>
    <x v="4"/>
    <s v="Netherlands"/>
    <n v="15600"/>
    <n v="15.6"/>
  </r>
  <r>
    <x v="2"/>
    <x v="10"/>
    <n v="14"/>
    <x v="22"/>
    <s v="Netherlands"/>
    <n v="140000"/>
    <n v="140"/>
  </r>
  <r>
    <x v="2"/>
    <x v="10"/>
    <n v="15"/>
    <x v="14"/>
    <s v="Netherlands"/>
    <n v="30300"/>
    <n v="30.3"/>
  </r>
  <r>
    <x v="2"/>
    <x v="10"/>
    <n v="17"/>
    <x v="4"/>
    <s v="Netherlands"/>
    <n v="15600"/>
    <n v="15.6"/>
  </r>
  <r>
    <x v="2"/>
    <x v="10"/>
    <n v="20"/>
    <x v="4"/>
    <s v="Netherlands"/>
    <n v="11100"/>
    <n v="11.1"/>
  </r>
  <r>
    <x v="2"/>
    <x v="10"/>
    <n v="21"/>
    <x v="4"/>
    <s v="Netherlands"/>
    <n v="15800"/>
    <n v="15.8"/>
  </r>
  <r>
    <x v="2"/>
    <x v="10"/>
    <n v="23"/>
    <x v="13"/>
    <s v="Netherlands"/>
    <n v="100000"/>
    <n v="100"/>
  </r>
  <r>
    <x v="2"/>
    <x v="10"/>
    <n v="26"/>
    <x v="22"/>
    <s v="Netherlands"/>
    <n v="152900"/>
    <n v="152.9"/>
  </r>
  <r>
    <x v="2"/>
    <x v="10"/>
    <n v="27"/>
    <x v="13"/>
    <s v="Netherlands"/>
    <n v="70000"/>
    <n v="70"/>
  </r>
  <r>
    <x v="2"/>
    <x v="10"/>
    <n v="28"/>
    <x v="37"/>
    <s v="Netherlands"/>
    <n v="54400"/>
    <n v="54.4"/>
  </r>
  <r>
    <x v="2"/>
    <x v="10"/>
    <n v="29"/>
    <x v="13"/>
    <s v="Netherlands"/>
    <n v="70200"/>
    <n v="70.2"/>
  </r>
  <r>
    <x v="2"/>
    <x v="10"/>
    <n v="29"/>
    <x v="17"/>
    <s v="Netherlands"/>
    <n v="55000"/>
    <n v="55"/>
  </r>
  <r>
    <x v="2"/>
    <x v="10"/>
    <n v="30"/>
    <x v="14"/>
    <s v="Netherlands"/>
    <n v="29000"/>
    <n v="29"/>
  </r>
  <r>
    <x v="2"/>
    <x v="11"/>
    <n v="1"/>
    <x v="4"/>
    <s v="Netherlands"/>
    <n v="15193"/>
    <n v="15.193"/>
  </r>
  <r>
    <x v="2"/>
    <x v="11"/>
    <n v="5"/>
    <x v="4"/>
    <s v="Netherlands"/>
    <n v="15029"/>
    <n v="15.029"/>
  </r>
  <r>
    <x v="2"/>
    <x v="11"/>
    <n v="9"/>
    <x v="4"/>
    <s v="Netherlands"/>
    <n v="16343"/>
    <n v="16.343"/>
  </r>
  <r>
    <x v="2"/>
    <x v="11"/>
    <n v="10"/>
    <x v="1"/>
    <s v="Netherlands"/>
    <n v="1685"/>
    <n v="1.6850000000000001"/>
  </r>
  <r>
    <x v="2"/>
    <x v="11"/>
    <n v="11"/>
    <x v="1"/>
    <s v="Netherlands"/>
    <n v="4495"/>
    <n v="4.4950000000000001"/>
  </r>
  <r>
    <x v="2"/>
    <x v="11"/>
    <n v="14"/>
    <x v="4"/>
    <s v="Netherlands"/>
    <n v="15817"/>
    <n v="15.817"/>
  </r>
  <r>
    <x v="2"/>
    <x v="11"/>
    <n v="16"/>
    <x v="4"/>
    <s v="Netherlands"/>
    <n v="16722"/>
    <n v="16.722000000000001"/>
  </r>
  <r>
    <x v="2"/>
    <x v="11"/>
    <n v="20"/>
    <x v="4"/>
    <s v="Netherlands"/>
    <n v="16343"/>
    <n v="16.343"/>
  </r>
  <r>
    <x v="2"/>
    <x v="11"/>
    <n v="22"/>
    <x v="17"/>
    <s v="Netherlands"/>
    <n v="71081"/>
    <n v="71.081000000000003"/>
  </r>
  <r>
    <x v="2"/>
    <x v="11"/>
    <n v="24"/>
    <x v="4"/>
    <s v="Netherlands"/>
    <n v="16443"/>
    <n v="16.443000000000001"/>
  </r>
  <r>
    <x v="2"/>
    <x v="11"/>
    <n v="26"/>
    <x v="20"/>
    <s v="Netherlands"/>
    <n v="27899"/>
    <n v="27.899000000000001"/>
  </r>
  <r>
    <x v="2"/>
    <x v="11"/>
    <n v="26"/>
    <x v="4"/>
    <s v="Netherlands"/>
    <n v="16722"/>
    <n v="16.722000000000001"/>
  </r>
  <r>
    <x v="3"/>
    <x v="0"/>
    <n v="3"/>
    <x v="4"/>
    <s v="Netherlands"/>
    <n v="15800"/>
    <n v="15.8"/>
  </r>
  <r>
    <x v="3"/>
    <x v="0"/>
    <n v="6"/>
    <x v="14"/>
    <s v="Netherlands"/>
    <n v="39900"/>
    <n v="39.9"/>
  </r>
  <r>
    <x v="3"/>
    <x v="0"/>
    <n v="6"/>
    <x v="4"/>
    <s v="Belgium"/>
    <n v="16700"/>
    <n v="16.7"/>
  </r>
  <r>
    <x v="3"/>
    <x v="0"/>
    <n v="7"/>
    <x v="4"/>
    <s v="Netherlands"/>
    <n v="16700"/>
    <n v="16.7"/>
  </r>
  <r>
    <x v="3"/>
    <x v="0"/>
    <n v="9"/>
    <x v="15"/>
    <s v="Netherlands"/>
    <n v="40100"/>
    <n v="40.1"/>
  </r>
  <r>
    <x v="3"/>
    <x v="0"/>
    <n v="11"/>
    <x v="4"/>
    <s v="Netherlands"/>
    <n v="15600"/>
    <n v="15.6"/>
  </r>
  <r>
    <x v="3"/>
    <x v="0"/>
    <n v="12"/>
    <x v="6"/>
    <s v="Belgium"/>
    <n v="100000"/>
    <n v="100"/>
  </r>
  <r>
    <x v="3"/>
    <x v="0"/>
    <n v="15"/>
    <x v="15"/>
    <s v="Netherlands"/>
    <n v="109800"/>
    <n v="109.8"/>
  </r>
  <r>
    <x v="3"/>
    <x v="0"/>
    <n v="15"/>
    <x v="6"/>
    <s v="Netherlands"/>
    <n v="120000"/>
    <n v="120"/>
  </r>
  <r>
    <x v="3"/>
    <x v="0"/>
    <n v="16"/>
    <x v="4"/>
    <s v="Netherlands"/>
    <n v="6000"/>
    <n v="6"/>
  </r>
  <r>
    <x v="3"/>
    <x v="0"/>
    <n v="16"/>
    <x v="17"/>
    <s v="Netherlands"/>
    <n v="60000"/>
    <n v="60"/>
  </r>
  <r>
    <x v="3"/>
    <x v="0"/>
    <n v="19"/>
    <x v="4"/>
    <s v="Netherlands"/>
    <n v="15700"/>
    <n v="15.7"/>
  </r>
  <r>
    <x v="3"/>
    <x v="0"/>
    <n v="20"/>
    <x v="14"/>
    <s v="Netherlands"/>
    <n v="38700"/>
    <n v="38.700000000000003"/>
  </r>
  <r>
    <x v="3"/>
    <x v="0"/>
    <n v="21"/>
    <x v="4"/>
    <s v="Netherlands"/>
    <n v="17000"/>
    <n v="17"/>
  </r>
  <r>
    <x v="3"/>
    <x v="0"/>
    <n v="22"/>
    <x v="6"/>
    <s v="Netherlands"/>
    <n v="116500"/>
    <n v="116.5"/>
  </r>
  <r>
    <x v="3"/>
    <x v="0"/>
    <n v="24"/>
    <x v="38"/>
    <s v="Netherlands"/>
    <n v="80000"/>
    <n v="80"/>
  </r>
  <r>
    <x v="3"/>
    <x v="0"/>
    <n v="24"/>
    <x v="4"/>
    <s v="Netherlands"/>
    <n v="15800"/>
    <n v="15.8"/>
  </r>
  <r>
    <x v="3"/>
    <x v="0"/>
    <n v="27"/>
    <x v="15"/>
    <s v="Netherlands"/>
    <n v="80000"/>
    <n v="80"/>
  </r>
  <r>
    <x v="3"/>
    <x v="0"/>
    <n v="28"/>
    <x v="6"/>
    <s v="Netherlands"/>
    <n v="140000"/>
    <n v="140"/>
  </r>
  <r>
    <x v="3"/>
    <x v="0"/>
    <n v="29"/>
    <x v="4"/>
    <s v="Netherlands"/>
    <n v="16700"/>
    <n v="16.7"/>
  </r>
  <r>
    <x v="3"/>
    <x v="1"/>
    <n v="2"/>
    <x v="14"/>
    <s v="Netherlands"/>
    <n v="70000"/>
    <n v="70"/>
  </r>
  <r>
    <x v="3"/>
    <x v="1"/>
    <n v="4"/>
    <x v="4"/>
    <s v="Netherlands"/>
    <n v="16600"/>
    <n v="16.600000000000001"/>
  </r>
  <r>
    <x v="3"/>
    <x v="1"/>
    <n v="4"/>
    <x v="4"/>
    <s v="Netherlands"/>
    <n v="6000"/>
    <n v="6"/>
  </r>
  <r>
    <x v="3"/>
    <x v="1"/>
    <n v="5"/>
    <x v="1"/>
    <s v="Netherlands"/>
    <n v="14800"/>
    <n v="14.8"/>
  </r>
  <r>
    <x v="3"/>
    <x v="1"/>
    <n v="8"/>
    <x v="15"/>
    <s v="Netherlands"/>
    <n v="110000"/>
    <n v="110"/>
  </r>
  <r>
    <x v="3"/>
    <x v="1"/>
    <n v="10"/>
    <x v="4"/>
    <s v="Netherlands"/>
    <n v="15300"/>
    <n v="15.3"/>
  </r>
  <r>
    <x v="3"/>
    <x v="1"/>
    <n v="10"/>
    <x v="15"/>
    <s v="Netherlands"/>
    <n v="110000"/>
    <n v="110"/>
  </r>
  <r>
    <x v="3"/>
    <x v="1"/>
    <n v="12"/>
    <x v="4"/>
    <s v="Netherlands"/>
    <n v="16700"/>
    <n v="16.7"/>
  </r>
  <r>
    <x v="3"/>
    <x v="1"/>
    <n v="13"/>
    <x v="4"/>
    <s v="Netherlands"/>
    <n v="16700"/>
    <n v="16.7"/>
  </r>
  <r>
    <x v="3"/>
    <x v="1"/>
    <n v="13"/>
    <x v="20"/>
    <s v="Netherlands"/>
    <n v="14200"/>
    <n v="14.2"/>
  </r>
  <r>
    <x v="3"/>
    <x v="1"/>
    <n v="17"/>
    <x v="4"/>
    <s v="Netherlands"/>
    <n v="16100"/>
    <n v="16.100000000000001"/>
  </r>
  <r>
    <x v="3"/>
    <x v="1"/>
    <n v="18"/>
    <x v="4"/>
    <s v="Netherlands"/>
    <n v="16700"/>
    <n v="16.7"/>
  </r>
  <r>
    <x v="3"/>
    <x v="1"/>
    <n v="20"/>
    <x v="6"/>
    <s v="Netherlands"/>
    <n v="130000"/>
    <n v="130"/>
  </r>
  <r>
    <x v="3"/>
    <x v="1"/>
    <n v="22"/>
    <x v="14"/>
    <s v="Netherlands"/>
    <n v="92000"/>
    <n v="92"/>
  </r>
  <r>
    <x v="3"/>
    <x v="1"/>
    <n v="25"/>
    <x v="17"/>
    <s v="Netherlands"/>
    <n v="70000"/>
    <n v="70"/>
  </r>
  <r>
    <x v="3"/>
    <x v="1"/>
    <n v="26"/>
    <x v="4"/>
    <s v="Netherlands"/>
    <n v="16700"/>
    <n v="16.7"/>
  </r>
  <r>
    <x v="3"/>
    <x v="1"/>
    <n v="28"/>
    <x v="6"/>
    <s v="Netherlands"/>
    <n v="50000"/>
    <n v="50"/>
  </r>
  <r>
    <x v="3"/>
    <x v="1"/>
    <n v="28"/>
    <x v="4"/>
    <s v="Netherlands"/>
    <n v="11400"/>
    <n v="11.4"/>
  </r>
  <r>
    <x v="3"/>
    <x v="2"/>
    <n v="5"/>
    <x v="4"/>
    <s v="Netherlands"/>
    <n v="17000"/>
    <n v="17"/>
  </r>
  <r>
    <x v="3"/>
    <x v="2"/>
    <n v="6"/>
    <x v="12"/>
    <s v="Netherlands"/>
    <n v="70000"/>
    <n v="70"/>
  </r>
  <r>
    <x v="3"/>
    <x v="2"/>
    <n v="9"/>
    <x v="37"/>
    <s v="Netherlands"/>
    <n v="45000"/>
    <n v="45"/>
  </r>
  <r>
    <x v="3"/>
    <x v="2"/>
    <n v="9"/>
    <x v="4"/>
    <s v="Netherlands"/>
    <n v="17000"/>
    <n v="17"/>
  </r>
  <r>
    <x v="3"/>
    <x v="2"/>
    <n v="13"/>
    <x v="4"/>
    <s v="Netherlands"/>
    <n v="17000"/>
    <n v="17"/>
  </r>
  <r>
    <x v="3"/>
    <x v="2"/>
    <n v="16"/>
    <x v="12"/>
    <s v="Netherlands"/>
    <n v="70000"/>
    <n v="70"/>
  </r>
  <r>
    <x v="3"/>
    <x v="2"/>
    <n v="17"/>
    <x v="13"/>
    <s v="Netherlands"/>
    <n v="70000"/>
    <n v="70"/>
  </r>
  <r>
    <x v="3"/>
    <x v="2"/>
    <n v="18"/>
    <x v="4"/>
    <s v="Netherlands"/>
    <n v="17000"/>
    <n v="17"/>
  </r>
  <r>
    <x v="3"/>
    <x v="2"/>
    <n v="19"/>
    <x v="14"/>
    <s v="Netherlands"/>
    <n v="100000"/>
    <n v="100"/>
  </r>
  <r>
    <x v="3"/>
    <x v="2"/>
    <n v="20"/>
    <x v="12"/>
    <s v="Netherlands"/>
    <n v="70000"/>
    <n v="70"/>
  </r>
  <r>
    <x v="3"/>
    <x v="2"/>
    <n v="22"/>
    <x v="39"/>
    <s v="Netherlands"/>
    <n v="50000"/>
    <n v="50"/>
  </r>
  <r>
    <x v="3"/>
    <x v="2"/>
    <n v="23"/>
    <x v="4"/>
    <s v="Netherlands"/>
    <n v="17000"/>
    <n v="17"/>
  </r>
  <r>
    <x v="3"/>
    <x v="2"/>
    <n v="28"/>
    <x v="4"/>
    <s v="Netherlands"/>
    <n v="17000"/>
    <n v="17"/>
  </r>
  <r>
    <x v="3"/>
    <x v="3"/>
    <n v="1"/>
    <x v="17"/>
    <s v="Netherlands"/>
    <n v="21500"/>
    <n v="21.5"/>
  </r>
  <r>
    <x v="3"/>
    <x v="3"/>
    <n v="3"/>
    <x v="12"/>
    <s v="Netherlands"/>
    <n v="151000"/>
    <n v="151"/>
  </r>
  <r>
    <x v="3"/>
    <x v="3"/>
    <n v="5"/>
    <x v="13"/>
    <s v="Netherlands"/>
    <n v="70000"/>
    <n v="70"/>
  </r>
  <r>
    <x v="3"/>
    <x v="3"/>
    <n v="6"/>
    <x v="4"/>
    <s v="Netherlands"/>
    <n v="17000"/>
    <n v="17"/>
  </r>
  <r>
    <x v="3"/>
    <x v="3"/>
    <n v="9"/>
    <x v="40"/>
    <s v="Netherlands"/>
    <n v="34000"/>
    <n v="34"/>
  </r>
  <r>
    <x v="3"/>
    <x v="3"/>
    <n v="10"/>
    <x v="4"/>
    <s v="Netherlands"/>
    <n v="17000"/>
    <n v="17"/>
  </r>
  <r>
    <x v="3"/>
    <x v="3"/>
    <n v="14"/>
    <x v="38"/>
    <s v="Netherlands"/>
    <n v="30000"/>
    <n v="30"/>
  </r>
  <r>
    <x v="3"/>
    <x v="3"/>
    <n v="14"/>
    <x v="14"/>
    <s v="Netherlands"/>
    <n v="60000"/>
    <n v="60"/>
  </r>
  <r>
    <x v="3"/>
    <x v="3"/>
    <n v="17"/>
    <x v="40"/>
    <s v="Netherlands"/>
    <n v="15000"/>
    <n v="15"/>
  </r>
  <r>
    <x v="3"/>
    <x v="3"/>
    <n v="18"/>
    <x v="4"/>
    <s v="Netherlands"/>
    <n v="15000"/>
    <n v="15"/>
  </r>
  <r>
    <x v="3"/>
    <x v="3"/>
    <n v="20"/>
    <x v="13"/>
    <s v="Netherlands"/>
    <n v="70000"/>
    <n v="70"/>
  </r>
  <r>
    <x v="3"/>
    <x v="3"/>
    <n v="22"/>
    <x v="40"/>
    <s v="Netherlands"/>
    <n v="20000"/>
    <n v="20"/>
  </r>
  <r>
    <x v="3"/>
    <x v="3"/>
    <n v="25"/>
    <x v="17"/>
    <s v="Netherlands"/>
    <n v="100000"/>
    <n v="100"/>
  </r>
  <r>
    <x v="3"/>
    <x v="3"/>
    <n v="28"/>
    <x v="4"/>
    <s v="Netherlands"/>
    <n v="17000"/>
    <n v="17"/>
  </r>
  <r>
    <x v="3"/>
    <x v="4"/>
    <n v="5"/>
    <x v="4"/>
    <s v="Netherlands"/>
    <n v="15000"/>
    <n v="15"/>
  </r>
  <r>
    <x v="3"/>
    <x v="4"/>
    <n v="3"/>
    <x v="11"/>
    <s v="Netherlands"/>
    <n v="40000"/>
    <n v="40"/>
  </r>
  <r>
    <x v="3"/>
    <x v="4"/>
    <n v="5"/>
    <x v="3"/>
    <s v="Netherlands"/>
    <n v="100000"/>
    <n v="100"/>
  </r>
  <r>
    <x v="3"/>
    <x v="4"/>
    <n v="6"/>
    <x v="4"/>
    <s v="Netherlands"/>
    <n v="15000"/>
    <n v="15"/>
  </r>
  <r>
    <x v="3"/>
    <x v="4"/>
    <n v="7"/>
    <x v="15"/>
    <s v="Netherlands"/>
    <n v="100000"/>
    <n v="100"/>
  </r>
  <r>
    <x v="3"/>
    <x v="4"/>
    <n v="13"/>
    <x v="4"/>
    <s v="Netherlands"/>
    <n v="17000"/>
    <n v="17"/>
  </r>
  <r>
    <x v="3"/>
    <x v="4"/>
    <n v="13"/>
    <x v="4"/>
    <s v="Netherlands"/>
    <n v="17000"/>
    <n v="17"/>
  </r>
  <r>
    <x v="3"/>
    <x v="4"/>
    <n v="17"/>
    <x v="38"/>
    <s v="Netherlands"/>
    <n v="100000"/>
    <n v="100"/>
  </r>
  <r>
    <x v="3"/>
    <x v="4"/>
    <n v="23"/>
    <x v="15"/>
    <s v="Netherlands"/>
    <n v="90000"/>
    <n v="90"/>
  </r>
  <r>
    <x v="3"/>
    <x v="4"/>
    <n v="25"/>
    <x v="14"/>
    <s v="Netherlands"/>
    <n v="60000"/>
    <n v="60"/>
  </r>
  <r>
    <x v="3"/>
    <x v="4"/>
    <n v="27"/>
    <x v="12"/>
    <s v="Netherlands"/>
    <n v="60000"/>
    <n v="60"/>
  </r>
  <r>
    <x v="3"/>
    <x v="4"/>
    <n v="31"/>
    <x v="13"/>
    <s v="Netherlands"/>
    <n v="70000"/>
    <n v="70"/>
  </r>
  <r>
    <x v="3"/>
    <x v="5"/>
    <n v="5"/>
    <x v="4"/>
    <s v="Netherlands"/>
    <n v="40000"/>
    <n v="40"/>
  </r>
  <r>
    <x v="3"/>
    <x v="5"/>
    <n v="9"/>
    <x v="4"/>
    <s v="Netherlands"/>
    <n v="16000"/>
    <n v="16"/>
  </r>
  <r>
    <x v="3"/>
    <x v="5"/>
    <n v="14"/>
    <x v="4"/>
    <s v="Netherlands"/>
    <n v="16000"/>
    <n v="16"/>
  </r>
  <r>
    <x v="3"/>
    <x v="5"/>
    <n v="18"/>
    <x v="13"/>
    <s v="Netherlands"/>
    <n v="70000"/>
    <n v="70"/>
  </r>
  <r>
    <x v="3"/>
    <x v="5"/>
    <n v="20"/>
    <x v="14"/>
    <s v="Netherlands"/>
    <n v="70000"/>
    <n v="70"/>
  </r>
  <r>
    <x v="3"/>
    <x v="5"/>
    <n v="28"/>
    <x v="4"/>
    <s v="Netherlands"/>
    <n v="17000"/>
    <n v="17"/>
  </r>
  <r>
    <x v="3"/>
    <x v="6"/>
    <n v="1"/>
    <x v="4"/>
    <s v="Netherlands"/>
    <n v="17000"/>
    <n v="17"/>
  </r>
  <r>
    <x v="3"/>
    <x v="6"/>
    <n v="6"/>
    <x v="13"/>
    <s v="Netherlands"/>
    <n v="60000"/>
    <n v="60"/>
  </r>
  <r>
    <x v="3"/>
    <x v="6"/>
    <n v="6"/>
    <x v="14"/>
    <s v="Netherlands"/>
    <n v="25000"/>
    <n v="25"/>
  </r>
  <r>
    <x v="3"/>
    <x v="6"/>
    <n v="6"/>
    <x v="20"/>
    <s v="Netherlands"/>
    <n v="10000"/>
    <n v="10"/>
  </r>
  <r>
    <x v="3"/>
    <x v="6"/>
    <n v="8"/>
    <x v="4"/>
    <s v="Netherlands"/>
    <n v="15000"/>
    <n v="15"/>
  </r>
  <r>
    <x v="3"/>
    <x v="6"/>
    <n v="10"/>
    <x v="6"/>
    <s v="Netherlands"/>
    <n v="100000"/>
    <n v="100"/>
  </r>
  <r>
    <x v="3"/>
    <x v="6"/>
    <n v="13"/>
    <x v="4"/>
    <s v="Netherlands"/>
    <n v="15000"/>
    <n v="15"/>
  </r>
  <r>
    <x v="3"/>
    <x v="6"/>
    <n v="17"/>
    <x v="12"/>
    <s v="Netherlands"/>
    <n v="120000"/>
    <n v="120"/>
  </r>
  <r>
    <x v="3"/>
    <x v="6"/>
    <n v="17"/>
    <x v="4"/>
    <s v="Netherlands"/>
    <n v="16000"/>
    <n v="16"/>
  </r>
  <r>
    <x v="3"/>
    <x v="6"/>
    <n v="22"/>
    <x v="4"/>
    <s v="Netherlands"/>
    <n v="16000"/>
    <n v="16"/>
  </r>
  <r>
    <x v="3"/>
    <x v="6"/>
    <n v="28"/>
    <x v="40"/>
    <s v="Netherlands"/>
    <n v="16000"/>
    <n v="16"/>
  </r>
  <r>
    <x v="3"/>
    <x v="6"/>
    <n v="29"/>
    <x v="3"/>
    <s v="Netherlands"/>
    <n v="100000"/>
    <n v="100"/>
  </r>
  <r>
    <x v="3"/>
    <x v="7"/>
    <n v="2"/>
    <x v="4"/>
    <s v="Netherlands"/>
    <n v="17000"/>
    <n v="17"/>
  </r>
  <r>
    <x v="3"/>
    <x v="7"/>
    <n v="5"/>
    <x v="15"/>
    <s v="Netherlands"/>
    <n v="40000"/>
    <n v="40"/>
  </r>
  <r>
    <x v="3"/>
    <x v="7"/>
    <n v="5"/>
    <x v="4"/>
    <s v="Netherlands"/>
    <n v="17000"/>
    <n v="17"/>
  </r>
  <r>
    <x v="3"/>
    <x v="7"/>
    <n v="8"/>
    <x v="40"/>
    <s v="Netherlands"/>
    <n v="17000"/>
    <n v="17"/>
  </r>
  <r>
    <x v="3"/>
    <x v="7"/>
    <n v="9"/>
    <x v="4"/>
    <s v="Netherlands"/>
    <n v="17000"/>
    <n v="17"/>
  </r>
  <r>
    <x v="3"/>
    <x v="7"/>
    <n v="12"/>
    <x v="14"/>
    <s v="Netherlands"/>
    <n v="100000"/>
    <n v="100"/>
  </r>
  <r>
    <x v="3"/>
    <x v="7"/>
    <n v="16"/>
    <x v="13"/>
    <s v="Netherlands"/>
    <n v="50000"/>
    <n v="50"/>
  </r>
  <r>
    <x v="3"/>
    <x v="7"/>
    <n v="19"/>
    <x v="4"/>
    <s v="Netherlands"/>
    <n v="17000"/>
    <n v="17"/>
  </r>
  <r>
    <x v="3"/>
    <x v="7"/>
    <n v="22"/>
    <x v="15"/>
    <s v="Netherlands"/>
    <n v="20000"/>
    <n v="20"/>
  </r>
  <r>
    <x v="3"/>
    <x v="7"/>
    <n v="26"/>
    <x v="4"/>
    <s v="Netherlands"/>
    <n v="18000"/>
    <n v="18"/>
  </r>
  <r>
    <x v="3"/>
    <x v="8"/>
    <n v="3"/>
    <x v="4"/>
    <s v="Netherlands"/>
    <n v="15000"/>
    <n v="15"/>
  </r>
  <r>
    <x v="3"/>
    <x v="8"/>
    <n v="4"/>
    <x v="13"/>
    <s v="Netherlands"/>
    <n v="70000"/>
    <n v="70"/>
  </r>
  <r>
    <x v="3"/>
    <x v="8"/>
    <n v="5"/>
    <x v="6"/>
    <s v="Netherlands"/>
    <n v="100000"/>
    <n v="100"/>
  </r>
  <r>
    <x v="3"/>
    <x v="8"/>
    <n v="5"/>
    <x v="41"/>
    <s v="Netherlands"/>
    <n v="12000"/>
    <n v="12"/>
  </r>
  <r>
    <x v="3"/>
    <x v="8"/>
    <n v="5"/>
    <x v="17"/>
    <s v="Netherlands"/>
    <n v="60000"/>
    <n v="60"/>
  </r>
  <r>
    <x v="3"/>
    <x v="8"/>
    <n v="9"/>
    <x v="4"/>
    <s v="Netherlands"/>
    <n v="15000"/>
    <n v="15"/>
  </r>
  <r>
    <x v="3"/>
    <x v="8"/>
    <n v="13"/>
    <x v="14"/>
    <s v="Netherlands"/>
    <n v="60000"/>
    <n v="60"/>
  </r>
  <r>
    <x v="3"/>
    <x v="8"/>
    <n v="13"/>
    <x v="1"/>
    <s v="Netherlands"/>
    <n v="16000"/>
    <n v="16"/>
  </r>
  <r>
    <x v="3"/>
    <x v="8"/>
    <n v="18"/>
    <x v="6"/>
    <s v="Netherlands"/>
    <n v="100000"/>
    <n v="100"/>
  </r>
  <r>
    <x v="3"/>
    <x v="8"/>
    <n v="18"/>
    <x v="38"/>
    <s v="Netherlands"/>
    <n v="60000"/>
    <n v="60"/>
  </r>
  <r>
    <x v="3"/>
    <x v="8"/>
    <n v="26"/>
    <x v="4"/>
    <s v="Netherlands"/>
    <n v="15000"/>
    <n v="15"/>
  </r>
  <r>
    <x v="3"/>
    <x v="8"/>
    <n v="27"/>
    <x v="15"/>
    <s v="Netherlands"/>
    <n v="110000"/>
    <n v="110"/>
  </r>
  <r>
    <x v="3"/>
    <x v="9"/>
    <n v="1"/>
    <x v="4"/>
    <s v="Netherlands"/>
    <n v="15000"/>
    <n v="15"/>
  </r>
  <r>
    <x v="3"/>
    <x v="9"/>
    <n v="4"/>
    <x v="15"/>
    <s v="Netherlands"/>
    <n v="100000"/>
    <n v="100"/>
  </r>
  <r>
    <x v="3"/>
    <x v="9"/>
    <n v="7"/>
    <x v="4"/>
    <s v="Netherlands"/>
    <n v="15000"/>
    <n v="15"/>
  </r>
  <r>
    <x v="3"/>
    <x v="9"/>
    <n v="17"/>
    <x v="3"/>
    <s v="Netherlands"/>
    <n v="50000"/>
    <n v="50"/>
  </r>
  <r>
    <x v="3"/>
    <x v="9"/>
    <n v="18"/>
    <x v="4"/>
    <s v="Netherlands"/>
    <n v="15000"/>
    <n v="15"/>
  </r>
  <r>
    <x v="3"/>
    <x v="9"/>
    <n v="20"/>
    <x v="14"/>
    <s v="Netherlands"/>
    <n v="100000"/>
    <n v="100"/>
  </r>
  <r>
    <x v="3"/>
    <x v="9"/>
    <n v="20"/>
    <x v="13"/>
    <s v="Netherlands"/>
    <n v="55000"/>
    <n v="55"/>
  </r>
  <r>
    <x v="3"/>
    <x v="9"/>
    <n v="21"/>
    <x v="4"/>
    <s v="Netherlands"/>
    <n v="15000"/>
    <n v="15"/>
  </r>
  <r>
    <x v="4"/>
    <x v="12"/>
    <m/>
    <x v="2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656:AF663" firstHeaderRow="1" firstDataRow="2" firstDataCol="1"/>
  <pivotFields count="7">
    <pivotField axis="axisRow" showAll="0">
      <items count="6">
        <item h="1" sd="0" x="0"/>
        <item h="1" sd="0" x="1"/>
        <item h="1" sd="0" x="2"/>
        <item x="3"/>
        <item h="1" sd="0" x="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46">
        <item h="1" x="30"/>
        <item x="37"/>
        <item h="1" x="21"/>
        <item x="39"/>
        <item h="1" x="10"/>
        <item x="3"/>
        <item h="1" x="35"/>
        <item h="1" x="29"/>
        <item x="17"/>
        <item x="38"/>
        <item h="1" x="25"/>
        <item h="1" x="2"/>
        <item h="1" x="27"/>
        <item h="1" x="31"/>
        <item x="1"/>
        <item x="6"/>
        <item x="22"/>
        <item x="16"/>
        <item x="9"/>
        <item h="1" x="19"/>
        <item h="1" x="5"/>
        <item x="14"/>
        <item h="1" x="24"/>
        <item x="34"/>
        <item x="12"/>
        <item h="1" x="23"/>
        <item x="4"/>
        <item h="1" x="8"/>
        <item h="1" x="26"/>
        <item x="0"/>
        <item x="15"/>
        <item h="1" x="36"/>
        <item h="1" x="32"/>
        <item x="20"/>
        <item x="7"/>
        <item x="11"/>
        <item h="1" x="18"/>
        <item x="13"/>
        <item h="1" x="33"/>
        <item h="1" x="28"/>
        <item h="1" x="42"/>
        <item h="1" x="40"/>
        <item x="41"/>
        <item x="43"/>
        <item h="1" x="44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6"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3"/>
  </colFields>
  <colItems count="18">
    <i>
      <x v="1"/>
    </i>
    <i>
      <x v="3"/>
    </i>
    <i>
      <x v="5"/>
    </i>
    <i>
      <x v="8"/>
    </i>
    <i>
      <x v="9"/>
    </i>
    <i>
      <x v="14"/>
    </i>
    <i>
      <x v="15"/>
    </i>
    <i>
      <x v="17"/>
    </i>
    <i>
      <x v="21"/>
    </i>
    <i>
      <x v="24"/>
    </i>
    <i>
      <x v="26"/>
    </i>
    <i>
      <x v="30"/>
    </i>
    <i>
      <x v="33"/>
    </i>
    <i>
      <x v="35"/>
    </i>
    <i>
      <x v="37"/>
    </i>
    <i>
      <x v="42"/>
    </i>
    <i>
      <x v="43"/>
    </i>
    <i t="grand">
      <x/>
    </i>
  </colItems>
  <dataFields count="1">
    <dataField name="Sum of QTY_KT" fld="6" baseField="1" baseItem="6" numFmtId="1"/>
  </dataFields>
  <formats count="3">
    <format dxfId="22">
      <pivotArea dataOnly="0" fieldPosition="0">
        <references count="1">
          <reference field="1" count="1">
            <x v="1"/>
          </reference>
        </references>
      </pivotArea>
    </format>
    <format dxfId="21">
      <pivotArea dataOnly="0" fieldPosition="0">
        <references count="1">
          <reference field="1" count="1">
            <x v="2"/>
          </reference>
        </references>
      </pivotArea>
    </format>
    <format dxfId="20">
      <pivotArea dataOnly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N656:AK708" firstHeaderRow="1" firstDataRow="2" firstDataCol="1"/>
  <pivotFields count="7">
    <pivotField axis="axisRow" showAll="0">
      <items count="6">
        <item x="0"/>
        <item x="1"/>
        <item x="2"/>
        <item x="3"/>
        <item h="1" sd="0" x="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53">
        <item h="1" x="30"/>
        <item x="37"/>
        <item h="1" x="21"/>
        <item x="38"/>
        <item h="1" x="10"/>
        <item x="3"/>
        <item h="1" x="35"/>
        <item h="1" x="29"/>
        <item x="17"/>
        <item m="1" x="50"/>
        <item h="1" x="25"/>
        <item h="1" x="2"/>
        <item h="1" x="27"/>
        <item h="1" x="31"/>
        <item x="1"/>
        <item x="6"/>
        <item x="22"/>
        <item h="1" x="16"/>
        <item x="9"/>
        <item h="1" x="19"/>
        <item h="1" x="5"/>
        <item x="14"/>
        <item h="1" x="24"/>
        <item x="34"/>
        <item x="12"/>
        <item h="1" x="23"/>
        <item x="4"/>
        <item x="8"/>
        <item h="1" x="26"/>
        <item x="0"/>
        <item x="15"/>
        <item h="1" x="36"/>
        <item h="1" x="32"/>
        <item x="20"/>
        <item x="7"/>
        <item x="11"/>
        <item x="18"/>
        <item x="13"/>
        <item h="1" x="33"/>
        <item h="1" x="28"/>
        <item h="1" m="1" x="51"/>
        <item h="1" x="39"/>
        <item x="40"/>
        <item h="1" m="1" x="49"/>
        <item m="1" x="48"/>
        <item h="1" m="1" x="42"/>
        <item h="1" m="1" x="43"/>
        <item h="1" m="1" x="44"/>
        <item h="1" m="1" x="45"/>
        <item h="1" m="1" x="46"/>
        <item h="1" m="1" x="47"/>
        <item x="41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5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3"/>
  </colFields>
  <colItems count="23">
    <i>
      <x v="1"/>
    </i>
    <i>
      <x v="3"/>
    </i>
    <i>
      <x v="5"/>
    </i>
    <i>
      <x v="8"/>
    </i>
    <i>
      <x v="14"/>
    </i>
    <i>
      <x v="15"/>
    </i>
    <i>
      <x v="16"/>
    </i>
    <i>
      <x v="18"/>
    </i>
    <i>
      <x v="21"/>
    </i>
    <i>
      <x v="23"/>
    </i>
    <i>
      <x v="24"/>
    </i>
    <i>
      <x v="26"/>
    </i>
    <i>
      <x v="27"/>
    </i>
    <i>
      <x v="29"/>
    </i>
    <i>
      <x v="30"/>
    </i>
    <i>
      <x v="33"/>
    </i>
    <i>
      <x v="34"/>
    </i>
    <i>
      <x v="35"/>
    </i>
    <i>
      <x v="36"/>
    </i>
    <i>
      <x v="37"/>
    </i>
    <i>
      <x v="42"/>
    </i>
    <i>
      <x v="51"/>
    </i>
    <i t="grand">
      <x/>
    </i>
  </colItems>
  <dataFields count="1">
    <dataField name="Sum of QTY_KT" fld="6" baseField="1" baseItem="6" numFmtId="1"/>
  </dataFields>
  <formats count="10">
    <format dxfId="19">
      <pivotArea dataOnly="0" fieldPosition="0">
        <references count="1">
          <reference field="1" count="1">
            <x v="1"/>
          </reference>
        </references>
      </pivotArea>
    </format>
    <format dxfId="18">
      <pivotArea dataOnly="0" fieldPosition="0">
        <references count="1">
          <reference field="1" count="1">
            <x v="2"/>
          </reference>
        </references>
      </pivotArea>
    </format>
    <format dxfId="17">
      <pivotArea dataOnly="0" fieldPosition="0">
        <references count="1">
          <reference field="1" count="1">
            <x v="1"/>
          </reference>
        </references>
      </pivotArea>
    </format>
    <format dxfId="16">
      <pivotArea dataOnly="0" fieldPosition="0">
        <references count="1">
          <reference field="1" count="1">
            <x v="2"/>
          </reference>
        </references>
      </pivotArea>
    </format>
    <format dxfId="15">
      <pivotArea dataOnly="0" fieldPosition="0">
        <references count="1">
          <reference field="1" count="1">
            <x v="3"/>
          </reference>
        </references>
      </pivotArea>
    </format>
    <format dxfId="14">
      <pivotArea dataOnly="0" fieldPosition="0">
        <references count="1">
          <reference field="1" count="1">
            <x v="4"/>
          </reference>
        </references>
      </pivotArea>
    </format>
    <format dxfId="13">
      <pivotArea dataOnly="0" fieldPosition="0">
        <references count="1">
          <reference field="1" count="1">
            <x v="5"/>
          </reference>
        </references>
      </pivotArea>
    </format>
    <format dxfId="12">
      <pivotArea dataOnly="0" fieldPosition="0">
        <references count="1">
          <reference field="1" count="2">
            <x v="6"/>
            <x v="7"/>
          </reference>
        </references>
      </pivotArea>
    </format>
    <format dxfId="11">
      <pivotArea dataOnly="0" fieldPosition="0">
        <references count="1">
          <reference field="1" count="1">
            <x v="8"/>
          </reference>
        </references>
      </pivotArea>
    </format>
    <format dxfId="10">
      <pivotArea dataOnly="0" fieldPosition="0">
        <references count="1">
          <reference field="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7"/>
  <sheetViews>
    <sheetView topLeftCell="A282" workbookViewId="0">
      <selection activeCell="D310" sqref="D310"/>
    </sheetView>
  </sheetViews>
  <sheetFormatPr defaultRowHeight="15" x14ac:dyDescent="0.25"/>
  <cols>
    <col min="1" max="2" width="29.28515625" style="1" customWidth="1"/>
    <col min="3" max="3" width="13.28515625" style="1" customWidth="1"/>
    <col min="4" max="4" width="16.140625" bestFit="1" customWidth="1"/>
    <col min="5" max="5" width="21.85546875" bestFit="1" customWidth="1"/>
    <col min="6" max="6" width="27.28515625" hidden="1" customWidth="1"/>
    <col min="7" max="7" width="28.140625" customWidth="1"/>
  </cols>
  <sheetData>
    <row r="1" spans="1:7" ht="14.25" customHeight="1" x14ac:dyDescent="0.25">
      <c r="A1" s="1" t="s">
        <v>62</v>
      </c>
      <c r="B1" s="1" t="s">
        <v>60</v>
      </c>
      <c r="C1" s="1" t="s">
        <v>61</v>
      </c>
      <c r="D1" t="s">
        <v>56</v>
      </c>
      <c r="E1" t="s">
        <v>57</v>
      </c>
      <c r="F1" t="s">
        <v>0</v>
      </c>
      <c r="G1" t="s">
        <v>1</v>
      </c>
    </row>
    <row r="2" spans="1:7" x14ac:dyDescent="0.25">
      <c r="A2" s="1">
        <v>2024</v>
      </c>
      <c r="B2" s="1">
        <v>1</v>
      </c>
      <c r="C2" s="1">
        <v>1</v>
      </c>
      <c r="D2">
        <v>2.762</v>
      </c>
      <c r="E2">
        <f>D2</f>
        <v>2.762</v>
      </c>
      <c r="F2" t="s">
        <v>7</v>
      </c>
      <c r="G2" t="s">
        <v>8</v>
      </c>
    </row>
    <row r="3" spans="1:7" x14ac:dyDescent="0.25">
      <c r="A3" s="1">
        <v>2024</v>
      </c>
      <c r="B3" s="1">
        <v>1</v>
      </c>
      <c r="C3" s="1">
        <v>3</v>
      </c>
      <c r="D3">
        <v>1.7689999999999999</v>
      </c>
      <c r="E3">
        <f>E2+D3</f>
        <v>4.5309999999999997</v>
      </c>
      <c r="F3" t="s">
        <v>7</v>
      </c>
      <c r="G3" t="s">
        <v>8</v>
      </c>
    </row>
    <row r="4" spans="1:7" x14ac:dyDescent="0.25">
      <c r="A4" s="1">
        <v>2024</v>
      </c>
      <c r="B4" s="1">
        <v>1</v>
      </c>
      <c r="C4" s="1">
        <v>3</v>
      </c>
      <c r="D4">
        <v>16.722000000000001</v>
      </c>
      <c r="E4">
        <f t="shared" ref="E4:E26" si="0">E3+D4</f>
        <v>21.253</v>
      </c>
      <c r="F4" t="s">
        <v>11</v>
      </c>
      <c r="G4" t="s">
        <v>12</v>
      </c>
    </row>
    <row r="5" spans="1:7" x14ac:dyDescent="0.25">
      <c r="A5" s="1">
        <v>2024</v>
      </c>
      <c r="B5" s="1">
        <v>1</v>
      </c>
      <c r="C5" s="1">
        <v>8</v>
      </c>
      <c r="D5">
        <v>17.097999999999999</v>
      </c>
      <c r="E5">
        <f t="shared" si="0"/>
        <v>38.350999999999999</v>
      </c>
      <c r="F5" t="s">
        <v>11</v>
      </c>
      <c r="G5" t="s">
        <v>12</v>
      </c>
    </row>
    <row r="6" spans="1:7" x14ac:dyDescent="0.25">
      <c r="A6" s="1">
        <v>2024</v>
      </c>
      <c r="B6" s="1">
        <v>1</v>
      </c>
      <c r="C6" s="1">
        <v>9</v>
      </c>
      <c r="D6">
        <v>16.401</v>
      </c>
      <c r="E6">
        <f t="shared" si="0"/>
        <v>54.751999999999995</v>
      </c>
      <c r="F6" t="s">
        <v>11</v>
      </c>
      <c r="G6" t="s">
        <v>12</v>
      </c>
    </row>
    <row r="7" spans="1:7" x14ac:dyDescent="0.25">
      <c r="A7" s="1">
        <v>2024</v>
      </c>
      <c r="B7" s="1">
        <v>1</v>
      </c>
      <c r="C7" s="1">
        <v>12</v>
      </c>
      <c r="D7">
        <v>15.92</v>
      </c>
      <c r="E7">
        <f t="shared" si="0"/>
        <v>70.671999999999997</v>
      </c>
      <c r="F7" t="s">
        <v>11</v>
      </c>
      <c r="G7" t="s">
        <v>12</v>
      </c>
    </row>
    <row r="8" spans="1:7" x14ac:dyDescent="0.25">
      <c r="A8" s="1">
        <v>2024</v>
      </c>
      <c r="B8" s="1">
        <v>1</v>
      </c>
      <c r="C8" s="1">
        <v>14</v>
      </c>
      <c r="D8">
        <v>4.0170000000000003</v>
      </c>
      <c r="E8">
        <f t="shared" si="0"/>
        <v>74.688999999999993</v>
      </c>
      <c r="F8" t="s">
        <v>4</v>
      </c>
      <c r="G8" t="s">
        <v>5</v>
      </c>
    </row>
    <row r="9" spans="1:7" x14ac:dyDescent="0.25">
      <c r="A9" s="1">
        <v>2024</v>
      </c>
      <c r="B9" s="1">
        <v>1</v>
      </c>
      <c r="C9" s="1">
        <v>16</v>
      </c>
      <c r="D9">
        <v>10.345000000000001</v>
      </c>
      <c r="E9">
        <f t="shared" si="0"/>
        <v>85.033999999999992</v>
      </c>
      <c r="F9" t="s">
        <v>16</v>
      </c>
      <c r="G9" t="s">
        <v>12</v>
      </c>
    </row>
    <row r="10" spans="1:7" x14ac:dyDescent="0.25">
      <c r="A10" s="1">
        <v>2024</v>
      </c>
      <c r="B10" s="1">
        <v>1</v>
      </c>
      <c r="C10" s="1">
        <v>16</v>
      </c>
      <c r="D10">
        <v>1.976</v>
      </c>
      <c r="E10">
        <f t="shared" si="0"/>
        <v>87.009999999999991</v>
      </c>
      <c r="F10" t="s">
        <v>11</v>
      </c>
      <c r="G10" t="s">
        <v>12</v>
      </c>
    </row>
    <row r="11" spans="1:7" x14ac:dyDescent="0.25">
      <c r="A11" s="1">
        <v>2024</v>
      </c>
      <c r="B11" s="1">
        <v>1</v>
      </c>
      <c r="C11" s="1">
        <v>20</v>
      </c>
      <c r="D11">
        <v>60.112000000000002</v>
      </c>
      <c r="E11">
        <f t="shared" si="0"/>
        <v>147.12199999999999</v>
      </c>
      <c r="F11" t="s">
        <v>9</v>
      </c>
      <c r="G11" t="s">
        <v>10</v>
      </c>
    </row>
    <row r="12" spans="1:7" x14ac:dyDescent="0.25">
      <c r="A12" s="1">
        <v>2024</v>
      </c>
      <c r="B12" s="1">
        <v>1</v>
      </c>
      <c r="C12" s="1">
        <v>20</v>
      </c>
      <c r="D12">
        <v>2.3380000000000001</v>
      </c>
      <c r="E12">
        <f t="shared" si="0"/>
        <v>149.45999999999998</v>
      </c>
      <c r="F12" t="s">
        <v>11</v>
      </c>
      <c r="G12" t="s">
        <v>12</v>
      </c>
    </row>
    <row r="13" spans="1:7" x14ac:dyDescent="0.25">
      <c r="A13" s="1">
        <v>2024</v>
      </c>
      <c r="B13" s="1">
        <v>1</v>
      </c>
      <c r="C13" s="1">
        <v>20</v>
      </c>
      <c r="D13">
        <v>14.384</v>
      </c>
      <c r="E13">
        <f t="shared" si="0"/>
        <v>163.84399999999999</v>
      </c>
      <c r="F13" t="s">
        <v>11</v>
      </c>
      <c r="G13" t="s">
        <v>12</v>
      </c>
    </row>
    <row r="14" spans="1:7" x14ac:dyDescent="0.25">
      <c r="A14" s="1">
        <v>2024</v>
      </c>
      <c r="B14" s="1">
        <v>1</v>
      </c>
      <c r="C14" s="1">
        <v>20</v>
      </c>
      <c r="D14">
        <v>14.999000000000001</v>
      </c>
      <c r="E14">
        <f t="shared" si="0"/>
        <v>178.84299999999999</v>
      </c>
      <c r="F14" t="s">
        <v>11</v>
      </c>
      <c r="G14" t="s">
        <v>12</v>
      </c>
    </row>
    <row r="15" spans="1:7" x14ac:dyDescent="0.25">
      <c r="A15" s="1">
        <v>2024</v>
      </c>
      <c r="B15" s="1">
        <v>1</v>
      </c>
      <c r="C15" s="1">
        <v>21</v>
      </c>
      <c r="D15">
        <v>45.587000000000003</v>
      </c>
      <c r="E15">
        <f t="shared" si="0"/>
        <v>224.43</v>
      </c>
    </row>
    <row r="16" spans="1:7" x14ac:dyDescent="0.25">
      <c r="A16" s="1">
        <v>2024</v>
      </c>
      <c r="B16" s="1">
        <v>1</v>
      </c>
      <c r="C16" s="1">
        <v>28</v>
      </c>
      <c r="D16">
        <v>17.125</v>
      </c>
      <c r="E16">
        <f t="shared" si="0"/>
        <v>241.55500000000001</v>
      </c>
      <c r="F16" t="s">
        <v>13</v>
      </c>
      <c r="G16" t="s">
        <v>14</v>
      </c>
    </row>
    <row r="17" spans="1:7" x14ac:dyDescent="0.25">
      <c r="A17" s="1">
        <v>2024</v>
      </c>
      <c r="B17" s="1">
        <v>1</v>
      </c>
      <c r="C17" s="1">
        <v>28</v>
      </c>
      <c r="D17">
        <v>17.125</v>
      </c>
      <c r="E17">
        <f t="shared" si="0"/>
        <v>258.68</v>
      </c>
      <c r="F17" t="s">
        <v>13</v>
      </c>
      <c r="G17" t="s">
        <v>14</v>
      </c>
    </row>
    <row r="18" spans="1:7" x14ac:dyDescent="0.25">
      <c r="A18" s="1">
        <v>2024</v>
      </c>
      <c r="B18" s="1">
        <v>1</v>
      </c>
      <c r="C18" s="1">
        <v>29</v>
      </c>
      <c r="D18">
        <v>37.381999999999998</v>
      </c>
      <c r="E18">
        <f t="shared" si="0"/>
        <v>296.06200000000001</v>
      </c>
      <c r="F18" t="s">
        <v>15</v>
      </c>
      <c r="G18" t="s">
        <v>10</v>
      </c>
    </row>
    <row r="19" spans="1:7" x14ac:dyDescent="0.25">
      <c r="A19" s="1">
        <v>2024</v>
      </c>
      <c r="B19" s="1">
        <v>1</v>
      </c>
      <c r="C19" s="1">
        <v>29</v>
      </c>
      <c r="D19">
        <v>96.724000000000004</v>
      </c>
      <c r="E19">
        <f t="shared" si="0"/>
        <v>392.786</v>
      </c>
      <c r="F19" t="s">
        <v>4</v>
      </c>
      <c r="G19" t="s">
        <v>5</v>
      </c>
    </row>
    <row r="20" spans="1:7" x14ac:dyDescent="0.25">
      <c r="A20" s="1">
        <v>2024</v>
      </c>
      <c r="B20" s="1">
        <v>1</v>
      </c>
      <c r="C20" s="1">
        <v>29</v>
      </c>
      <c r="D20">
        <v>16.722000000000001</v>
      </c>
      <c r="E20">
        <f t="shared" si="0"/>
        <v>409.50799999999998</v>
      </c>
      <c r="F20" t="s">
        <v>11</v>
      </c>
      <c r="G20" t="s">
        <v>12</v>
      </c>
    </row>
    <row r="21" spans="1:7" x14ac:dyDescent="0.25">
      <c r="A21" s="1">
        <v>2024</v>
      </c>
      <c r="B21" s="1">
        <v>1</v>
      </c>
      <c r="C21" s="1">
        <v>29</v>
      </c>
      <c r="D21">
        <v>16.715</v>
      </c>
      <c r="E21">
        <f t="shared" si="0"/>
        <v>426.22299999999996</v>
      </c>
      <c r="F21" t="s">
        <v>11</v>
      </c>
      <c r="G21" t="s">
        <v>12</v>
      </c>
    </row>
    <row r="22" spans="1:7" x14ac:dyDescent="0.25">
      <c r="A22" s="1">
        <v>2024</v>
      </c>
      <c r="B22" s="1">
        <v>1</v>
      </c>
      <c r="C22" s="1">
        <v>30</v>
      </c>
      <c r="D22">
        <v>5.516</v>
      </c>
      <c r="E22">
        <f t="shared" si="0"/>
        <v>431.73899999999998</v>
      </c>
      <c r="F22" t="s">
        <v>15</v>
      </c>
      <c r="G22" t="s">
        <v>10</v>
      </c>
    </row>
    <row r="23" spans="1:7" x14ac:dyDescent="0.25">
      <c r="A23" s="1">
        <v>2024</v>
      </c>
      <c r="B23" s="1">
        <v>1</v>
      </c>
      <c r="C23" s="1">
        <v>30</v>
      </c>
      <c r="D23">
        <v>2.1789999999999998</v>
      </c>
      <c r="E23">
        <f t="shared" si="0"/>
        <v>433.91799999999995</v>
      </c>
      <c r="F23" t="s">
        <v>19</v>
      </c>
      <c r="G23" t="s">
        <v>20</v>
      </c>
    </row>
    <row r="24" spans="1:7" x14ac:dyDescent="0.25">
      <c r="A24" s="1">
        <v>2024</v>
      </c>
      <c r="B24" s="1">
        <v>1</v>
      </c>
      <c r="C24" s="1">
        <v>31</v>
      </c>
      <c r="D24">
        <v>12.157999999999999</v>
      </c>
      <c r="E24">
        <f t="shared" si="0"/>
        <v>446.07599999999996</v>
      </c>
      <c r="F24" t="s">
        <v>13</v>
      </c>
      <c r="G24" t="s">
        <v>14</v>
      </c>
    </row>
    <row r="25" spans="1:7" x14ac:dyDescent="0.25">
      <c r="A25" s="1">
        <v>2024</v>
      </c>
      <c r="B25" s="1">
        <v>1</v>
      </c>
      <c r="C25" s="1">
        <v>31</v>
      </c>
      <c r="D25">
        <v>11.888999999999999</v>
      </c>
      <c r="E25">
        <f t="shared" si="0"/>
        <v>457.96499999999997</v>
      </c>
      <c r="F25" t="s">
        <v>15</v>
      </c>
      <c r="G25" t="s">
        <v>10</v>
      </c>
    </row>
    <row r="26" spans="1:7" x14ac:dyDescent="0.25">
      <c r="A26" s="1">
        <v>2024</v>
      </c>
      <c r="B26" s="1">
        <v>1</v>
      </c>
      <c r="C26" s="1">
        <v>31</v>
      </c>
      <c r="D26">
        <v>20.562999999999999</v>
      </c>
      <c r="E26">
        <f t="shared" si="0"/>
        <v>478.52799999999996</v>
      </c>
      <c r="F26" t="s">
        <v>13</v>
      </c>
      <c r="G26" t="s">
        <v>14</v>
      </c>
    </row>
    <row r="27" spans="1:7" x14ac:dyDescent="0.25">
      <c r="A27" s="1">
        <v>2024</v>
      </c>
      <c r="B27" s="1">
        <v>2</v>
      </c>
      <c r="C27" s="1">
        <v>1</v>
      </c>
      <c r="D27">
        <v>11.677</v>
      </c>
      <c r="E27">
        <f>D27</f>
        <v>11.677</v>
      </c>
      <c r="F27" t="s">
        <v>16</v>
      </c>
      <c r="G27" t="s">
        <v>12</v>
      </c>
    </row>
    <row r="28" spans="1:7" x14ac:dyDescent="0.25">
      <c r="A28" s="1">
        <v>2024</v>
      </c>
      <c r="B28" s="1">
        <v>2</v>
      </c>
      <c r="C28" s="1">
        <v>3</v>
      </c>
      <c r="D28">
        <v>15.029</v>
      </c>
      <c r="E28">
        <f>E27+D28</f>
        <v>26.706</v>
      </c>
      <c r="F28" t="s">
        <v>11</v>
      </c>
      <c r="G28" t="s">
        <v>12</v>
      </c>
    </row>
    <row r="29" spans="1:7" x14ac:dyDescent="0.25">
      <c r="A29" s="1">
        <v>2024</v>
      </c>
      <c r="B29" s="1">
        <v>2</v>
      </c>
      <c r="C29" s="1">
        <v>5</v>
      </c>
      <c r="D29">
        <v>16.988</v>
      </c>
      <c r="E29">
        <f t="shared" ref="E29:E44" si="1">E28+D29</f>
        <v>43.694000000000003</v>
      </c>
      <c r="F29" t="s">
        <v>11</v>
      </c>
      <c r="G29" t="s">
        <v>12</v>
      </c>
    </row>
    <row r="30" spans="1:7" x14ac:dyDescent="0.25">
      <c r="A30" s="1">
        <v>2024</v>
      </c>
      <c r="B30" s="1">
        <v>2</v>
      </c>
      <c r="C30" s="1">
        <v>9</v>
      </c>
      <c r="D30">
        <v>16.715</v>
      </c>
      <c r="E30">
        <f t="shared" si="1"/>
        <v>60.409000000000006</v>
      </c>
      <c r="F30" t="s">
        <v>11</v>
      </c>
      <c r="G30" t="s">
        <v>12</v>
      </c>
    </row>
    <row r="31" spans="1:7" x14ac:dyDescent="0.25">
      <c r="A31" s="1">
        <v>2024</v>
      </c>
      <c r="B31" s="1">
        <v>2</v>
      </c>
      <c r="C31" s="1">
        <v>10</v>
      </c>
      <c r="D31">
        <v>141.422</v>
      </c>
      <c r="E31">
        <f t="shared" si="1"/>
        <v>201.83100000000002</v>
      </c>
      <c r="F31" t="s">
        <v>23</v>
      </c>
      <c r="G31" t="s">
        <v>24</v>
      </c>
    </row>
    <row r="32" spans="1:7" x14ac:dyDescent="0.25">
      <c r="A32" s="1">
        <v>2024</v>
      </c>
      <c r="B32" s="1">
        <v>2</v>
      </c>
      <c r="C32" s="1">
        <v>11</v>
      </c>
      <c r="D32">
        <v>9.89</v>
      </c>
      <c r="E32">
        <f t="shared" si="1"/>
        <v>211.721</v>
      </c>
      <c r="F32" t="s">
        <v>16</v>
      </c>
      <c r="G32" t="s">
        <v>12</v>
      </c>
    </row>
    <row r="33" spans="1:7" x14ac:dyDescent="0.25">
      <c r="A33" s="1">
        <v>2024</v>
      </c>
      <c r="B33" s="1">
        <v>2</v>
      </c>
      <c r="C33" s="1">
        <v>15</v>
      </c>
      <c r="D33">
        <v>3.7029999999999998</v>
      </c>
      <c r="E33">
        <f t="shared" si="1"/>
        <v>215.42400000000001</v>
      </c>
      <c r="F33" t="s">
        <v>11</v>
      </c>
      <c r="G33" t="s">
        <v>12</v>
      </c>
    </row>
    <row r="34" spans="1:7" x14ac:dyDescent="0.25">
      <c r="A34" s="1">
        <v>2024</v>
      </c>
      <c r="B34" s="1">
        <v>2</v>
      </c>
      <c r="C34" s="1">
        <v>17</v>
      </c>
      <c r="D34">
        <v>5.0919999999999996</v>
      </c>
      <c r="E34">
        <f t="shared" si="1"/>
        <v>220.51600000000002</v>
      </c>
      <c r="F34" t="s">
        <v>11</v>
      </c>
      <c r="G34" t="s">
        <v>12</v>
      </c>
    </row>
    <row r="35" spans="1:7" x14ac:dyDescent="0.25">
      <c r="A35" s="1">
        <v>2024</v>
      </c>
      <c r="B35" s="1">
        <v>2</v>
      </c>
      <c r="C35" s="1">
        <v>17</v>
      </c>
      <c r="D35">
        <v>9.7620000000000005</v>
      </c>
      <c r="E35">
        <f t="shared" si="1"/>
        <v>230.27800000000002</v>
      </c>
      <c r="F35" t="s">
        <v>11</v>
      </c>
      <c r="G35" t="s">
        <v>12</v>
      </c>
    </row>
    <row r="36" spans="1:7" x14ac:dyDescent="0.25">
      <c r="A36" s="1">
        <v>2024</v>
      </c>
      <c r="B36" s="1">
        <v>2</v>
      </c>
      <c r="C36" s="1">
        <v>19</v>
      </c>
      <c r="D36">
        <v>10.321999999999999</v>
      </c>
      <c r="E36">
        <f t="shared" si="1"/>
        <v>240.60000000000002</v>
      </c>
      <c r="F36" t="s">
        <v>16</v>
      </c>
      <c r="G36" t="s">
        <v>12</v>
      </c>
    </row>
    <row r="37" spans="1:7" x14ac:dyDescent="0.25">
      <c r="A37" s="1">
        <v>2024</v>
      </c>
      <c r="B37" s="1">
        <v>2</v>
      </c>
      <c r="C37" s="1">
        <v>19</v>
      </c>
      <c r="D37">
        <v>6.3390000000000004</v>
      </c>
      <c r="E37">
        <f t="shared" si="1"/>
        <v>246.93900000000002</v>
      </c>
      <c r="F37" t="s">
        <v>11</v>
      </c>
      <c r="G37" t="s">
        <v>12</v>
      </c>
    </row>
    <row r="38" spans="1:7" x14ac:dyDescent="0.25">
      <c r="A38" s="1">
        <v>2024</v>
      </c>
      <c r="B38" s="1">
        <v>2</v>
      </c>
      <c r="C38" s="1">
        <v>21</v>
      </c>
      <c r="D38">
        <v>14.095000000000001</v>
      </c>
      <c r="E38">
        <f t="shared" si="1"/>
        <v>261.03400000000005</v>
      </c>
      <c r="F38" t="s">
        <v>11</v>
      </c>
      <c r="G38" t="s">
        <v>12</v>
      </c>
    </row>
    <row r="39" spans="1:7" x14ac:dyDescent="0.25">
      <c r="A39" s="1">
        <v>2024</v>
      </c>
      <c r="B39" s="1">
        <v>2</v>
      </c>
      <c r="C39" s="1">
        <v>24</v>
      </c>
      <c r="D39">
        <v>52.649000000000001</v>
      </c>
      <c r="E39">
        <f t="shared" si="1"/>
        <v>313.68300000000005</v>
      </c>
      <c r="F39" t="s">
        <v>17</v>
      </c>
      <c r="G39" t="s">
        <v>18</v>
      </c>
    </row>
    <row r="40" spans="1:7" x14ac:dyDescent="0.25">
      <c r="A40" s="1">
        <v>2024</v>
      </c>
      <c r="B40" s="1">
        <v>2</v>
      </c>
      <c r="C40" s="1">
        <v>24</v>
      </c>
      <c r="D40">
        <v>7.8339999999999996</v>
      </c>
      <c r="E40">
        <f t="shared" si="1"/>
        <v>321.51700000000005</v>
      </c>
      <c r="F40" t="s">
        <v>16</v>
      </c>
      <c r="G40" t="s">
        <v>12</v>
      </c>
    </row>
    <row r="41" spans="1:7" x14ac:dyDescent="0.25">
      <c r="A41" s="1">
        <v>2024</v>
      </c>
      <c r="B41" s="1">
        <v>2</v>
      </c>
      <c r="C41" s="1">
        <v>24</v>
      </c>
      <c r="D41">
        <v>2.38</v>
      </c>
      <c r="E41">
        <f t="shared" si="1"/>
        <v>323.89700000000005</v>
      </c>
      <c r="F41" t="s">
        <v>11</v>
      </c>
      <c r="G41" t="s">
        <v>12</v>
      </c>
    </row>
    <row r="42" spans="1:7" x14ac:dyDescent="0.25">
      <c r="A42" s="1">
        <v>2024</v>
      </c>
      <c r="B42" s="1">
        <v>2</v>
      </c>
      <c r="C42" s="1">
        <v>27</v>
      </c>
      <c r="D42">
        <v>30.635999999999999</v>
      </c>
      <c r="E42">
        <f t="shared" si="1"/>
        <v>354.53300000000007</v>
      </c>
      <c r="F42" t="s">
        <v>9</v>
      </c>
      <c r="G42" t="s">
        <v>10</v>
      </c>
    </row>
    <row r="43" spans="1:7" x14ac:dyDescent="0.25">
      <c r="A43" s="1">
        <v>2024</v>
      </c>
      <c r="B43" s="1">
        <v>2</v>
      </c>
      <c r="C43" s="1">
        <v>27</v>
      </c>
      <c r="D43">
        <v>39.584000000000003</v>
      </c>
      <c r="E43">
        <f t="shared" si="1"/>
        <v>394.11700000000008</v>
      </c>
      <c r="F43" t="s">
        <v>9</v>
      </c>
      <c r="G43" t="s">
        <v>10</v>
      </c>
    </row>
    <row r="44" spans="1:7" x14ac:dyDescent="0.25">
      <c r="A44" s="1">
        <v>2024</v>
      </c>
      <c r="B44" s="1">
        <v>2</v>
      </c>
      <c r="C44" s="1">
        <v>27</v>
      </c>
      <c r="D44">
        <v>69.287000000000006</v>
      </c>
      <c r="E44">
        <f t="shared" si="1"/>
        <v>463.40400000000011</v>
      </c>
      <c r="F44" t="s">
        <v>13</v>
      </c>
      <c r="G44" t="s">
        <v>14</v>
      </c>
    </row>
    <row r="45" spans="1:7" x14ac:dyDescent="0.25">
      <c r="A45" s="1">
        <v>2024</v>
      </c>
      <c r="B45" s="1">
        <v>3</v>
      </c>
      <c r="C45" s="1">
        <v>1</v>
      </c>
      <c r="D45">
        <v>17.036999999999999</v>
      </c>
      <c r="E45">
        <f>D45</f>
        <v>17.036999999999999</v>
      </c>
      <c r="F45" t="s">
        <v>11</v>
      </c>
      <c r="G45" t="s">
        <v>12</v>
      </c>
    </row>
    <row r="46" spans="1:7" x14ac:dyDescent="0.25">
      <c r="A46" s="1">
        <v>2024</v>
      </c>
      <c r="B46" s="1">
        <v>3</v>
      </c>
      <c r="C46" s="1">
        <v>1</v>
      </c>
      <c r="D46">
        <v>96.744</v>
      </c>
      <c r="E46">
        <f>E45+D46</f>
        <v>113.78100000000001</v>
      </c>
      <c r="F46" t="s">
        <v>4</v>
      </c>
      <c r="G46" t="s">
        <v>5</v>
      </c>
    </row>
    <row r="47" spans="1:7" x14ac:dyDescent="0.25">
      <c r="A47" s="1">
        <v>2024</v>
      </c>
      <c r="B47" s="1">
        <v>3</v>
      </c>
      <c r="C47" s="1">
        <v>1</v>
      </c>
      <c r="D47">
        <v>16.722000000000001</v>
      </c>
      <c r="E47">
        <f t="shared" ref="E47:E71" si="2">E46+D47</f>
        <v>130.50300000000001</v>
      </c>
      <c r="F47" t="s">
        <v>11</v>
      </c>
      <c r="G47" t="s">
        <v>12</v>
      </c>
    </row>
    <row r="48" spans="1:7" x14ac:dyDescent="0.25">
      <c r="A48" s="1">
        <v>2024</v>
      </c>
      <c r="B48" s="1">
        <v>3</v>
      </c>
      <c r="C48" s="1">
        <v>2</v>
      </c>
      <c r="D48">
        <v>10.71</v>
      </c>
      <c r="E48">
        <f t="shared" si="2"/>
        <v>141.21300000000002</v>
      </c>
      <c r="F48" t="s">
        <v>16</v>
      </c>
      <c r="G48" t="s">
        <v>12</v>
      </c>
    </row>
    <row r="49" spans="1:7" x14ac:dyDescent="0.25">
      <c r="A49" s="1">
        <v>2024</v>
      </c>
      <c r="B49" s="1">
        <v>3</v>
      </c>
      <c r="C49" s="1">
        <v>2</v>
      </c>
      <c r="D49">
        <v>5.9969999999999999</v>
      </c>
      <c r="E49">
        <f t="shared" si="2"/>
        <v>147.21000000000004</v>
      </c>
      <c r="F49" t="s">
        <v>11</v>
      </c>
      <c r="G49" t="s">
        <v>12</v>
      </c>
    </row>
    <row r="50" spans="1:7" x14ac:dyDescent="0.25">
      <c r="A50" s="1">
        <v>2024</v>
      </c>
      <c r="B50" s="1">
        <v>3</v>
      </c>
      <c r="C50" s="1">
        <v>3</v>
      </c>
      <c r="D50">
        <v>45.728000000000002</v>
      </c>
      <c r="E50">
        <f t="shared" si="2"/>
        <v>192.93800000000005</v>
      </c>
      <c r="F50" t="s">
        <v>21</v>
      </c>
      <c r="G50" t="s">
        <v>22</v>
      </c>
    </row>
    <row r="51" spans="1:7" x14ac:dyDescent="0.25">
      <c r="A51" s="1">
        <v>2024</v>
      </c>
      <c r="B51" s="1">
        <v>3</v>
      </c>
      <c r="C51" s="1">
        <v>3</v>
      </c>
      <c r="D51">
        <v>7.6760000000000002</v>
      </c>
      <c r="E51">
        <f t="shared" si="2"/>
        <v>200.61400000000003</v>
      </c>
      <c r="F51" t="s">
        <v>25</v>
      </c>
      <c r="G51" t="s">
        <v>22</v>
      </c>
    </row>
    <row r="52" spans="1:7" x14ac:dyDescent="0.25">
      <c r="A52" s="1">
        <v>2024</v>
      </c>
      <c r="B52" s="1">
        <v>3</v>
      </c>
      <c r="C52" s="1">
        <v>6</v>
      </c>
      <c r="D52">
        <v>4.0869999999999997</v>
      </c>
      <c r="E52">
        <f t="shared" si="2"/>
        <v>204.70100000000002</v>
      </c>
      <c r="F52" t="s">
        <v>19</v>
      </c>
      <c r="G52" t="s">
        <v>20</v>
      </c>
    </row>
    <row r="53" spans="1:7" x14ac:dyDescent="0.25">
      <c r="A53" s="1">
        <v>2024</v>
      </c>
      <c r="B53" s="1">
        <v>3</v>
      </c>
      <c r="C53" s="1">
        <v>9</v>
      </c>
      <c r="D53">
        <v>16.093</v>
      </c>
      <c r="E53">
        <f t="shared" si="2"/>
        <v>220.79400000000001</v>
      </c>
      <c r="F53" t="s">
        <v>11</v>
      </c>
      <c r="G53" t="s">
        <v>12</v>
      </c>
    </row>
    <row r="54" spans="1:7" x14ac:dyDescent="0.25">
      <c r="A54" s="1">
        <v>2024</v>
      </c>
      <c r="B54" s="1">
        <v>3</v>
      </c>
      <c r="C54" s="1">
        <v>12</v>
      </c>
      <c r="D54">
        <v>10.956</v>
      </c>
      <c r="E54">
        <f t="shared" si="2"/>
        <v>231.75</v>
      </c>
      <c r="F54" t="s">
        <v>16</v>
      </c>
      <c r="G54" t="s">
        <v>12</v>
      </c>
    </row>
    <row r="55" spans="1:7" x14ac:dyDescent="0.25">
      <c r="A55" s="1">
        <v>2024</v>
      </c>
      <c r="B55" s="1">
        <v>3</v>
      </c>
      <c r="C55" s="1">
        <v>12</v>
      </c>
      <c r="D55">
        <v>5.7050000000000001</v>
      </c>
      <c r="E55">
        <f t="shared" si="2"/>
        <v>237.45500000000001</v>
      </c>
      <c r="F55" t="s">
        <v>11</v>
      </c>
      <c r="G55" t="s">
        <v>12</v>
      </c>
    </row>
    <row r="56" spans="1:7" x14ac:dyDescent="0.25">
      <c r="A56" s="1">
        <v>2024</v>
      </c>
      <c r="B56" s="1">
        <v>3</v>
      </c>
      <c r="C56" s="1">
        <v>14</v>
      </c>
      <c r="D56">
        <v>27.439</v>
      </c>
      <c r="E56">
        <f t="shared" si="2"/>
        <v>264.89400000000001</v>
      </c>
      <c r="F56" t="s">
        <v>26</v>
      </c>
      <c r="G56" t="s">
        <v>22</v>
      </c>
    </row>
    <row r="57" spans="1:7" x14ac:dyDescent="0.25">
      <c r="A57" s="1">
        <v>2024</v>
      </c>
      <c r="B57" s="1">
        <v>3</v>
      </c>
      <c r="C57" s="1">
        <v>14</v>
      </c>
      <c r="D57">
        <v>47.88</v>
      </c>
      <c r="E57">
        <f t="shared" si="2"/>
        <v>312.774</v>
      </c>
      <c r="F57" t="s">
        <v>26</v>
      </c>
      <c r="G57" t="s">
        <v>22</v>
      </c>
    </row>
    <row r="58" spans="1:7" x14ac:dyDescent="0.25">
      <c r="A58" s="1">
        <v>2024</v>
      </c>
      <c r="B58" s="1">
        <v>3</v>
      </c>
      <c r="C58" s="1">
        <v>14</v>
      </c>
      <c r="D58">
        <v>70.849999999999994</v>
      </c>
      <c r="E58">
        <f t="shared" si="2"/>
        <v>383.62400000000002</v>
      </c>
      <c r="F58" t="s">
        <v>26</v>
      </c>
      <c r="G58" t="s">
        <v>22</v>
      </c>
    </row>
    <row r="59" spans="1:7" x14ac:dyDescent="0.25">
      <c r="A59" s="1">
        <v>2024</v>
      </c>
      <c r="B59" s="1">
        <v>3</v>
      </c>
      <c r="C59" s="1">
        <v>14</v>
      </c>
      <c r="D59">
        <v>15.766999999999999</v>
      </c>
      <c r="E59">
        <f t="shared" si="2"/>
        <v>399.39100000000002</v>
      </c>
      <c r="F59" t="s">
        <v>11</v>
      </c>
      <c r="G59" t="s">
        <v>12</v>
      </c>
    </row>
    <row r="60" spans="1:7" x14ac:dyDescent="0.25">
      <c r="A60" s="1">
        <v>2024</v>
      </c>
      <c r="B60" s="1">
        <v>3</v>
      </c>
      <c r="C60" s="1">
        <v>15</v>
      </c>
      <c r="D60">
        <v>9.9649999999999999</v>
      </c>
      <c r="E60">
        <f t="shared" si="2"/>
        <v>409.35599999999999</v>
      </c>
      <c r="F60" t="s">
        <v>27</v>
      </c>
      <c r="G60" t="s">
        <v>28</v>
      </c>
    </row>
    <row r="61" spans="1:7" x14ac:dyDescent="0.25">
      <c r="A61" s="1">
        <v>2024</v>
      </c>
      <c r="B61" s="1">
        <v>3</v>
      </c>
      <c r="C61" s="1">
        <v>15</v>
      </c>
      <c r="D61">
        <v>10.186999999999999</v>
      </c>
      <c r="E61">
        <f t="shared" si="2"/>
        <v>419.54300000000001</v>
      </c>
      <c r="F61" t="s">
        <v>27</v>
      </c>
      <c r="G61" t="s">
        <v>28</v>
      </c>
    </row>
    <row r="62" spans="1:7" x14ac:dyDescent="0.25">
      <c r="A62" s="1">
        <v>2024</v>
      </c>
      <c r="B62" s="1">
        <v>3</v>
      </c>
      <c r="C62" s="1">
        <v>16</v>
      </c>
      <c r="D62">
        <v>6.492</v>
      </c>
      <c r="E62">
        <f t="shared" si="2"/>
        <v>426.03500000000003</v>
      </c>
      <c r="F62" t="s">
        <v>27</v>
      </c>
      <c r="G62" t="s">
        <v>28</v>
      </c>
    </row>
    <row r="63" spans="1:7" x14ac:dyDescent="0.25">
      <c r="A63" s="1">
        <v>2024</v>
      </c>
      <c r="B63" s="1">
        <v>3</v>
      </c>
      <c r="C63" s="1">
        <v>18</v>
      </c>
      <c r="D63">
        <v>3.8010000000000002</v>
      </c>
      <c r="E63">
        <f t="shared" si="2"/>
        <v>429.83600000000001</v>
      </c>
      <c r="F63" t="s">
        <v>7</v>
      </c>
      <c r="G63" t="s">
        <v>8</v>
      </c>
    </row>
    <row r="64" spans="1:7" x14ac:dyDescent="0.25">
      <c r="A64" s="1">
        <v>2024</v>
      </c>
      <c r="B64" s="1">
        <v>3</v>
      </c>
      <c r="C64" s="1">
        <v>18</v>
      </c>
      <c r="D64">
        <v>16.099</v>
      </c>
      <c r="E64">
        <f t="shared" si="2"/>
        <v>445.935</v>
      </c>
      <c r="F64" t="s">
        <v>11</v>
      </c>
      <c r="G64" t="s">
        <v>12</v>
      </c>
    </row>
    <row r="65" spans="1:7" x14ac:dyDescent="0.25">
      <c r="A65" s="1">
        <v>2024</v>
      </c>
      <c r="B65" s="1">
        <v>3</v>
      </c>
      <c r="C65" s="1">
        <v>20</v>
      </c>
      <c r="D65">
        <v>26.161000000000001</v>
      </c>
      <c r="E65">
        <f t="shared" si="2"/>
        <v>472.096</v>
      </c>
      <c r="F65" t="s">
        <v>17</v>
      </c>
      <c r="G65" t="s">
        <v>18</v>
      </c>
    </row>
    <row r="66" spans="1:7" x14ac:dyDescent="0.25">
      <c r="A66" s="1">
        <v>2024</v>
      </c>
      <c r="B66" s="1">
        <v>3</v>
      </c>
      <c r="C66" s="1">
        <v>20</v>
      </c>
      <c r="D66">
        <v>17.684999999999999</v>
      </c>
      <c r="E66">
        <f t="shared" si="2"/>
        <v>489.78100000000001</v>
      </c>
      <c r="F66" t="s">
        <v>17</v>
      </c>
      <c r="G66" t="s">
        <v>18</v>
      </c>
    </row>
    <row r="67" spans="1:7" x14ac:dyDescent="0.25">
      <c r="A67" s="1">
        <v>2024</v>
      </c>
      <c r="B67" s="1">
        <v>3</v>
      </c>
      <c r="C67" s="1">
        <v>20</v>
      </c>
      <c r="D67">
        <v>5.226</v>
      </c>
      <c r="E67">
        <f t="shared" si="2"/>
        <v>495.00700000000001</v>
      </c>
      <c r="F67" t="s">
        <v>7</v>
      </c>
      <c r="G67" t="s">
        <v>8</v>
      </c>
    </row>
    <row r="68" spans="1:7" x14ac:dyDescent="0.25">
      <c r="A68" s="1">
        <v>2024</v>
      </c>
      <c r="B68" s="1">
        <v>3</v>
      </c>
      <c r="C68" s="1">
        <v>23</v>
      </c>
      <c r="D68">
        <v>77.968999999999994</v>
      </c>
      <c r="E68">
        <f t="shared" si="2"/>
        <v>572.976</v>
      </c>
      <c r="F68" t="s">
        <v>30</v>
      </c>
      <c r="G68" t="s">
        <v>31</v>
      </c>
    </row>
    <row r="69" spans="1:7" x14ac:dyDescent="0.25">
      <c r="A69" s="1">
        <v>2024</v>
      </c>
      <c r="B69" s="1">
        <v>3</v>
      </c>
      <c r="C69" s="1">
        <v>25</v>
      </c>
      <c r="D69">
        <v>14.295999999999999</v>
      </c>
      <c r="E69">
        <f t="shared" si="2"/>
        <v>587.27200000000005</v>
      </c>
      <c r="F69" t="s">
        <v>16</v>
      </c>
      <c r="G69" t="s">
        <v>12</v>
      </c>
    </row>
    <row r="70" spans="1:7" x14ac:dyDescent="0.25">
      <c r="A70" s="1">
        <v>2024</v>
      </c>
      <c r="B70" s="1">
        <v>3</v>
      </c>
      <c r="C70" s="1">
        <v>25</v>
      </c>
      <c r="D70">
        <v>16.561</v>
      </c>
      <c r="E70">
        <f t="shared" si="2"/>
        <v>603.83300000000008</v>
      </c>
      <c r="F70" t="s">
        <v>11</v>
      </c>
      <c r="G70" t="s">
        <v>12</v>
      </c>
    </row>
    <row r="71" spans="1:7" x14ac:dyDescent="0.25">
      <c r="A71" s="1">
        <v>2024</v>
      </c>
      <c r="B71" s="1">
        <v>3</v>
      </c>
      <c r="C71" s="1">
        <v>29</v>
      </c>
      <c r="D71">
        <v>17.097000000000001</v>
      </c>
      <c r="E71">
        <f t="shared" si="2"/>
        <v>620.93000000000006</v>
      </c>
      <c r="F71" t="s">
        <v>11</v>
      </c>
      <c r="G71" t="s">
        <v>12</v>
      </c>
    </row>
    <row r="72" spans="1:7" x14ac:dyDescent="0.25">
      <c r="A72" s="1">
        <v>2024</v>
      </c>
      <c r="B72" s="1">
        <v>4</v>
      </c>
      <c r="C72" s="1">
        <v>1</v>
      </c>
      <c r="D72">
        <v>5.6449999999999996</v>
      </c>
      <c r="E72">
        <f>D72</f>
        <v>5.6449999999999996</v>
      </c>
      <c r="F72" t="s">
        <v>29</v>
      </c>
      <c r="G72" t="s">
        <v>22</v>
      </c>
    </row>
    <row r="73" spans="1:7" x14ac:dyDescent="0.25">
      <c r="A73" s="1">
        <v>2024</v>
      </c>
      <c r="B73" s="1">
        <v>4</v>
      </c>
      <c r="C73" s="1">
        <v>1</v>
      </c>
      <c r="D73">
        <v>12.673999999999999</v>
      </c>
      <c r="E73">
        <f>E72+D73</f>
        <v>18.318999999999999</v>
      </c>
      <c r="F73" t="s">
        <v>26</v>
      </c>
      <c r="G73" t="s">
        <v>22</v>
      </c>
    </row>
    <row r="74" spans="1:7" x14ac:dyDescent="0.25">
      <c r="A74" s="1">
        <v>2024</v>
      </c>
      <c r="B74" s="1">
        <v>4</v>
      </c>
      <c r="C74" s="1">
        <v>1</v>
      </c>
      <c r="D74">
        <v>12.673999999999999</v>
      </c>
      <c r="E74">
        <f t="shared" ref="E74:E93" si="3">E73+D74</f>
        <v>30.992999999999999</v>
      </c>
      <c r="F74" t="s">
        <v>26</v>
      </c>
      <c r="G74" t="s">
        <v>22</v>
      </c>
    </row>
    <row r="75" spans="1:7" x14ac:dyDescent="0.25">
      <c r="A75" s="1">
        <v>2024</v>
      </c>
      <c r="B75" s="1">
        <v>4</v>
      </c>
      <c r="C75" s="1">
        <v>1</v>
      </c>
      <c r="D75">
        <v>9.8510000000000009</v>
      </c>
      <c r="E75">
        <f t="shared" si="3"/>
        <v>40.844000000000001</v>
      </c>
      <c r="F75" t="s">
        <v>26</v>
      </c>
      <c r="G75" t="s">
        <v>22</v>
      </c>
    </row>
    <row r="76" spans="1:7" x14ac:dyDescent="0.25">
      <c r="A76" s="1">
        <v>2024</v>
      </c>
      <c r="B76" s="1">
        <v>4</v>
      </c>
      <c r="C76" s="1">
        <v>1</v>
      </c>
      <c r="D76">
        <v>4.4180000000000001</v>
      </c>
      <c r="E76">
        <f t="shared" si="3"/>
        <v>45.262</v>
      </c>
      <c r="F76" t="s">
        <v>35</v>
      </c>
      <c r="G76" t="s">
        <v>36</v>
      </c>
    </row>
    <row r="77" spans="1:7" x14ac:dyDescent="0.25">
      <c r="A77" s="1">
        <v>2024</v>
      </c>
      <c r="B77" s="1">
        <v>4</v>
      </c>
      <c r="C77" s="1">
        <v>2</v>
      </c>
      <c r="D77">
        <v>16.715</v>
      </c>
      <c r="E77">
        <f t="shared" si="3"/>
        <v>61.977000000000004</v>
      </c>
      <c r="F77" t="s">
        <v>11</v>
      </c>
      <c r="G77" t="s">
        <v>12</v>
      </c>
    </row>
    <row r="78" spans="1:7" x14ac:dyDescent="0.25">
      <c r="A78" s="1">
        <v>2024</v>
      </c>
      <c r="B78" s="1">
        <v>4</v>
      </c>
      <c r="C78" s="1">
        <v>3</v>
      </c>
      <c r="D78">
        <v>4.5890000000000004</v>
      </c>
      <c r="E78">
        <f t="shared" si="3"/>
        <v>66.566000000000003</v>
      </c>
      <c r="F78" t="s">
        <v>29</v>
      </c>
      <c r="G78" t="s">
        <v>22</v>
      </c>
    </row>
    <row r="79" spans="1:7" x14ac:dyDescent="0.25">
      <c r="A79" s="1">
        <v>2024</v>
      </c>
      <c r="B79" s="1">
        <v>4</v>
      </c>
      <c r="C79" s="1">
        <v>3</v>
      </c>
      <c r="D79">
        <v>17.541</v>
      </c>
      <c r="E79">
        <f t="shared" si="3"/>
        <v>84.106999999999999</v>
      </c>
      <c r="F79" t="s">
        <v>26</v>
      </c>
      <c r="G79" t="s">
        <v>22</v>
      </c>
    </row>
    <row r="80" spans="1:7" x14ac:dyDescent="0.25">
      <c r="A80" s="1">
        <v>2024</v>
      </c>
      <c r="B80" s="1">
        <v>4</v>
      </c>
      <c r="C80" s="1">
        <v>3</v>
      </c>
      <c r="D80">
        <v>10.175000000000001</v>
      </c>
      <c r="E80">
        <f t="shared" si="3"/>
        <v>94.281999999999996</v>
      </c>
      <c r="F80" t="s">
        <v>26</v>
      </c>
      <c r="G80" t="s">
        <v>22</v>
      </c>
    </row>
    <row r="81" spans="1:7" x14ac:dyDescent="0.25">
      <c r="A81" s="1">
        <v>2024</v>
      </c>
      <c r="B81" s="1">
        <v>4</v>
      </c>
      <c r="C81" s="1">
        <v>3</v>
      </c>
      <c r="D81">
        <v>8.0090000000000003</v>
      </c>
      <c r="E81">
        <f t="shared" si="3"/>
        <v>102.291</v>
      </c>
      <c r="F81" t="s">
        <v>26</v>
      </c>
      <c r="G81" t="s">
        <v>22</v>
      </c>
    </row>
    <row r="82" spans="1:7" x14ac:dyDescent="0.25">
      <c r="A82" s="1">
        <v>2024</v>
      </c>
      <c r="B82" s="1">
        <v>4</v>
      </c>
      <c r="C82" s="1">
        <v>3</v>
      </c>
      <c r="D82">
        <v>61.872</v>
      </c>
      <c r="E82">
        <f t="shared" si="3"/>
        <v>164.16300000000001</v>
      </c>
      <c r="F82" t="s">
        <v>15</v>
      </c>
      <c r="G82" t="s">
        <v>10</v>
      </c>
    </row>
    <row r="83" spans="1:7" x14ac:dyDescent="0.25">
      <c r="A83" s="1">
        <v>2024</v>
      </c>
      <c r="B83" s="1">
        <v>4</v>
      </c>
      <c r="C83" s="1">
        <v>4</v>
      </c>
      <c r="D83">
        <v>41.975000000000001</v>
      </c>
      <c r="E83">
        <f t="shared" si="3"/>
        <v>206.13800000000001</v>
      </c>
      <c r="F83" t="s">
        <v>32</v>
      </c>
      <c r="G83" t="s">
        <v>33</v>
      </c>
    </row>
    <row r="84" spans="1:7" x14ac:dyDescent="0.25">
      <c r="A84" s="1">
        <v>2024</v>
      </c>
      <c r="B84" s="1">
        <v>4</v>
      </c>
      <c r="C84" s="1">
        <v>4</v>
      </c>
      <c r="D84">
        <v>26.731000000000002</v>
      </c>
      <c r="E84">
        <f t="shared" si="3"/>
        <v>232.869</v>
      </c>
      <c r="F84" t="s">
        <v>13</v>
      </c>
      <c r="G84" t="s">
        <v>14</v>
      </c>
    </row>
    <row r="85" spans="1:7" x14ac:dyDescent="0.25">
      <c r="A85" s="1">
        <v>2024</v>
      </c>
      <c r="B85" s="1">
        <v>4</v>
      </c>
      <c r="C85" s="1">
        <v>7</v>
      </c>
      <c r="D85">
        <v>98.23</v>
      </c>
      <c r="E85">
        <f t="shared" si="3"/>
        <v>331.09899999999999</v>
      </c>
      <c r="F85" t="s">
        <v>4</v>
      </c>
      <c r="G85" t="s">
        <v>5</v>
      </c>
    </row>
    <row r="86" spans="1:7" x14ac:dyDescent="0.25">
      <c r="A86" s="1">
        <v>2024</v>
      </c>
      <c r="B86" s="1">
        <v>4</v>
      </c>
      <c r="C86" s="1">
        <v>14</v>
      </c>
      <c r="D86">
        <v>15.779</v>
      </c>
      <c r="E86">
        <f t="shared" si="3"/>
        <v>346.87799999999999</v>
      </c>
      <c r="F86" t="s">
        <v>11</v>
      </c>
      <c r="G86" t="s">
        <v>12</v>
      </c>
    </row>
    <row r="87" spans="1:7" x14ac:dyDescent="0.25">
      <c r="A87" s="1">
        <v>2024</v>
      </c>
      <c r="B87" s="1">
        <v>4</v>
      </c>
      <c r="C87" s="1">
        <v>17</v>
      </c>
      <c r="D87">
        <v>75.986999999999995</v>
      </c>
      <c r="E87">
        <f t="shared" si="3"/>
        <v>422.86500000000001</v>
      </c>
      <c r="F87" t="s">
        <v>34</v>
      </c>
      <c r="G87" t="s">
        <v>18</v>
      </c>
    </row>
    <row r="88" spans="1:7" x14ac:dyDescent="0.25">
      <c r="A88" s="1">
        <v>2024</v>
      </c>
      <c r="B88" s="1">
        <v>4</v>
      </c>
      <c r="C88" s="1">
        <v>20</v>
      </c>
      <c r="D88">
        <v>63.107999999999997</v>
      </c>
      <c r="E88">
        <f t="shared" si="3"/>
        <v>485.97300000000001</v>
      </c>
      <c r="F88" t="s">
        <v>9</v>
      </c>
      <c r="G88" t="s">
        <v>10</v>
      </c>
    </row>
    <row r="89" spans="1:7" x14ac:dyDescent="0.25">
      <c r="A89" s="1">
        <v>2024</v>
      </c>
      <c r="B89" s="1">
        <v>4</v>
      </c>
      <c r="C89" s="1">
        <v>20</v>
      </c>
      <c r="D89">
        <v>6.54</v>
      </c>
      <c r="E89">
        <f t="shared" si="3"/>
        <v>492.51300000000003</v>
      </c>
      <c r="F89" t="s">
        <v>39</v>
      </c>
      <c r="G89" t="s">
        <v>20</v>
      </c>
    </row>
    <row r="90" spans="1:7" x14ac:dyDescent="0.25">
      <c r="A90" s="1">
        <v>2024</v>
      </c>
      <c r="B90" s="1">
        <v>4</v>
      </c>
      <c r="C90" s="1">
        <v>23</v>
      </c>
      <c r="D90">
        <v>15.817</v>
      </c>
      <c r="E90">
        <f t="shared" si="3"/>
        <v>508.33000000000004</v>
      </c>
      <c r="F90" t="s">
        <v>11</v>
      </c>
      <c r="G90" t="s">
        <v>12</v>
      </c>
    </row>
    <row r="91" spans="1:7" x14ac:dyDescent="0.25">
      <c r="A91" s="1">
        <v>2024</v>
      </c>
      <c r="B91" s="1">
        <v>4</v>
      </c>
      <c r="C91" s="1">
        <v>29</v>
      </c>
      <c r="D91">
        <v>66.453999999999994</v>
      </c>
      <c r="E91">
        <f t="shared" si="3"/>
        <v>574.78399999999999</v>
      </c>
      <c r="F91" t="s">
        <v>30</v>
      </c>
      <c r="G91" t="s">
        <v>31</v>
      </c>
    </row>
    <row r="92" spans="1:7" x14ac:dyDescent="0.25">
      <c r="A92" s="1">
        <v>2024</v>
      </c>
      <c r="B92" s="1">
        <v>4</v>
      </c>
      <c r="C92" s="1">
        <v>29</v>
      </c>
      <c r="D92">
        <v>16.661000000000001</v>
      </c>
      <c r="E92">
        <f t="shared" si="3"/>
        <v>591.44499999999994</v>
      </c>
      <c r="F92" t="s">
        <v>11</v>
      </c>
      <c r="G92" t="s">
        <v>12</v>
      </c>
    </row>
    <row r="93" spans="1:7" x14ac:dyDescent="0.25">
      <c r="A93" s="1">
        <v>2024</v>
      </c>
      <c r="B93" s="1">
        <v>4</v>
      </c>
      <c r="C93" s="1">
        <v>30</v>
      </c>
      <c r="D93">
        <v>28.741</v>
      </c>
      <c r="E93">
        <f t="shared" si="3"/>
        <v>620.18599999999992</v>
      </c>
      <c r="F93" t="s">
        <v>35</v>
      </c>
      <c r="G93" t="s">
        <v>36</v>
      </c>
    </row>
    <row r="94" spans="1:7" x14ac:dyDescent="0.25">
      <c r="A94" s="1">
        <v>2024</v>
      </c>
      <c r="B94" s="1">
        <v>5</v>
      </c>
      <c r="C94" s="1">
        <v>1</v>
      </c>
      <c r="D94">
        <v>103.79600000000001</v>
      </c>
      <c r="E94">
        <f>D94</f>
        <v>103.79600000000001</v>
      </c>
      <c r="F94" t="s">
        <v>4</v>
      </c>
      <c r="G94" t="s">
        <v>5</v>
      </c>
    </row>
    <row r="95" spans="1:7" x14ac:dyDescent="0.25">
      <c r="A95" s="1">
        <v>2024</v>
      </c>
      <c r="B95" s="1">
        <v>5</v>
      </c>
      <c r="C95" s="1">
        <v>4</v>
      </c>
      <c r="D95">
        <v>15.779</v>
      </c>
      <c r="E95">
        <f>E94+D95</f>
        <v>119.575</v>
      </c>
      <c r="F95" t="s">
        <v>11</v>
      </c>
      <c r="G95" t="s">
        <v>12</v>
      </c>
    </row>
    <row r="96" spans="1:7" x14ac:dyDescent="0.25">
      <c r="A96" s="1">
        <v>2024</v>
      </c>
      <c r="B96" s="1">
        <v>5</v>
      </c>
      <c r="C96" s="1">
        <v>6</v>
      </c>
      <c r="D96">
        <v>16.707000000000001</v>
      </c>
      <c r="E96">
        <f t="shared" ref="E96:E109" si="4">E95+D96</f>
        <v>136.28200000000001</v>
      </c>
      <c r="F96" t="s">
        <v>11</v>
      </c>
      <c r="G96" t="s">
        <v>12</v>
      </c>
    </row>
    <row r="97" spans="1:7" x14ac:dyDescent="0.25">
      <c r="A97" s="1">
        <v>2024</v>
      </c>
      <c r="B97" s="1">
        <v>5</v>
      </c>
      <c r="C97" s="1">
        <v>9</v>
      </c>
      <c r="D97">
        <v>91.429000000000002</v>
      </c>
      <c r="E97">
        <f t="shared" si="4"/>
        <v>227.71100000000001</v>
      </c>
      <c r="F97" t="s">
        <v>9</v>
      </c>
      <c r="G97" t="s">
        <v>10</v>
      </c>
    </row>
    <row r="98" spans="1:7" x14ac:dyDescent="0.25">
      <c r="A98" s="1">
        <v>2024</v>
      </c>
      <c r="B98" s="1">
        <v>5</v>
      </c>
      <c r="C98" s="1">
        <v>12</v>
      </c>
      <c r="D98">
        <v>39.814999999999998</v>
      </c>
      <c r="E98">
        <f t="shared" si="4"/>
        <v>267.52600000000001</v>
      </c>
      <c r="F98" t="s">
        <v>15</v>
      </c>
      <c r="G98" t="s">
        <v>10</v>
      </c>
    </row>
    <row r="99" spans="1:7" x14ac:dyDescent="0.25">
      <c r="A99" s="1">
        <v>2024</v>
      </c>
      <c r="B99" s="1">
        <v>5</v>
      </c>
      <c r="C99" s="1">
        <v>12</v>
      </c>
      <c r="D99">
        <v>31.585000000000001</v>
      </c>
      <c r="E99">
        <f t="shared" si="4"/>
        <v>299.11099999999999</v>
      </c>
      <c r="F99" t="s">
        <v>40</v>
      </c>
      <c r="G99" t="s">
        <v>41</v>
      </c>
    </row>
    <row r="100" spans="1:7" x14ac:dyDescent="0.25">
      <c r="A100" s="1">
        <v>2024</v>
      </c>
      <c r="B100" s="1">
        <v>5</v>
      </c>
      <c r="C100" s="1">
        <v>13</v>
      </c>
      <c r="D100">
        <v>17.631</v>
      </c>
      <c r="E100">
        <f t="shared" si="4"/>
        <v>316.74199999999996</v>
      </c>
      <c r="F100" t="s">
        <v>11</v>
      </c>
      <c r="G100" t="s">
        <v>12</v>
      </c>
    </row>
    <row r="101" spans="1:7" x14ac:dyDescent="0.25">
      <c r="A101" s="1">
        <v>2024</v>
      </c>
      <c r="B101" s="1">
        <v>5</v>
      </c>
      <c r="C101" s="1">
        <v>14</v>
      </c>
      <c r="D101">
        <v>16.661000000000001</v>
      </c>
      <c r="E101">
        <f t="shared" si="4"/>
        <v>333.40299999999996</v>
      </c>
      <c r="F101" t="s">
        <v>11</v>
      </c>
      <c r="G101" t="s">
        <v>12</v>
      </c>
    </row>
    <row r="102" spans="1:7" x14ac:dyDescent="0.25">
      <c r="A102" s="1">
        <v>2024</v>
      </c>
      <c r="B102" s="1">
        <v>5</v>
      </c>
      <c r="C102" s="1">
        <v>17</v>
      </c>
      <c r="D102">
        <v>7.673</v>
      </c>
      <c r="E102">
        <f t="shared" si="4"/>
        <v>341.07599999999996</v>
      </c>
      <c r="F102" t="s">
        <v>11</v>
      </c>
      <c r="G102" t="s">
        <v>12</v>
      </c>
    </row>
    <row r="103" spans="1:7" x14ac:dyDescent="0.25">
      <c r="A103" s="1">
        <v>2024</v>
      </c>
      <c r="B103" s="1">
        <v>5</v>
      </c>
      <c r="C103" s="1">
        <v>21</v>
      </c>
      <c r="D103">
        <v>9.0419999999999998</v>
      </c>
      <c r="E103">
        <f t="shared" si="4"/>
        <v>350.11799999999994</v>
      </c>
      <c r="F103" t="s">
        <v>11</v>
      </c>
      <c r="G103" t="s">
        <v>12</v>
      </c>
    </row>
    <row r="104" spans="1:7" x14ac:dyDescent="0.25">
      <c r="A104" s="1">
        <v>2024</v>
      </c>
      <c r="B104" s="1">
        <v>5</v>
      </c>
      <c r="C104" s="1">
        <v>22</v>
      </c>
      <c r="D104">
        <v>16.661000000000001</v>
      </c>
      <c r="E104">
        <f t="shared" si="4"/>
        <v>366.77899999999994</v>
      </c>
      <c r="F104" t="s">
        <v>11</v>
      </c>
      <c r="G104" t="s">
        <v>12</v>
      </c>
    </row>
    <row r="105" spans="1:7" x14ac:dyDescent="0.25">
      <c r="A105" s="1">
        <v>2024</v>
      </c>
      <c r="B105" s="1">
        <v>5</v>
      </c>
      <c r="C105" s="1">
        <v>28</v>
      </c>
      <c r="D105">
        <v>47.475000000000001</v>
      </c>
      <c r="E105">
        <f t="shared" si="4"/>
        <v>414.25399999999996</v>
      </c>
      <c r="F105" t="s">
        <v>15</v>
      </c>
      <c r="G105" t="s">
        <v>10</v>
      </c>
    </row>
    <row r="106" spans="1:7" x14ac:dyDescent="0.25">
      <c r="A106" s="1">
        <v>2024</v>
      </c>
      <c r="B106" s="1">
        <v>5</v>
      </c>
      <c r="C106" s="1">
        <v>29</v>
      </c>
      <c r="D106">
        <v>11.358000000000001</v>
      </c>
      <c r="E106">
        <f t="shared" si="4"/>
        <v>425.61199999999997</v>
      </c>
      <c r="F106" t="s">
        <v>37</v>
      </c>
      <c r="G106" t="s">
        <v>38</v>
      </c>
    </row>
    <row r="107" spans="1:7" x14ac:dyDescent="0.25">
      <c r="A107" s="1">
        <v>2024</v>
      </c>
      <c r="B107" s="1">
        <v>5</v>
      </c>
      <c r="C107" s="1">
        <v>29</v>
      </c>
      <c r="D107">
        <v>11.358000000000001</v>
      </c>
      <c r="E107">
        <f t="shared" si="4"/>
        <v>436.96999999999997</v>
      </c>
      <c r="F107" t="s">
        <v>37</v>
      </c>
      <c r="G107" t="s">
        <v>38</v>
      </c>
    </row>
    <row r="108" spans="1:7" x14ac:dyDescent="0.25">
      <c r="A108" s="1">
        <v>2024</v>
      </c>
      <c r="B108" s="1">
        <v>5</v>
      </c>
      <c r="C108" s="1">
        <v>31</v>
      </c>
      <c r="D108">
        <v>2.7240000000000002</v>
      </c>
      <c r="E108">
        <f t="shared" si="4"/>
        <v>439.69399999999996</v>
      </c>
      <c r="F108" t="s">
        <v>39</v>
      </c>
      <c r="G108" t="s">
        <v>20</v>
      </c>
    </row>
    <row r="109" spans="1:7" x14ac:dyDescent="0.25">
      <c r="A109" s="1">
        <v>2024</v>
      </c>
      <c r="B109" s="1">
        <v>5</v>
      </c>
      <c r="C109" s="1">
        <v>31</v>
      </c>
      <c r="D109">
        <v>5.9939999999999998</v>
      </c>
      <c r="E109">
        <f t="shared" si="4"/>
        <v>445.68799999999999</v>
      </c>
      <c r="F109" t="s">
        <v>42</v>
      </c>
      <c r="G109" t="s">
        <v>20</v>
      </c>
    </row>
    <row r="110" spans="1:7" x14ac:dyDescent="0.25">
      <c r="A110" s="1">
        <v>2024</v>
      </c>
      <c r="B110" s="1">
        <v>6</v>
      </c>
      <c r="C110" s="1">
        <v>3</v>
      </c>
      <c r="D110">
        <v>16.163</v>
      </c>
      <c r="E110">
        <f>D110</f>
        <v>16.163</v>
      </c>
      <c r="F110" t="s">
        <v>11</v>
      </c>
      <c r="G110" t="s">
        <v>12</v>
      </c>
    </row>
    <row r="111" spans="1:7" x14ac:dyDescent="0.25">
      <c r="A111" s="1">
        <v>2024</v>
      </c>
      <c r="B111" s="1">
        <v>6</v>
      </c>
      <c r="C111" s="1">
        <v>4</v>
      </c>
      <c r="D111">
        <v>91.677000000000007</v>
      </c>
      <c r="E111">
        <f t="shared" ref="E111:E116" si="5">E110+D111</f>
        <v>107.84</v>
      </c>
      <c r="F111" t="s">
        <v>4</v>
      </c>
      <c r="G111" t="s">
        <v>5</v>
      </c>
    </row>
    <row r="112" spans="1:7" x14ac:dyDescent="0.25">
      <c r="A112" s="1">
        <v>2024</v>
      </c>
      <c r="B112" s="1">
        <v>6</v>
      </c>
      <c r="C112" s="1">
        <v>12</v>
      </c>
      <c r="D112">
        <v>15.817</v>
      </c>
      <c r="E112">
        <f t="shared" si="5"/>
        <v>123.65700000000001</v>
      </c>
      <c r="F112" t="s">
        <v>11</v>
      </c>
      <c r="G112" t="s">
        <v>12</v>
      </c>
    </row>
    <row r="113" spans="1:7" x14ac:dyDescent="0.25">
      <c r="A113" s="1">
        <v>2024</v>
      </c>
      <c r="B113" s="1">
        <v>6</v>
      </c>
      <c r="C113" s="1">
        <v>13</v>
      </c>
      <c r="D113">
        <v>9.6739999999999995</v>
      </c>
      <c r="E113">
        <f t="shared" si="5"/>
        <v>133.33100000000002</v>
      </c>
      <c r="F113" t="s">
        <v>7</v>
      </c>
      <c r="G113" t="s">
        <v>8</v>
      </c>
    </row>
    <row r="114" spans="1:7" x14ac:dyDescent="0.25">
      <c r="A114" s="1">
        <v>2024</v>
      </c>
      <c r="B114" s="1">
        <v>6</v>
      </c>
      <c r="C114" s="1">
        <v>19</v>
      </c>
      <c r="D114">
        <v>16.707000000000001</v>
      </c>
      <c r="E114">
        <f t="shared" si="5"/>
        <v>150.03800000000001</v>
      </c>
      <c r="F114" t="s">
        <v>11</v>
      </c>
      <c r="G114" t="s">
        <v>12</v>
      </c>
    </row>
    <row r="115" spans="1:7" x14ac:dyDescent="0.25">
      <c r="A115" s="1">
        <v>2024</v>
      </c>
      <c r="B115" s="1">
        <v>6</v>
      </c>
      <c r="C115" s="1">
        <v>22</v>
      </c>
      <c r="D115">
        <v>16.933</v>
      </c>
      <c r="E115">
        <f t="shared" si="5"/>
        <v>166.971</v>
      </c>
      <c r="F115" t="s">
        <v>11</v>
      </c>
      <c r="G115" t="s">
        <v>12</v>
      </c>
    </row>
    <row r="116" spans="1:7" x14ac:dyDescent="0.25">
      <c r="A116" s="1">
        <v>2024</v>
      </c>
      <c r="B116" s="1">
        <v>6</v>
      </c>
      <c r="C116" s="1">
        <v>28</v>
      </c>
      <c r="D116">
        <v>16.707000000000001</v>
      </c>
      <c r="E116">
        <f t="shared" si="5"/>
        <v>183.678</v>
      </c>
      <c r="F116" t="s">
        <v>11</v>
      </c>
      <c r="G116" t="s">
        <v>12</v>
      </c>
    </row>
    <row r="117" spans="1:7" x14ac:dyDescent="0.25">
      <c r="A117" s="1">
        <v>2024</v>
      </c>
      <c r="B117" s="1">
        <v>7</v>
      </c>
      <c r="C117" s="1">
        <v>2</v>
      </c>
      <c r="D117">
        <v>52.012</v>
      </c>
      <c r="E117">
        <f>D117</f>
        <v>52.012</v>
      </c>
      <c r="F117" t="s">
        <v>43</v>
      </c>
      <c r="G117" t="s">
        <v>44</v>
      </c>
    </row>
    <row r="118" spans="1:7" x14ac:dyDescent="0.25">
      <c r="A118" s="1">
        <v>2024</v>
      </c>
      <c r="B118" s="1">
        <v>7</v>
      </c>
      <c r="C118" s="1">
        <v>4</v>
      </c>
      <c r="D118">
        <v>15.817</v>
      </c>
      <c r="E118">
        <f>E117+D118</f>
        <v>67.829000000000008</v>
      </c>
      <c r="F118" t="s">
        <v>11</v>
      </c>
      <c r="G118" t="s">
        <v>12</v>
      </c>
    </row>
    <row r="119" spans="1:7" x14ac:dyDescent="0.25">
      <c r="A119" s="1">
        <v>2024</v>
      </c>
      <c r="B119" s="1">
        <v>7</v>
      </c>
      <c r="C119" s="1">
        <v>9</v>
      </c>
      <c r="D119">
        <v>10.177</v>
      </c>
      <c r="E119">
        <f t="shared" ref="E119:E136" si="6">E118+D119</f>
        <v>78.006</v>
      </c>
      <c r="F119" t="s">
        <v>11</v>
      </c>
      <c r="G119" t="s">
        <v>12</v>
      </c>
    </row>
    <row r="120" spans="1:7" x14ac:dyDescent="0.25">
      <c r="A120" s="1">
        <v>2024</v>
      </c>
      <c r="B120" s="1">
        <v>7</v>
      </c>
      <c r="C120" s="1">
        <v>10</v>
      </c>
      <c r="D120">
        <v>37.780999999999999</v>
      </c>
      <c r="E120">
        <f t="shared" si="6"/>
        <v>115.78700000000001</v>
      </c>
      <c r="F120" t="s">
        <v>45</v>
      </c>
      <c r="G120" t="s">
        <v>28</v>
      </c>
    </row>
    <row r="121" spans="1:7" x14ac:dyDescent="0.25">
      <c r="A121" s="1">
        <v>2024</v>
      </c>
      <c r="B121" s="1">
        <v>7</v>
      </c>
      <c r="C121" s="1">
        <v>11</v>
      </c>
      <c r="D121">
        <v>2.77</v>
      </c>
      <c r="E121">
        <f t="shared" si="6"/>
        <v>118.557</v>
      </c>
      <c r="F121" t="s">
        <v>27</v>
      </c>
      <c r="G121" t="s">
        <v>28</v>
      </c>
    </row>
    <row r="122" spans="1:7" x14ac:dyDescent="0.25">
      <c r="A122" s="1">
        <v>2024</v>
      </c>
      <c r="B122" s="1">
        <v>7</v>
      </c>
      <c r="C122" s="1">
        <v>12</v>
      </c>
      <c r="D122">
        <v>15.779</v>
      </c>
      <c r="E122">
        <f t="shared" si="6"/>
        <v>134.33600000000001</v>
      </c>
      <c r="F122" t="s">
        <v>11</v>
      </c>
      <c r="G122" t="s">
        <v>12</v>
      </c>
    </row>
    <row r="123" spans="1:7" x14ac:dyDescent="0.25">
      <c r="A123" s="1">
        <v>2024</v>
      </c>
      <c r="B123" s="1">
        <v>7</v>
      </c>
      <c r="C123" s="1">
        <v>13</v>
      </c>
      <c r="D123">
        <v>2.1789999999999998</v>
      </c>
      <c r="E123">
        <f t="shared" si="6"/>
        <v>136.51500000000001</v>
      </c>
      <c r="F123" t="s">
        <v>39</v>
      </c>
      <c r="G123" t="s">
        <v>20</v>
      </c>
    </row>
    <row r="124" spans="1:7" x14ac:dyDescent="0.25">
      <c r="A124" s="1">
        <v>2024</v>
      </c>
      <c r="B124" s="1">
        <v>7</v>
      </c>
      <c r="C124" s="1">
        <v>13</v>
      </c>
      <c r="D124">
        <v>41.384</v>
      </c>
      <c r="E124">
        <f t="shared" si="6"/>
        <v>177.899</v>
      </c>
      <c r="F124" t="s">
        <v>30</v>
      </c>
      <c r="G124" t="s">
        <v>31</v>
      </c>
    </row>
    <row r="125" spans="1:7" x14ac:dyDescent="0.25">
      <c r="A125" s="1">
        <v>2024</v>
      </c>
      <c r="B125" s="1">
        <v>7</v>
      </c>
      <c r="C125" s="1">
        <v>13</v>
      </c>
      <c r="D125">
        <v>5.4489999999999998</v>
      </c>
      <c r="E125">
        <f t="shared" si="6"/>
        <v>183.34800000000001</v>
      </c>
      <c r="F125" t="s">
        <v>39</v>
      </c>
      <c r="G125" t="s">
        <v>20</v>
      </c>
    </row>
    <row r="126" spans="1:7" x14ac:dyDescent="0.25">
      <c r="A126" s="1">
        <v>2024</v>
      </c>
      <c r="B126" s="1">
        <v>7</v>
      </c>
      <c r="C126" s="1">
        <v>14</v>
      </c>
      <c r="D126">
        <v>95.991</v>
      </c>
      <c r="E126">
        <f t="shared" si="6"/>
        <v>279.339</v>
      </c>
      <c r="F126" t="s">
        <v>4</v>
      </c>
      <c r="G126" t="s">
        <v>5</v>
      </c>
    </row>
    <row r="127" spans="1:7" x14ac:dyDescent="0.25">
      <c r="A127" s="1">
        <v>2024</v>
      </c>
      <c r="B127" s="1">
        <v>7</v>
      </c>
      <c r="C127" s="1">
        <v>16</v>
      </c>
      <c r="D127">
        <v>50.362000000000002</v>
      </c>
      <c r="E127">
        <f t="shared" si="6"/>
        <v>329.70100000000002</v>
      </c>
      <c r="F127" t="s">
        <v>15</v>
      </c>
      <c r="G127" t="s">
        <v>10</v>
      </c>
    </row>
    <row r="128" spans="1:7" x14ac:dyDescent="0.25">
      <c r="A128" s="1">
        <v>2024</v>
      </c>
      <c r="B128" s="1">
        <v>7</v>
      </c>
      <c r="C128" s="1">
        <v>19</v>
      </c>
      <c r="D128">
        <v>41.08</v>
      </c>
      <c r="E128">
        <f t="shared" si="6"/>
        <v>370.78100000000001</v>
      </c>
      <c r="F128" t="s">
        <v>26</v>
      </c>
      <c r="G128" t="s">
        <v>22</v>
      </c>
    </row>
    <row r="129" spans="1:7" x14ac:dyDescent="0.25">
      <c r="A129" s="1">
        <v>2024</v>
      </c>
      <c r="B129" s="1">
        <v>7</v>
      </c>
      <c r="C129" s="1">
        <v>19</v>
      </c>
      <c r="D129">
        <v>58.692999999999998</v>
      </c>
      <c r="E129">
        <f t="shared" si="6"/>
        <v>429.47399999999999</v>
      </c>
      <c r="F129" t="s">
        <v>26</v>
      </c>
      <c r="G129" t="s">
        <v>22</v>
      </c>
    </row>
    <row r="130" spans="1:7" x14ac:dyDescent="0.25">
      <c r="A130" s="1">
        <v>2024</v>
      </c>
      <c r="B130" s="1">
        <v>7</v>
      </c>
      <c r="C130" s="1">
        <v>19</v>
      </c>
      <c r="D130">
        <v>44.036000000000001</v>
      </c>
      <c r="E130">
        <f t="shared" si="6"/>
        <v>473.51</v>
      </c>
      <c r="F130" t="s">
        <v>26</v>
      </c>
      <c r="G130" t="s">
        <v>22</v>
      </c>
    </row>
    <row r="131" spans="1:7" x14ac:dyDescent="0.25">
      <c r="A131" s="1">
        <v>2024</v>
      </c>
      <c r="B131" s="1">
        <v>7</v>
      </c>
      <c r="C131" s="1">
        <v>20</v>
      </c>
      <c r="D131">
        <v>9.4979999999999993</v>
      </c>
      <c r="E131">
        <f t="shared" si="6"/>
        <v>483.00799999999998</v>
      </c>
      <c r="F131" t="s">
        <v>11</v>
      </c>
      <c r="G131" t="s">
        <v>12</v>
      </c>
    </row>
    <row r="132" spans="1:7" x14ac:dyDescent="0.25">
      <c r="A132" s="1">
        <v>2024</v>
      </c>
      <c r="B132" s="1">
        <v>7</v>
      </c>
      <c r="C132" s="1">
        <v>22</v>
      </c>
      <c r="D132">
        <v>16.661000000000001</v>
      </c>
      <c r="E132">
        <f t="shared" si="6"/>
        <v>499.66899999999998</v>
      </c>
      <c r="F132" t="s">
        <v>11</v>
      </c>
      <c r="G132" t="s">
        <v>12</v>
      </c>
    </row>
    <row r="133" spans="1:7" x14ac:dyDescent="0.25">
      <c r="A133" s="1">
        <v>2024</v>
      </c>
      <c r="B133" s="1">
        <v>7</v>
      </c>
      <c r="C133" s="1">
        <v>25</v>
      </c>
      <c r="D133">
        <v>27.738</v>
      </c>
      <c r="E133">
        <f t="shared" si="6"/>
        <v>527.40699999999993</v>
      </c>
      <c r="F133" t="s">
        <v>9</v>
      </c>
      <c r="G133" t="s">
        <v>10</v>
      </c>
    </row>
    <row r="134" spans="1:7" x14ac:dyDescent="0.25">
      <c r="A134" s="1">
        <v>2024</v>
      </c>
      <c r="B134" s="1">
        <v>7</v>
      </c>
      <c r="C134" s="1">
        <v>28</v>
      </c>
      <c r="D134">
        <v>8.1419999999999995</v>
      </c>
      <c r="E134">
        <f t="shared" si="6"/>
        <v>535.54899999999998</v>
      </c>
      <c r="F134" t="s">
        <v>11</v>
      </c>
      <c r="G134" t="s">
        <v>12</v>
      </c>
    </row>
    <row r="135" spans="1:7" x14ac:dyDescent="0.25">
      <c r="A135" s="1">
        <v>2024</v>
      </c>
      <c r="B135" s="1">
        <v>7</v>
      </c>
      <c r="C135" s="1">
        <v>31</v>
      </c>
      <c r="D135">
        <v>28.7</v>
      </c>
      <c r="E135">
        <f t="shared" si="6"/>
        <v>564.24900000000002</v>
      </c>
      <c r="F135" t="s">
        <v>15</v>
      </c>
      <c r="G135" t="s">
        <v>10</v>
      </c>
    </row>
    <row r="136" spans="1:7" x14ac:dyDescent="0.25">
      <c r="A136" s="1">
        <v>2024</v>
      </c>
      <c r="B136" s="1">
        <v>7</v>
      </c>
      <c r="C136" s="1">
        <v>31</v>
      </c>
      <c r="D136">
        <v>16.933</v>
      </c>
      <c r="E136">
        <f t="shared" si="6"/>
        <v>581.18200000000002</v>
      </c>
      <c r="F136" t="s">
        <v>11</v>
      </c>
      <c r="G136" t="s">
        <v>12</v>
      </c>
    </row>
    <row r="137" spans="1:7" x14ac:dyDescent="0.25">
      <c r="A137" s="1">
        <v>2024</v>
      </c>
      <c r="B137" s="1">
        <v>8</v>
      </c>
      <c r="C137" s="1">
        <v>3</v>
      </c>
      <c r="D137">
        <v>16.661000000000001</v>
      </c>
      <c r="E137">
        <f>D137</f>
        <v>16.661000000000001</v>
      </c>
      <c r="F137" t="s">
        <v>11</v>
      </c>
      <c r="G137" t="s">
        <v>12</v>
      </c>
    </row>
    <row r="138" spans="1:7" x14ac:dyDescent="0.25">
      <c r="A138" s="1">
        <v>2024</v>
      </c>
      <c r="B138" s="1">
        <v>8</v>
      </c>
      <c r="C138" s="1">
        <v>7</v>
      </c>
      <c r="D138">
        <v>16.722000000000001</v>
      </c>
      <c r="E138">
        <f>E137+D138</f>
        <v>33.383000000000003</v>
      </c>
      <c r="F138" t="s">
        <v>11</v>
      </c>
      <c r="G138" t="s">
        <v>12</v>
      </c>
    </row>
    <row r="139" spans="1:7" x14ac:dyDescent="0.25">
      <c r="A139" s="1">
        <v>2024</v>
      </c>
      <c r="B139" s="1">
        <v>8</v>
      </c>
      <c r="C139" s="1">
        <v>11</v>
      </c>
      <c r="D139">
        <v>16.715</v>
      </c>
      <c r="E139">
        <f t="shared" ref="E139:E152" si="7">E138+D139</f>
        <v>50.097999999999999</v>
      </c>
      <c r="F139" t="s">
        <v>11</v>
      </c>
      <c r="G139" t="s">
        <v>12</v>
      </c>
    </row>
    <row r="140" spans="1:7" x14ac:dyDescent="0.25">
      <c r="A140" s="1">
        <v>2024</v>
      </c>
      <c r="B140" s="1">
        <v>8</v>
      </c>
      <c r="C140" s="1">
        <v>12</v>
      </c>
      <c r="D140">
        <v>76.334000000000003</v>
      </c>
      <c r="E140">
        <f t="shared" si="7"/>
        <v>126.432</v>
      </c>
      <c r="F140" t="s">
        <v>9</v>
      </c>
      <c r="G140" t="s">
        <v>10</v>
      </c>
    </row>
    <row r="141" spans="1:7" x14ac:dyDescent="0.25">
      <c r="A141" s="1">
        <v>2024</v>
      </c>
      <c r="B141" s="1">
        <v>8</v>
      </c>
      <c r="C141" s="1">
        <v>13</v>
      </c>
      <c r="D141">
        <v>54.38</v>
      </c>
      <c r="E141">
        <f t="shared" si="7"/>
        <v>180.81200000000001</v>
      </c>
      <c r="F141" t="s">
        <v>15</v>
      </c>
      <c r="G141" t="s">
        <v>10</v>
      </c>
    </row>
    <row r="142" spans="1:7" x14ac:dyDescent="0.25">
      <c r="A142" s="1">
        <v>2024</v>
      </c>
      <c r="B142" s="1">
        <v>8</v>
      </c>
      <c r="C142" s="1">
        <v>15</v>
      </c>
      <c r="D142">
        <v>16.722000000000001</v>
      </c>
      <c r="E142">
        <f t="shared" si="7"/>
        <v>197.53400000000002</v>
      </c>
      <c r="F142" t="s">
        <v>11</v>
      </c>
      <c r="G142" t="s">
        <v>12</v>
      </c>
    </row>
    <row r="143" spans="1:7" x14ac:dyDescent="0.25">
      <c r="A143" s="1">
        <v>2024</v>
      </c>
      <c r="B143" s="1">
        <v>8</v>
      </c>
      <c r="C143" s="1">
        <v>17</v>
      </c>
      <c r="D143">
        <v>47.362000000000002</v>
      </c>
      <c r="E143">
        <f t="shared" si="7"/>
        <v>244.89600000000002</v>
      </c>
      <c r="F143" t="s">
        <v>4</v>
      </c>
      <c r="G143" t="s">
        <v>5</v>
      </c>
    </row>
    <row r="144" spans="1:7" x14ac:dyDescent="0.25">
      <c r="A144" s="1">
        <v>2024</v>
      </c>
      <c r="B144" s="1">
        <v>8</v>
      </c>
      <c r="C144" s="1">
        <v>18</v>
      </c>
      <c r="D144">
        <v>6.7690000000000001</v>
      </c>
      <c r="E144">
        <f t="shared" si="7"/>
        <v>251.66500000000002</v>
      </c>
      <c r="F144" t="s">
        <v>11</v>
      </c>
      <c r="G144" t="s">
        <v>12</v>
      </c>
    </row>
    <row r="145" spans="1:7" x14ac:dyDescent="0.25">
      <c r="A145" s="1">
        <v>2024</v>
      </c>
      <c r="B145" s="1">
        <v>8</v>
      </c>
      <c r="C145" s="1">
        <v>19</v>
      </c>
      <c r="D145">
        <v>48.941000000000003</v>
      </c>
      <c r="E145">
        <f t="shared" si="7"/>
        <v>300.60599999999999</v>
      </c>
      <c r="F145" t="s">
        <v>4</v>
      </c>
      <c r="G145" t="s">
        <v>5</v>
      </c>
    </row>
    <row r="146" spans="1:7" x14ac:dyDescent="0.25">
      <c r="A146" s="1">
        <v>2024</v>
      </c>
      <c r="B146" s="1">
        <v>8</v>
      </c>
      <c r="C146" s="1">
        <v>24</v>
      </c>
      <c r="D146">
        <v>16.722000000000001</v>
      </c>
      <c r="E146">
        <f t="shared" si="7"/>
        <v>317.32799999999997</v>
      </c>
      <c r="F146" t="s">
        <v>11</v>
      </c>
      <c r="G146" t="s">
        <v>12</v>
      </c>
    </row>
    <row r="147" spans="1:7" x14ac:dyDescent="0.25">
      <c r="A147" s="1">
        <v>2024</v>
      </c>
      <c r="B147" s="1">
        <v>8</v>
      </c>
      <c r="C147" s="1">
        <v>25</v>
      </c>
      <c r="D147">
        <v>8.1750000000000007</v>
      </c>
      <c r="E147">
        <f t="shared" si="7"/>
        <v>325.50299999999999</v>
      </c>
      <c r="F147" t="s">
        <v>39</v>
      </c>
      <c r="G147" t="s">
        <v>20</v>
      </c>
    </row>
    <row r="148" spans="1:7" x14ac:dyDescent="0.25">
      <c r="A148" s="1">
        <v>2024</v>
      </c>
      <c r="B148" s="1">
        <v>8</v>
      </c>
      <c r="C148" s="1">
        <v>30</v>
      </c>
      <c r="D148">
        <v>43.225000000000001</v>
      </c>
      <c r="E148">
        <f t="shared" si="7"/>
        <v>368.72800000000001</v>
      </c>
      <c r="F148" t="s">
        <v>26</v>
      </c>
      <c r="G148" t="s">
        <v>22</v>
      </c>
    </row>
    <row r="149" spans="1:7" x14ac:dyDescent="0.25">
      <c r="A149" s="1">
        <v>2024</v>
      </c>
      <c r="B149" s="1">
        <v>8</v>
      </c>
      <c r="C149" s="1">
        <v>30</v>
      </c>
      <c r="D149">
        <v>36.651000000000003</v>
      </c>
      <c r="E149">
        <f t="shared" si="7"/>
        <v>405.37900000000002</v>
      </c>
      <c r="F149" t="s">
        <v>26</v>
      </c>
      <c r="G149" t="s">
        <v>22</v>
      </c>
    </row>
    <row r="150" spans="1:7" x14ac:dyDescent="0.25">
      <c r="A150" s="1">
        <v>2024</v>
      </c>
      <c r="B150" s="1">
        <v>8</v>
      </c>
      <c r="C150" s="1">
        <v>30</v>
      </c>
      <c r="D150">
        <v>22.167000000000002</v>
      </c>
      <c r="E150">
        <f t="shared" si="7"/>
        <v>427.54600000000005</v>
      </c>
      <c r="F150" t="s">
        <v>29</v>
      </c>
      <c r="G150" t="s">
        <v>22</v>
      </c>
    </row>
    <row r="151" spans="1:7" x14ac:dyDescent="0.25">
      <c r="A151" s="1">
        <v>2024</v>
      </c>
      <c r="B151" s="1">
        <v>8</v>
      </c>
      <c r="C151" s="1">
        <v>30</v>
      </c>
      <c r="D151">
        <v>19.568999999999999</v>
      </c>
      <c r="E151">
        <f t="shared" si="7"/>
        <v>447.11500000000007</v>
      </c>
      <c r="F151" t="s">
        <v>26</v>
      </c>
      <c r="G151" t="s">
        <v>22</v>
      </c>
    </row>
    <row r="152" spans="1:7" x14ac:dyDescent="0.25">
      <c r="A152" s="1">
        <v>2024</v>
      </c>
      <c r="B152" s="1">
        <v>8</v>
      </c>
      <c r="C152" s="1">
        <v>30</v>
      </c>
      <c r="D152">
        <v>27.195</v>
      </c>
      <c r="E152">
        <f t="shared" si="7"/>
        <v>474.31000000000006</v>
      </c>
      <c r="F152" t="s">
        <v>26</v>
      </c>
      <c r="G152" t="s">
        <v>22</v>
      </c>
    </row>
    <row r="153" spans="1:7" x14ac:dyDescent="0.25">
      <c r="A153" s="1">
        <v>2024</v>
      </c>
      <c r="B153" s="1">
        <v>9</v>
      </c>
      <c r="C153" s="1">
        <v>1</v>
      </c>
      <c r="D153">
        <v>13.044</v>
      </c>
      <c r="E153">
        <f>D153</f>
        <v>13.044</v>
      </c>
      <c r="F153" t="s">
        <v>11</v>
      </c>
      <c r="G153" t="s">
        <v>12</v>
      </c>
    </row>
    <row r="154" spans="1:7" x14ac:dyDescent="0.25">
      <c r="A154" s="1">
        <v>2024</v>
      </c>
      <c r="B154" s="1">
        <v>9</v>
      </c>
      <c r="C154" s="1">
        <v>4</v>
      </c>
      <c r="D154">
        <v>3.5059999999999998</v>
      </c>
      <c r="E154">
        <f>E153+D154</f>
        <v>16.55</v>
      </c>
      <c r="F154" t="s">
        <v>11</v>
      </c>
      <c r="G154" t="s">
        <v>12</v>
      </c>
    </row>
    <row r="155" spans="1:7" x14ac:dyDescent="0.25">
      <c r="A155" s="1">
        <v>2024</v>
      </c>
      <c r="B155" s="1">
        <v>9</v>
      </c>
      <c r="C155" s="1">
        <v>5</v>
      </c>
      <c r="D155">
        <v>8.59</v>
      </c>
      <c r="E155">
        <f t="shared" ref="E155:E170" si="8">E154+D155</f>
        <v>25.14</v>
      </c>
      <c r="F155" t="s">
        <v>11</v>
      </c>
      <c r="G155" t="s">
        <v>12</v>
      </c>
    </row>
    <row r="156" spans="1:7" x14ac:dyDescent="0.25">
      <c r="A156" s="1">
        <v>2024</v>
      </c>
      <c r="B156" s="1">
        <v>9</v>
      </c>
      <c r="C156" s="1">
        <v>5</v>
      </c>
      <c r="D156">
        <v>2.5430000000000001</v>
      </c>
      <c r="E156">
        <f t="shared" si="8"/>
        <v>27.683</v>
      </c>
      <c r="F156" t="s">
        <v>11</v>
      </c>
      <c r="G156" t="s">
        <v>12</v>
      </c>
    </row>
    <row r="157" spans="1:7" x14ac:dyDescent="0.25">
      <c r="A157" s="1">
        <v>2024</v>
      </c>
      <c r="B157" s="1">
        <v>9</v>
      </c>
      <c r="C157" s="1">
        <v>7</v>
      </c>
      <c r="D157">
        <v>4.5019999999999998</v>
      </c>
      <c r="E157">
        <f t="shared" si="8"/>
        <v>32.185000000000002</v>
      </c>
      <c r="F157" t="s">
        <v>46</v>
      </c>
      <c r="G157" t="s">
        <v>47</v>
      </c>
    </row>
    <row r="158" spans="1:7" x14ac:dyDescent="0.25">
      <c r="A158" s="1">
        <v>2024</v>
      </c>
      <c r="B158" s="1">
        <v>9</v>
      </c>
      <c r="C158" s="1">
        <v>7</v>
      </c>
      <c r="D158">
        <v>23.306999999999999</v>
      </c>
      <c r="E158">
        <f t="shared" si="8"/>
        <v>55.492000000000004</v>
      </c>
      <c r="F158" t="s">
        <v>48</v>
      </c>
      <c r="G158" t="s">
        <v>8</v>
      </c>
    </row>
    <row r="159" spans="1:7" x14ac:dyDescent="0.25">
      <c r="A159" s="1">
        <v>2024</v>
      </c>
      <c r="B159" s="1">
        <v>9</v>
      </c>
      <c r="C159" s="1">
        <v>9</v>
      </c>
      <c r="D159">
        <v>61.207999999999998</v>
      </c>
      <c r="E159">
        <f t="shared" si="8"/>
        <v>116.7</v>
      </c>
      <c r="F159" t="s">
        <v>15</v>
      </c>
      <c r="G159" t="s">
        <v>10</v>
      </c>
    </row>
    <row r="160" spans="1:7" x14ac:dyDescent="0.25">
      <c r="A160" s="1">
        <v>2024</v>
      </c>
      <c r="B160" s="1">
        <v>9</v>
      </c>
      <c r="C160" s="1">
        <v>10</v>
      </c>
      <c r="D160">
        <v>16.55</v>
      </c>
      <c r="E160">
        <f t="shared" si="8"/>
        <v>133.25</v>
      </c>
      <c r="F160" t="s">
        <v>11</v>
      </c>
      <c r="G160" t="s">
        <v>12</v>
      </c>
    </row>
    <row r="161" spans="1:7" x14ac:dyDescent="0.25">
      <c r="A161" s="1">
        <v>2024</v>
      </c>
      <c r="B161" s="1">
        <v>9</v>
      </c>
      <c r="C161" s="1">
        <v>12</v>
      </c>
      <c r="D161">
        <v>42.154000000000003</v>
      </c>
      <c r="E161">
        <f t="shared" si="8"/>
        <v>175.404</v>
      </c>
      <c r="F161" t="s">
        <v>49</v>
      </c>
      <c r="G161" t="s">
        <v>50</v>
      </c>
    </row>
    <row r="162" spans="1:7" x14ac:dyDescent="0.25">
      <c r="A162" s="1">
        <v>2024</v>
      </c>
      <c r="B162" s="1">
        <v>9</v>
      </c>
      <c r="C162" s="1">
        <v>13</v>
      </c>
      <c r="D162">
        <v>67.924999999999997</v>
      </c>
      <c r="E162">
        <f t="shared" si="8"/>
        <v>243.32900000000001</v>
      </c>
      <c r="F162" t="s">
        <v>4</v>
      </c>
      <c r="G162" t="s">
        <v>5</v>
      </c>
    </row>
    <row r="163" spans="1:7" x14ac:dyDescent="0.25">
      <c r="A163" s="1">
        <v>2024</v>
      </c>
      <c r="B163" s="1">
        <v>9</v>
      </c>
      <c r="C163" s="1">
        <v>13</v>
      </c>
      <c r="D163">
        <v>16.722000000000001</v>
      </c>
      <c r="E163">
        <f t="shared" si="8"/>
        <v>260.05099999999999</v>
      </c>
      <c r="F163" t="s">
        <v>11</v>
      </c>
      <c r="G163" t="s">
        <v>12</v>
      </c>
    </row>
    <row r="164" spans="1:7" x14ac:dyDescent="0.25">
      <c r="A164" s="1">
        <v>2024</v>
      </c>
      <c r="B164" s="1">
        <v>9</v>
      </c>
      <c r="C164" s="1">
        <v>18</v>
      </c>
      <c r="D164">
        <v>60.524999999999999</v>
      </c>
      <c r="E164">
        <f t="shared" si="8"/>
        <v>320.57599999999996</v>
      </c>
      <c r="F164" t="s">
        <v>13</v>
      </c>
      <c r="G164" t="s">
        <v>14</v>
      </c>
    </row>
    <row r="165" spans="1:7" x14ac:dyDescent="0.25">
      <c r="A165" s="1">
        <v>2024</v>
      </c>
      <c r="B165" s="1">
        <v>9</v>
      </c>
      <c r="C165" s="1">
        <v>20</v>
      </c>
      <c r="D165">
        <v>16.722000000000001</v>
      </c>
      <c r="E165">
        <f t="shared" si="8"/>
        <v>337.29799999999994</v>
      </c>
      <c r="F165" t="s">
        <v>11</v>
      </c>
      <c r="G165" t="s">
        <v>12</v>
      </c>
    </row>
    <row r="166" spans="1:7" x14ac:dyDescent="0.25">
      <c r="A166" s="1">
        <v>2024</v>
      </c>
      <c r="B166" s="1">
        <v>9</v>
      </c>
      <c r="C166" s="1">
        <v>23</v>
      </c>
      <c r="D166">
        <v>67.144999999999996</v>
      </c>
      <c r="E166">
        <f t="shared" si="8"/>
        <v>404.44299999999993</v>
      </c>
      <c r="F166" t="s">
        <v>15</v>
      </c>
      <c r="G166" t="s">
        <v>10</v>
      </c>
    </row>
    <row r="167" spans="1:7" x14ac:dyDescent="0.25">
      <c r="A167" s="1">
        <v>2024</v>
      </c>
      <c r="B167" s="1">
        <v>9</v>
      </c>
      <c r="C167" s="1">
        <v>23</v>
      </c>
      <c r="D167">
        <v>16.707000000000001</v>
      </c>
      <c r="E167">
        <f t="shared" si="8"/>
        <v>421.14999999999992</v>
      </c>
      <c r="F167" t="s">
        <v>11</v>
      </c>
      <c r="G167" t="s">
        <v>12</v>
      </c>
    </row>
    <row r="168" spans="1:7" x14ac:dyDescent="0.25">
      <c r="A168" s="1">
        <v>2024</v>
      </c>
      <c r="B168" s="1">
        <v>9</v>
      </c>
      <c r="C168" s="1">
        <v>24</v>
      </c>
      <c r="D168">
        <v>43.6</v>
      </c>
      <c r="E168">
        <f t="shared" si="8"/>
        <v>464.74999999999994</v>
      </c>
      <c r="F168" t="s">
        <v>30</v>
      </c>
      <c r="G168" t="s">
        <v>31</v>
      </c>
    </row>
    <row r="169" spans="1:7" x14ac:dyDescent="0.25">
      <c r="A169" s="1">
        <v>2024</v>
      </c>
      <c r="B169" s="1">
        <v>9</v>
      </c>
      <c r="C169" s="1">
        <v>26</v>
      </c>
      <c r="D169">
        <v>4.931</v>
      </c>
      <c r="E169">
        <f t="shared" si="8"/>
        <v>469.68099999999993</v>
      </c>
      <c r="F169" t="s">
        <v>7</v>
      </c>
      <c r="G169" t="s">
        <v>8</v>
      </c>
    </row>
    <row r="170" spans="1:7" x14ac:dyDescent="0.25">
      <c r="A170" s="1">
        <v>2024</v>
      </c>
      <c r="B170" s="1">
        <v>9</v>
      </c>
      <c r="C170" s="1">
        <v>29</v>
      </c>
      <c r="D170">
        <v>16.509</v>
      </c>
      <c r="E170">
        <f t="shared" si="8"/>
        <v>486.18999999999994</v>
      </c>
      <c r="F170" t="s">
        <v>11</v>
      </c>
      <c r="G170" t="s">
        <v>12</v>
      </c>
    </row>
    <row r="171" spans="1:7" x14ac:dyDescent="0.25">
      <c r="A171" s="1">
        <v>2024</v>
      </c>
      <c r="B171" s="1">
        <v>10</v>
      </c>
      <c r="C171" s="1">
        <v>2</v>
      </c>
      <c r="D171">
        <v>2.4550000000000001</v>
      </c>
      <c r="E171">
        <f>D171</f>
        <v>2.4550000000000001</v>
      </c>
      <c r="F171" t="s">
        <v>7</v>
      </c>
      <c r="G171" t="s">
        <v>8</v>
      </c>
    </row>
    <row r="172" spans="1:7" x14ac:dyDescent="0.25">
      <c r="A172" s="1">
        <v>2024</v>
      </c>
      <c r="B172" s="1">
        <v>10</v>
      </c>
      <c r="C172" s="1">
        <v>3</v>
      </c>
      <c r="D172">
        <v>16.722000000000001</v>
      </c>
      <c r="E172">
        <f>D172+E171</f>
        <v>19.177</v>
      </c>
      <c r="F172" t="s">
        <v>11</v>
      </c>
      <c r="G172" t="s">
        <v>12</v>
      </c>
    </row>
    <row r="173" spans="1:7" x14ac:dyDescent="0.25">
      <c r="A173" s="1">
        <v>2024</v>
      </c>
      <c r="B173" s="1">
        <v>10</v>
      </c>
      <c r="C173" s="1">
        <v>7</v>
      </c>
      <c r="D173">
        <v>70.039000000000001</v>
      </c>
      <c r="E173">
        <f t="shared" ref="E173:E184" si="9">D173+E172</f>
        <v>89.216000000000008</v>
      </c>
      <c r="F173" t="s">
        <v>9</v>
      </c>
      <c r="G173" t="s">
        <v>10</v>
      </c>
    </row>
    <row r="174" spans="1:7" x14ac:dyDescent="0.25">
      <c r="A174" s="1">
        <v>2024</v>
      </c>
      <c r="B174" s="1">
        <v>10</v>
      </c>
      <c r="C174" s="1">
        <v>7</v>
      </c>
      <c r="D174">
        <v>37.695</v>
      </c>
      <c r="E174">
        <f t="shared" si="9"/>
        <v>126.911</v>
      </c>
      <c r="F174" t="s">
        <v>35</v>
      </c>
      <c r="G174" t="s">
        <v>36</v>
      </c>
    </row>
    <row r="175" spans="1:7" x14ac:dyDescent="0.25">
      <c r="A175" s="1">
        <v>2024</v>
      </c>
      <c r="B175" s="1">
        <v>10</v>
      </c>
      <c r="C175" s="1">
        <v>7</v>
      </c>
      <c r="D175">
        <v>15.779</v>
      </c>
      <c r="E175">
        <f t="shared" si="9"/>
        <v>142.69</v>
      </c>
      <c r="F175" t="s">
        <v>11</v>
      </c>
      <c r="G175" t="s">
        <v>12</v>
      </c>
    </row>
    <row r="176" spans="1:7" x14ac:dyDescent="0.25">
      <c r="A176" s="1">
        <v>2024</v>
      </c>
      <c r="B176" s="1">
        <v>10</v>
      </c>
      <c r="C176" s="1">
        <v>10</v>
      </c>
      <c r="D176">
        <v>17.332999999999998</v>
      </c>
      <c r="E176">
        <f t="shared" si="9"/>
        <v>160.023</v>
      </c>
      <c r="F176" t="s">
        <v>13</v>
      </c>
      <c r="G176" t="s">
        <v>14</v>
      </c>
    </row>
    <row r="177" spans="1:29" x14ac:dyDescent="0.25">
      <c r="A177" s="1">
        <v>2024</v>
      </c>
      <c r="B177" s="1">
        <v>10</v>
      </c>
      <c r="C177" s="1">
        <v>14</v>
      </c>
      <c r="D177">
        <v>93.992000000000004</v>
      </c>
      <c r="E177">
        <f t="shared" si="9"/>
        <v>254.01499999999999</v>
      </c>
      <c r="F177" t="s">
        <v>4</v>
      </c>
      <c r="G177" t="s">
        <v>5</v>
      </c>
    </row>
    <row r="178" spans="1:29" x14ac:dyDescent="0.25">
      <c r="A178" s="1">
        <v>2024</v>
      </c>
      <c r="B178" s="1">
        <v>10</v>
      </c>
      <c r="C178" s="1">
        <v>16</v>
      </c>
      <c r="D178">
        <v>15.779</v>
      </c>
      <c r="E178">
        <f t="shared" si="9"/>
        <v>269.79399999999998</v>
      </c>
      <c r="F178" t="s">
        <v>11</v>
      </c>
      <c r="G178" t="s">
        <v>12</v>
      </c>
    </row>
    <row r="179" spans="1:29" x14ac:dyDescent="0.25">
      <c r="A179" s="1">
        <v>2024</v>
      </c>
      <c r="B179" s="1">
        <v>10</v>
      </c>
      <c r="C179" s="1">
        <v>19</v>
      </c>
      <c r="D179">
        <v>33.545000000000002</v>
      </c>
      <c r="E179">
        <f t="shared" si="9"/>
        <v>303.339</v>
      </c>
      <c r="F179" t="s">
        <v>51</v>
      </c>
      <c r="G179" t="s">
        <v>20</v>
      </c>
    </row>
    <row r="180" spans="1:29" x14ac:dyDescent="0.25">
      <c r="A180" s="1">
        <v>2024</v>
      </c>
      <c r="B180" s="1">
        <v>10</v>
      </c>
      <c r="C180" s="1">
        <v>24</v>
      </c>
      <c r="D180">
        <v>35.106999999999999</v>
      </c>
      <c r="E180">
        <f t="shared" si="9"/>
        <v>338.44600000000003</v>
      </c>
      <c r="F180" t="s">
        <v>15</v>
      </c>
      <c r="G180" t="s">
        <v>10</v>
      </c>
    </row>
    <row r="181" spans="1:29" x14ac:dyDescent="0.25">
      <c r="A181" s="1">
        <v>2024</v>
      </c>
      <c r="B181" s="1">
        <v>10</v>
      </c>
      <c r="C181" s="1">
        <v>26</v>
      </c>
      <c r="D181">
        <v>35.106999999999999</v>
      </c>
      <c r="E181">
        <f t="shared" si="9"/>
        <v>373.553</v>
      </c>
      <c r="F181" t="s">
        <v>15</v>
      </c>
      <c r="G181" t="s">
        <v>10</v>
      </c>
    </row>
    <row r="182" spans="1:29" x14ac:dyDescent="0.25">
      <c r="A182" s="1">
        <v>2024</v>
      </c>
      <c r="B182" s="1">
        <v>10</v>
      </c>
      <c r="C182" s="1">
        <v>26</v>
      </c>
      <c r="D182">
        <v>68.768000000000001</v>
      </c>
      <c r="E182">
        <f t="shared" si="9"/>
        <v>442.32100000000003</v>
      </c>
      <c r="F182" t="s">
        <v>13</v>
      </c>
      <c r="G182" t="s">
        <v>14</v>
      </c>
    </row>
    <row r="183" spans="1:29" x14ac:dyDescent="0.25">
      <c r="A183" s="1">
        <v>2024</v>
      </c>
      <c r="B183" s="1">
        <v>10</v>
      </c>
      <c r="C183" s="1">
        <v>27</v>
      </c>
      <c r="D183">
        <v>1.462</v>
      </c>
      <c r="E183">
        <f t="shared" si="9"/>
        <v>443.78300000000002</v>
      </c>
      <c r="F183" t="s">
        <v>52</v>
      </c>
      <c r="G183" t="s">
        <v>53</v>
      </c>
    </row>
    <row r="184" spans="1:29" x14ac:dyDescent="0.25">
      <c r="A184" s="1">
        <v>2024</v>
      </c>
      <c r="B184" s="1">
        <v>10</v>
      </c>
      <c r="C184" s="1">
        <v>28</v>
      </c>
      <c r="D184">
        <v>16.722000000000001</v>
      </c>
      <c r="E184">
        <f t="shared" si="9"/>
        <v>460.505</v>
      </c>
      <c r="F184" t="s">
        <v>11</v>
      </c>
      <c r="G184" t="s">
        <v>12</v>
      </c>
    </row>
    <row r="185" spans="1:29" x14ac:dyDescent="0.25">
      <c r="A185" s="1">
        <v>2024</v>
      </c>
      <c r="B185" s="1">
        <v>10</v>
      </c>
      <c r="C185" s="1">
        <v>31</v>
      </c>
      <c r="D185">
        <v>16.594000000000001</v>
      </c>
      <c r="E185">
        <f>D185+E184</f>
        <v>477.09899999999999</v>
      </c>
      <c r="F185" t="s">
        <v>11</v>
      </c>
      <c r="G185" t="s">
        <v>12</v>
      </c>
      <c r="AA185" t="s">
        <v>142</v>
      </c>
    </row>
    <row r="186" spans="1:29" x14ac:dyDescent="0.25">
      <c r="A186" s="1">
        <v>2024</v>
      </c>
      <c r="B186" s="1">
        <v>11</v>
      </c>
      <c r="C186" s="1">
        <v>1</v>
      </c>
      <c r="D186" s="1">
        <v>9.5</v>
      </c>
      <c r="E186" s="1">
        <f>D186</f>
        <v>9.5</v>
      </c>
      <c r="F186" s="1"/>
      <c r="G186" s="1" t="s">
        <v>6</v>
      </c>
      <c r="H186" s="1"/>
      <c r="I186" s="1"/>
      <c r="J186" s="1"/>
      <c r="Z186">
        <f>A186</f>
        <v>2024</v>
      </c>
      <c r="AA186">
        <f>B186</f>
        <v>11</v>
      </c>
      <c r="AB186" s="1">
        <f>C186</f>
        <v>1</v>
      </c>
      <c r="AC186" s="1">
        <f>59.5</f>
        <v>59.5</v>
      </c>
    </row>
    <row r="187" spans="1:29" x14ac:dyDescent="0.25">
      <c r="A187" s="1">
        <v>2024</v>
      </c>
      <c r="B187" s="1">
        <v>11</v>
      </c>
      <c r="C187" s="1">
        <v>1</v>
      </c>
      <c r="D187" s="1">
        <v>-11</v>
      </c>
      <c r="E187" s="1">
        <f>E186+D187</f>
        <v>-1.5</v>
      </c>
      <c r="F187" s="1"/>
      <c r="G187" s="1" t="s">
        <v>6</v>
      </c>
      <c r="H187" s="1"/>
      <c r="I187" s="1"/>
      <c r="J187" s="1"/>
      <c r="Z187">
        <f t="shared" ref="Z187:Z250" si="10">A187</f>
        <v>2024</v>
      </c>
      <c r="AA187">
        <f t="shared" ref="AA187:AA250" si="11">B187</f>
        <v>11</v>
      </c>
      <c r="AB187" s="1">
        <f t="shared" ref="AB187:AB250" si="12">C187</f>
        <v>1</v>
      </c>
      <c r="AC187" s="1">
        <f>AC186+D187</f>
        <v>48.5</v>
      </c>
    </row>
    <row r="188" spans="1:29" x14ac:dyDescent="0.25">
      <c r="A188" s="1">
        <v>2024</v>
      </c>
      <c r="B188" s="1">
        <v>11</v>
      </c>
      <c r="C188" s="1">
        <v>2</v>
      </c>
      <c r="D188" s="1">
        <v>8.6</v>
      </c>
      <c r="E188" s="1">
        <f t="shared" ref="E188:E210" si="13">E187+D188</f>
        <v>7.1</v>
      </c>
      <c r="F188" s="1"/>
      <c r="G188" s="1" t="s">
        <v>14</v>
      </c>
      <c r="H188" s="1"/>
      <c r="I188" s="1"/>
      <c r="J188" s="1"/>
      <c r="Z188">
        <f t="shared" si="10"/>
        <v>2024</v>
      </c>
      <c r="AA188">
        <f t="shared" si="11"/>
        <v>11</v>
      </c>
      <c r="AB188" s="1">
        <f t="shared" si="12"/>
        <v>2</v>
      </c>
      <c r="AC188" s="1">
        <f t="shared" ref="AC188:AC251" si="14">AC187+D188</f>
        <v>57.1</v>
      </c>
    </row>
    <row r="189" spans="1:29" x14ac:dyDescent="0.25">
      <c r="A189" s="1">
        <v>2024</v>
      </c>
      <c r="B189" s="1">
        <v>11</v>
      </c>
      <c r="C189" s="1">
        <v>3</v>
      </c>
      <c r="D189" s="1">
        <v>16.100000000000001</v>
      </c>
      <c r="E189" s="1">
        <f t="shared" si="13"/>
        <v>23.200000000000003</v>
      </c>
      <c r="F189" s="1"/>
      <c r="G189" s="1" t="s">
        <v>12</v>
      </c>
      <c r="H189" s="1"/>
      <c r="I189" s="1"/>
      <c r="J189" s="1"/>
      <c r="Z189">
        <f t="shared" si="10"/>
        <v>2024</v>
      </c>
      <c r="AA189">
        <f t="shared" si="11"/>
        <v>11</v>
      </c>
      <c r="AB189" s="1">
        <f t="shared" si="12"/>
        <v>3</v>
      </c>
      <c r="AC189" s="1">
        <f t="shared" si="14"/>
        <v>73.2</v>
      </c>
    </row>
    <row r="190" spans="1:29" x14ac:dyDescent="0.25">
      <c r="A190" s="1">
        <v>2024</v>
      </c>
      <c r="B190" s="1">
        <v>11</v>
      </c>
      <c r="C190" s="1">
        <v>4</v>
      </c>
      <c r="D190" s="1">
        <v>2.2999999999999998</v>
      </c>
      <c r="E190" s="1">
        <f t="shared" si="13"/>
        <v>25.500000000000004</v>
      </c>
      <c r="F190" s="1"/>
      <c r="G190" s="1" t="s">
        <v>36</v>
      </c>
      <c r="H190" s="1"/>
      <c r="I190" s="1"/>
      <c r="J190" s="1"/>
      <c r="Z190">
        <f t="shared" si="10"/>
        <v>2024</v>
      </c>
      <c r="AA190">
        <f t="shared" si="11"/>
        <v>11</v>
      </c>
      <c r="AB190" s="1">
        <f t="shared" si="12"/>
        <v>4</v>
      </c>
      <c r="AC190" s="1">
        <f t="shared" si="14"/>
        <v>75.5</v>
      </c>
    </row>
    <row r="191" spans="1:29" x14ac:dyDescent="0.25">
      <c r="A191" s="1">
        <v>2024</v>
      </c>
      <c r="B191" s="1">
        <v>11</v>
      </c>
      <c r="C191" s="1">
        <v>5</v>
      </c>
      <c r="D191" s="1">
        <v>100.5</v>
      </c>
      <c r="E191" s="1">
        <f t="shared" si="13"/>
        <v>126</v>
      </c>
      <c r="F191" s="1" t="s">
        <v>30</v>
      </c>
      <c r="G191" t="s">
        <v>31</v>
      </c>
      <c r="H191" s="1"/>
      <c r="I191" s="1"/>
      <c r="J191" s="1"/>
      <c r="Z191">
        <f t="shared" si="10"/>
        <v>2024</v>
      </c>
      <c r="AA191">
        <f t="shared" si="11"/>
        <v>11</v>
      </c>
      <c r="AB191" s="1">
        <f t="shared" si="12"/>
        <v>5</v>
      </c>
      <c r="AC191" s="1">
        <f t="shared" si="14"/>
        <v>176</v>
      </c>
    </row>
    <row r="192" spans="1:29" x14ac:dyDescent="0.25">
      <c r="A192" s="1">
        <v>2024</v>
      </c>
      <c r="B192" s="1">
        <v>11</v>
      </c>
      <c r="C192" s="1">
        <v>5</v>
      </c>
      <c r="D192" s="1">
        <v>-12.4</v>
      </c>
      <c r="E192" s="1">
        <f t="shared" si="13"/>
        <v>113.6</v>
      </c>
      <c r="F192" s="1"/>
      <c r="G192" t="s">
        <v>47</v>
      </c>
      <c r="H192" s="1"/>
      <c r="I192" s="1"/>
      <c r="J192" s="1"/>
      <c r="Z192">
        <f t="shared" si="10"/>
        <v>2024</v>
      </c>
      <c r="AA192">
        <f t="shared" si="11"/>
        <v>11</v>
      </c>
      <c r="AB192" s="1">
        <f t="shared" si="12"/>
        <v>5</v>
      </c>
      <c r="AC192" s="1">
        <f t="shared" si="14"/>
        <v>163.6</v>
      </c>
    </row>
    <row r="193" spans="1:29" x14ac:dyDescent="0.25">
      <c r="A193" s="1">
        <v>2024</v>
      </c>
      <c r="B193" s="1">
        <v>11</v>
      </c>
      <c r="C193" s="1">
        <v>8</v>
      </c>
      <c r="D193" s="1">
        <v>15.1</v>
      </c>
      <c r="E193" s="1">
        <f t="shared" si="13"/>
        <v>128.69999999999999</v>
      </c>
      <c r="F193" s="1"/>
      <c r="G193" s="1" t="s">
        <v>12</v>
      </c>
      <c r="H193" s="1"/>
      <c r="I193" s="1"/>
      <c r="J193" s="1"/>
      <c r="Z193">
        <f t="shared" si="10"/>
        <v>2024</v>
      </c>
      <c r="AA193">
        <f t="shared" si="11"/>
        <v>11</v>
      </c>
      <c r="AB193" s="1">
        <f t="shared" si="12"/>
        <v>8</v>
      </c>
      <c r="AC193" s="1">
        <f t="shared" si="14"/>
        <v>178.7</v>
      </c>
    </row>
    <row r="194" spans="1:29" x14ac:dyDescent="0.25">
      <c r="A194" s="1">
        <v>2024</v>
      </c>
      <c r="B194" s="1">
        <v>11</v>
      </c>
      <c r="C194" s="1">
        <v>8</v>
      </c>
      <c r="D194" s="1">
        <v>-12</v>
      </c>
      <c r="E194" s="1">
        <f t="shared" si="13"/>
        <v>116.69999999999999</v>
      </c>
      <c r="F194" s="1"/>
      <c r="G194" s="1" t="s">
        <v>47</v>
      </c>
      <c r="H194" s="1"/>
      <c r="I194" s="1"/>
      <c r="J194" s="1"/>
      <c r="Z194">
        <f t="shared" si="10"/>
        <v>2024</v>
      </c>
      <c r="AA194">
        <f t="shared" si="11"/>
        <v>11</v>
      </c>
      <c r="AB194" s="1">
        <f t="shared" si="12"/>
        <v>8</v>
      </c>
      <c r="AC194" s="1">
        <f t="shared" si="14"/>
        <v>166.7</v>
      </c>
    </row>
    <row r="195" spans="1:29" x14ac:dyDescent="0.25">
      <c r="A195" s="2">
        <v>2024</v>
      </c>
      <c r="B195" s="1">
        <v>11</v>
      </c>
      <c r="C195" s="1">
        <v>13</v>
      </c>
      <c r="D195" s="1">
        <v>15.6</v>
      </c>
      <c r="E195" s="1">
        <f t="shared" si="13"/>
        <v>132.29999999999998</v>
      </c>
      <c r="F195" s="1"/>
      <c r="G195" s="1" t="s">
        <v>12</v>
      </c>
      <c r="H195" s="1"/>
      <c r="I195" s="1"/>
      <c r="J195" s="1"/>
      <c r="Z195">
        <f t="shared" si="10"/>
        <v>2024</v>
      </c>
      <c r="AA195">
        <f t="shared" si="11"/>
        <v>11</v>
      </c>
      <c r="AB195" s="1">
        <f t="shared" si="12"/>
        <v>13</v>
      </c>
      <c r="AC195" s="1">
        <f t="shared" si="14"/>
        <v>182.29999999999998</v>
      </c>
    </row>
    <row r="196" spans="1:29" x14ac:dyDescent="0.25">
      <c r="A196" s="1">
        <v>2024</v>
      </c>
      <c r="B196" s="1">
        <v>11</v>
      </c>
      <c r="C196" s="1">
        <v>13</v>
      </c>
      <c r="D196" s="1">
        <v>15.4</v>
      </c>
      <c r="E196" s="1">
        <f t="shared" si="13"/>
        <v>147.69999999999999</v>
      </c>
      <c r="F196" s="1"/>
      <c r="G196" s="1" t="s">
        <v>6</v>
      </c>
      <c r="H196" s="1"/>
      <c r="I196" s="1"/>
      <c r="J196" s="1"/>
      <c r="Z196">
        <f t="shared" si="10"/>
        <v>2024</v>
      </c>
      <c r="AA196">
        <f t="shared" si="11"/>
        <v>11</v>
      </c>
      <c r="AB196" s="1">
        <f t="shared" si="12"/>
        <v>13</v>
      </c>
      <c r="AC196" s="1">
        <f t="shared" si="14"/>
        <v>197.7</v>
      </c>
    </row>
    <row r="197" spans="1:29" x14ac:dyDescent="0.25">
      <c r="A197" s="20">
        <v>2024</v>
      </c>
      <c r="B197" s="1">
        <v>11</v>
      </c>
      <c r="C197" s="1">
        <v>13</v>
      </c>
      <c r="D197" s="1">
        <v>-42</v>
      </c>
      <c r="E197" s="1">
        <f t="shared" si="13"/>
        <v>105.69999999999999</v>
      </c>
      <c r="F197" s="1"/>
      <c r="G197" s="1" t="s">
        <v>36</v>
      </c>
      <c r="H197" s="1"/>
      <c r="I197" s="1"/>
      <c r="J197" s="1"/>
      <c r="Z197">
        <f t="shared" si="10"/>
        <v>2024</v>
      </c>
      <c r="AA197">
        <f t="shared" si="11"/>
        <v>11</v>
      </c>
      <c r="AB197" s="1">
        <f t="shared" si="12"/>
        <v>13</v>
      </c>
      <c r="AC197" s="1">
        <f t="shared" si="14"/>
        <v>155.69999999999999</v>
      </c>
    </row>
    <row r="198" spans="1:29" x14ac:dyDescent="0.25">
      <c r="A198">
        <v>2024</v>
      </c>
      <c r="B198" s="1">
        <v>11</v>
      </c>
      <c r="C198" s="1">
        <v>15</v>
      </c>
      <c r="D198" s="1">
        <v>30.3</v>
      </c>
      <c r="E198" s="1">
        <f t="shared" si="13"/>
        <v>136</v>
      </c>
      <c r="F198" s="1"/>
      <c r="G198" s="1" t="s">
        <v>5</v>
      </c>
      <c r="H198" s="1"/>
      <c r="I198" s="1"/>
      <c r="J198" s="1"/>
      <c r="Z198">
        <f t="shared" si="10"/>
        <v>2024</v>
      </c>
      <c r="AA198">
        <f t="shared" si="11"/>
        <v>11</v>
      </c>
      <c r="AB198" s="1">
        <f t="shared" si="12"/>
        <v>15</v>
      </c>
      <c r="AC198" s="1">
        <f t="shared" si="14"/>
        <v>186</v>
      </c>
    </row>
    <row r="199" spans="1:29" x14ac:dyDescent="0.25">
      <c r="A199">
        <v>2024</v>
      </c>
      <c r="B199" s="1">
        <v>11</v>
      </c>
      <c r="C199" s="1">
        <v>17</v>
      </c>
      <c r="D199" s="1">
        <v>15.6</v>
      </c>
      <c r="E199" s="1">
        <f t="shared" si="13"/>
        <v>151.6</v>
      </c>
      <c r="F199" s="1"/>
      <c r="G199" s="1" t="s">
        <v>12</v>
      </c>
      <c r="H199" s="1"/>
      <c r="I199" s="1"/>
      <c r="J199" s="1"/>
      <c r="Z199">
        <f t="shared" si="10"/>
        <v>2024</v>
      </c>
      <c r="AA199">
        <f t="shared" si="11"/>
        <v>11</v>
      </c>
      <c r="AB199" s="1">
        <f t="shared" si="12"/>
        <v>17</v>
      </c>
      <c r="AC199" s="1">
        <f t="shared" si="14"/>
        <v>201.6</v>
      </c>
    </row>
    <row r="200" spans="1:29" x14ac:dyDescent="0.25">
      <c r="A200">
        <v>2024</v>
      </c>
      <c r="B200" s="1">
        <v>11</v>
      </c>
      <c r="C200" s="1">
        <v>19</v>
      </c>
      <c r="D200" s="1">
        <v>16.7</v>
      </c>
      <c r="E200" s="1">
        <f t="shared" si="13"/>
        <v>168.29999999999998</v>
      </c>
      <c r="F200" s="1"/>
      <c r="G200" s="1" t="s">
        <v>6</v>
      </c>
      <c r="H200" s="1"/>
      <c r="I200" s="1"/>
      <c r="J200" s="1"/>
      <c r="Z200">
        <f t="shared" si="10"/>
        <v>2024</v>
      </c>
      <c r="AA200">
        <f t="shared" si="11"/>
        <v>11</v>
      </c>
      <c r="AB200" s="1">
        <f t="shared" si="12"/>
        <v>19</v>
      </c>
      <c r="AC200" s="1">
        <f t="shared" si="14"/>
        <v>218.29999999999998</v>
      </c>
    </row>
    <row r="201" spans="1:29" x14ac:dyDescent="0.25">
      <c r="A201">
        <v>2024</v>
      </c>
      <c r="B201" s="1">
        <v>11</v>
      </c>
      <c r="C201" s="1">
        <v>20</v>
      </c>
      <c r="D201" s="1">
        <v>11.1</v>
      </c>
      <c r="E201" s="1">
        <f t="shared" si="13"/>
        <v>179.39999999999998</v>
      </c>
      <c r="F201" s="1"/>
      <c r="G201" s="1" t="s">
        <v>12</v>
      </c>
      <c r="H201" s="1"/>
      <c r="I201" s="1"/>
      <c r="J201" s="1"/>
      <c r="Z201">
        <f t="shared" si="10"/>
        <v>2024</v>
      </c>
      <c r="AA201">
        <f t="shared" si="11"/>
        <v>11</v>
      </c>
      <c r="AB201" s="1">
        <f t="shared" si="12"/>
        <v>20</v>
      </c>
      <c r="AC201" s="1">
        <f t="shared" si="14"/>
        <v>229.39999999999998</v>
      </c>
    </row>
    <row r="202" spans="1:29" x14ac:dyDescent="0.25">
      <c r="A202" s="1">
        <v>2024</v>
      </c>
      <c r="B202" s="1">
        <v>11</v>
      </c>
      <c r="C202" s="1">
        <v>21</v>
      </c>
      <c r="D202" s="1">
        <v>15.8</v>
      </c>
      <c r="E202" s="1">
        <f t="shared" si="13"/>
        <v>195.2</v>
      </c>
      <c r="F202" s="1"/>
      <c r="G202" s="1" t="s">
        <v>12</v>
      </c>
      <c r="H202" s="1"/>
      <c r="I202" s="1"/>
      <c r="J202" s="1"/>
      <c r="Z202">
        <f t="shared" si="10"/>
        <v>2024</v>
      </c>
      <c r="AA202">
        <f t="shared" si="11"/>
        <v>11</v>
      </c>
      <c r="AB202" s="1">
        <f t="shared" si="12"/>
        <v>21</v>
      </c>
      <c r="AC202" s="1">
        <f t="shared" si="14"/>
        <v>245.2</v>
      </c>
    </row>
    <row r="203" spans="1:29" x14ac:dyDescent="0.25">
      <c r="A203" s="1">
        <v>2024</v>
      </c>
      <c r="B203" s="1">
        <v>11</v>
      </c>
      <c r="C203" s="1">
        <v>23</v>
      </c>
      <c r="D203" s="1">
        <v>100</v>
      </c>
      <c r="E203" s="1">
        <f t="shared" si="13"/>
        <v>295.2</v>
      </c>
      <c r="F203" s="1"/>
      <c r="G203" s="1" t="s">
        <v>10</v>
      </c>
      <c r="H203" s="1"/>
      <c r="I203" s="1"/>
      <c r="J203" s="1"/>
      <c r="Z203">
        <f t="shared" si="10"/>
        <v>2024</v>
      </c>
      <c r="AA203">
        <f t="shared" si="11"/>
        <v>11</v>
      </c>
      <c r="AB203" s="1">
        <f t="shared" si="12"/>
        <v>23</v>
      </c>
      <c r="AC203" s="1">
        <f t="shared" si="14"/>
        <v>345.2</v>
      </c>
    </row>
    <row r="204" spans="1:29" x14ac:dyDescent="0.25">
      <c r="A204" s="1">
        <v>2024</v>
      </c>
      <c r="B204" s="1">
        <v>11</v>
      </c>
      <c r="C204" s="1">
        <v>25</v>
      </c>
      <c r="D204" s="1">
        <v>-12.3</v>
      </c>
      <c r="E204" s="1">
        <f t="shared" si="13"/>
        <v>282.89999999999998</v>
      </c>
      <c r="F204" s="1"/>
      <c r="G204" s="1" t="s">
        <v>6</v>
      </c>
      <c r="H204" s="1"/>
      <c r="I204" s="1"/>
      <c r="J204" s="1"/>
      <c r="Z204">
        <f t="shared" si="10"/>
        <v>2024</v>
      </c>
      <c r="AA204">
        <f t="shared" si="11"/>
        <v>11</v>
      </c>
      <c r="AB204" s="1">
        <f t="shared" si="12"/>
        <v>25</v>
      </c>
      <c r="AC204" s="1">
        <f t="shared" si="14"/>
        <v>332.9</v>
      </c>
    </row>
    <row r="205" spans="1:29" x14ac:dyDescent="0.25">
      <c r="A205" s="1">
        <v>2024</v>
      </c>
      <c r="B205" s="1">
        <v>11</v>
      </c>
      <c r="C205" s="1">
        <v>26</v>
      </c>
      <c r="D205" s="1">
        <v>-12</v>
      </c>
      <c r="E205" s="1">
        <f t="shared" si="13"/>
        <v>270.89999999999998</v>
      </c>
      <c r="F205" s="1"/>
      <c r="G205" s="1" t="s">
        <v>20</v>
      </c>
      <c r="H205" s="1"/>
      <c r="I205" s="1"/>
      <c r="J205" s="1"/>
      <c r="Z205">
        <f t="shared" si="10"/>
        <v>2024</v>
      </c>
      <c r="AA205">
        <f t="shared" si="11"/>
        <v>11</v>
      </c>
      <c r="AB205" s="1">
        <f t="shared" si="12"/>
        <v>26</v>
      </c>
      <c r="AC205" s="1">
        <f t="shared" si="14"/>
        <v>320.89999999999998</v>
      </c>
    </row>
    <row r="206" spans="1:29" x14ac:dyDescent="0.25">
      <c r="A206" s="1">
        <v>2024</v>
      </c>
      <c r="B206" s="1">
        <v>11</v>
      </c>
      <c r="C206" s="1">
        <v>27</v>
      </c>
      <c r="D206" s="1">
        <v>70</v>
      </c>
      <c r="E206" s="1">
        <f t="shared" si="13"/>
        <v>340.9</v>
      </c>
      <c r="F206" s="1"/>
      <c r="G206" s="1" t="s">
        <v>10</v>
      </c>
      <c r="H206" s="1"/>
      <c r="I206" s="1"/>
      <c r="J206" s="1"/>
      <c r="Z206">
        <f t="shared" si="10"/>
        <v>2024</v>
      </c>
      <c r="AA206">
        <f t="shared" si="11"/>
        <v>11</v>
      </c>
      <c r="AB206" s="1">
        <f t="shared" si="12"/>
        <v>27</v>
      </c>
      <c r="AC206" s="1">
        <f t="shared" si="14"/>
        <v>390.9</v>
      </c>
    </row>
    <row r="207" spans="1:29" x14ac:dyDescent="0.25">
      <c r="A207" s="1">
        <v>2024</v>
      </c>
      <c r="B207" s="1">
        <v>11</v>
      </c>
      <c r="C207" s="1">
        <v>28</v>
      </c>
      <c r="D207" s="1">
        <v>54.4</v>
      </c>
      <c r="E207" s="1">
        <f t="shared" si="13"/>
        <v>395.29999999999995</v>
      </c>
      <c r="F207" s="1"/>
      <c r="G207" s="1" t="s">
        <v>55</v>
      </c>
      <c r="H207" s="1"/>
      <c r="I207" s="1"/>
      <c r="J207" s="1"/>
      <c r="Z207">
        <f t="shared" si="10"/>
        <v>2024</v>
      </c>
      <c r="AA207">
        <f t="shared" si="11"/>
        <v>11</v>
      </c>
      <c r="AB207" s="1">
        <f t="shared" si="12"/>
        <v>28</v>
      </c>
      <c r="AC207" s="1">
        <f t="shared" si="14"/>
        <v>445.29999999999995</v>
      </c>
    </row>
    <row r="208" spans="1:29" x14ac:dyDescent="0.25">
      <c r="A208" s="1">
        <v>2024</v>
      </c>
      <c r="B208" s="1">
        <v>11</v>
      </c>
      <c r="C208" s="1">
        <v>29</v>
      </c>
      <c r="D208" s="1">
        <v>70.2</v>
      </c>
      <c r="E208" s="1">
        <f t="shared" si="13"/>
        <v>465.49999999999994</v>
      </c>
      <c r="F208" s="1"/>
      <c r="G208" t="s">
        <v>10</v>
      </c>
      <c r="H208" s="1"/>
      <c r="I208" s="1"/>
      <c r="J208" s="1"/>
      <c r="Z208">
        <f t="shared" si="10"/>
        <v>2024</v>
      </c>
      <c r="AA208">
        <f t="shared" si="11"/>
        <v>11</v>
      </c>
      <c r="AB208" s="1">
        <f t="shared" si="12"/>
        <v>29</v>
      </c>
      <c r="AC208" s="1">
        <f t="shared" si="14"/>
        <v>515.5</v>
      </c>
    </row>
    <row r="209" spans="1:29" x14ac:dyDescent="0.25">
      <c r="A209" s="1">
        <v>2024</v>
      </c>
      <c r="B209" s="1">
        <v>11</v>
      </c>
      <c r="C209" s="1">
        <v>29</v>
      </c>
      <c r="D209" s="1">
        <v>55</v>
      </c>
      <c r="E209" s="1">
        <f t="shared" si="13"/>
        <v>520.5</v>
      </c>
      <c r="F209" s="1"/>
      <c r="G209" s="1" t="s">
        <v>54</v>
      </c>
      <c r="H209" s="1"/>
      <c r="I209" s="1"/>
      <c r="J209" s="1"/>
      <c r="Z209">
        <f t="shared" si="10"/>
        <v>2024</v>
      </c>
      <c r="AA209">
        <f t="shared" si="11"/>
        <v>11</v>
      </c>
      <c r="AB209" s="1">
        <f t="shared" si="12"/>
        <v>29</v>
      </c>
      <c r="AC209" s="1">
        <f t="shared" si="14"/>
        <v>570.5</v>
      </c>
    </row>
    <row r="210" spans="1:29" x14ac:dyDescent="0.25">
      <c r="A210" s="1">
        <v>2024</v>
      </c>
      <c r="B210" s="1">
        <v>11</v>
      </c>
      <c r="C210" s="1">
        <v>30</v>
      </c>
      <c r="D210" s="1">
        <v>29</v>
      </c>
      <c r="E210" s="1">
        <f t="shared" si="13"/>
        <v>549.5</v>
      </c>
      <c r="F210" s="1"/>
      <c r="G210" s="1" t="s">
        <v>5</v>
      </c>
      <c r="H210" s="1"/>
      <c r="I210" s="1"/>
      <c r="J210" s="1"/>
      <c r="Z210">
        <f t="shared" si="10"/>
        <v>2024</v>
      </c>
      <c r="AA210">
        <f t="shared" si="11"/>
        <v>11</v>
      </c>
      <c r="AB210" s="1">
        <f t="shared" si="12"/>
        <v>30</v>
      </c>
      <c r="AC210" s="1">
        <f t="shared" si="14"/>
        <v>599.5</v>
      </c>
    </row>
    <row r="211" spans="1:29" x14ac:dyDescent="0.25">
      <c r="A211" s="1">
        <v>2024</v>
      </c>
      <c r="B211" s="1">
        <v>12</v>
      </c>
      <c r="C211" s="1">
        <v>1</v>
      </c>
      <c r="D211" s="1">
        <v>15.193</v>
      </c>
      <c r="E211" s="1">
        <f>D211</f>
        <v>15.193</v>
      </c>
      <c r="F211" s="1"/>
      <c r="G211" s="1" t="s">
        <v>12</v>
      </c>
      <c r="H211" s="1"/>
      <c r="I211" s="1"/>
      <c r="J211" s="1"/>
      <c r="Z211">
        <f t="shared" si="10"/>
        <v>2024</v>
      </c>
      <c r="AA211">
        <f t="shared" si="11"/>
        <v>12</v>
      </c>
      <c r="AB211" s="1">
        <f t="shared" si="12"/>
        <v>1</v>
      </c>
      <c r="AC211" s="1">
        <f t="shared" si="14"/>
        <v>614.69299999999998</v>
      </c>
    </row>
    <row r="212" spans="1:29" x14ac:dyDescent="0.25">
      <c r="A212" s="1">
        <v>2024</v>
      </c>
      <c r="B212" s="1">
        <v>12</v>
      </c>
      <c r="C212" s="1">
        <v>2</v>
      </c>
      <c r="D212" s="1">
        <v>-60</v>
      </c>
      <c r="E212" s="1">
        <f>E211+D212</f>
        <v>-44.807000000000002</v>
      </c>
      <c r="F212" s="1"/>
      <c r="G212" s="1" t="s">
        <v>10</v>
      </c>
      <c r="H212" s="1"/>
      <c r="I212" s="1"/>
      <c r="J212" s="1"/>
      <c r="Z212">
        <f t="shared" si="10"/>
        <v>2024</v>
      </c>
      <c r="AA212">
        <f t="shared" si="11"/>
        <v>12</v>
      </c>
      <c r="AB212" s="1">
        <f t="shared" si="12"/>
        <v>2</v>
      </c>
      <c r="AC212" s="1">
        <f t="shared" si="14"/>
        <v>554.69299999999998</v>
      </c>
    </row>
    <row r="213" spans="1:29" x14ac:dyDescent="0.25">
      <c r="A213" s="1">
        <v>2024</v>
      </c>
      <c r="B213" s="1">
        <v>12</v>
      </c>
      <c r="C213" s="1">
        <v>2</v>
      </c>
      <c r="D213" s="1">
        <v>-7</v>
      </c>
      <c r="E213" s="1">
        <f t="shared" ref="E213:E240" si="15">E212+D213</f>
        <v>-51.807000000000002</v>
      </c>
      <c r="F213" s="1"/>
      <c r="G213" s="1" t="s">
        <v>47</v>
      </c>
      <c r="H213" s="1"/>
      <c r="I213" s="1"/>
      <c r="J213" s="1"/>
      <c r="Z213">
        <f t="shared" si="10"/>
        <v>2024</v>
      </c>
      <c r="AA213">
        <f t="shared" si="11"/>
        <v>12</v>
      </c>
      <c r="AB213" s="1">
        <f t="shared" si="12"/>
        <v>2</v>
      </c>
      <c r="AC213" s="1">
        <f t="shared" si="14"/>
        <v>547.69299999999998</v>
      </c>
    </row>
    <row r="214" spans="1:29" x14ac:dyDescent="0.25">
      <c r="A214" s="3">
        <v>2024</v>
      </c>
      <c r="B214" s="1">
        <v>12</v>
      </c>
      <c r="C214" s="1">
        <v>3</v>
      </c>
      <c r="D214" s="1">
        <v>15.817</v>
      </c>
      <c r="E214" s="1">
        <f t="shared" si="15"/>
        <v>-35.99</v>
      </c>
      <c r="F214" s="1"/>
      <c r="G214" s="1" t="s">
        <v>6</v>
      </c>
      <c r="H214" s="1"/>
      <c r="I214" s="1"/>
      <c r="J214" s="1"/>
      <c r="Z214">
        <f t="shared" si="10"/>
        <v>2024</v>
      </c>
      <c r="AA214">
        <f t="shared" si="11"/>
        <v>12</v>
      </c>
      <c r="AB214" s="1">
        <f t="shared" si="12"/>
        <v>3</v>
      </c>
      <c r="AC214" s="1">
        <f t="shared" si="14"/>
        <v>563.51</v>
      </c>
    </row>
    <row r="215" spans="1:29" x14ac:dyDescent="0.25">
      <c r="A215" s="3">
        <v>2024</v>
      </c>
      <c r="B215" s="1">
        <v>12</v>
      </c>
      <c r="C215" s="1">
        <v>5</v>
      </c>
      <c r="D215" s="1">
        <v>15.029</v>
      </c>
      <c r="E215" s="1">
        <f t="shared" si="15"/>
        <v>-20.961000000000002</v>
      </c>
      <c r="F215" s="1"/>
      <c r="G215" s="1" t="s">
        <v>12</v>
      </c>
      <c r="H215" s="1"/>
      <c r="I215" s="1"/>
      <c r="J215" s="1"/>
      <c r="Z215">
        <f t="shared" si="10"/>
        <v>2024</v>
      </c>
      <c r="AA215">
        <f t="shared" si="11"/>
        <v>12</v>
      </c>
      <c r="AB215" s="1">
        <f t="shared" si="12"/>
        <v>5</v>
      </c>
      <c r="AC215" s="1">
        <f t="shared" si="14"/>
        <v>578.53899999999999</v>
      </c>
    </row>
    <row r="216" spans="1:29" x14ac:dyDescent="0.25">
      <c r="A216" s="3">
        <v>2024</v>
      </c>
      <c r="B216" s="1">
        <v>12</v>
      </c>
      <c r="C216" s="1">
        <v>5</v>
      </c>
      <c r="D216" s="20">
        <v>-29</v>
      </c>
      <c r="E216" s="1">
        <f t="shared" si="15"/>
        <v>-49.960999999999999</v>
      </c>
      <c r="F216" s="1"/>
      <c r="G216" s="1" t="s">
        <v>10</v>
      </c>
      <c r="H216" s="1"/>
      <c r="I216" s="1"/>
      <c r="J216" s="1"/>
      <c r="Z216">
        <f t="shared" si="10"/>
        <v>2024</v>
      </c>
      <c r="AA216">
        <f t="shared" si="11"/>
        <v>12</v>
      </c>
      <c r="AB216" s="1">
        <f t="shared" si="12"/>
        <v>5</v>
      </c>
      <c r="AC216" s="1">
        <f t="shared" si="14"/>
        <v>549.53899999999999</v>
      </c>
    </row>
    <row r="217" spans="1:29" x14ac:dyDescent="0.25">
      <c r="A217" s="3">
        <v>2024</v>
      </c>
      <c r="B217" s="1">
        <v>12</v>
      </c>
      <c r="C217" s="1">
        <v>6</v>
      </c>
      <c r="D217" s="20">
        <v>-5</v>
      </c>
      <c r="E217" s="1">
        <f t="shared" si="15"/>
        <v>-54.960999999999999</v>
      </c>
      <c r="F217" s="1"/>
      <c r="G217" s="1" t="s">
        <v>36</v>
      </c>
      <c r="H217" s="1"/>
      <c r="I217" s="1"/>
      <c r="J217" s="1"/>
      <c r="Z217">
        <f t="shared" si="10"/>
        <v>2024</v>
      </c>
      <c r="AA217">
        <f t="shared" si="11"/>
        <v>12</v>
      </c>
      <c r="AB217" s="1">
        <f t="shared" si="12"/>
        <v>6</v>
      </c>
      <c r="AC217" s="1">
        <f t="shared" si="14"/>
        <v>544.53899999999999</v>
      </c>
    </row>
    <row r="218" spans="1:29" x14ac:dyDescent="0.25">
      <c r="A218" s="3">
        <v>2024</v>
      </c>
      <c r="B218" s="1">
        <v>12</v>
      </c>
      <c r="C218" s="1">
        <v>7</v>
      </c>
      <c r="D218" s="1">
        <v>15.779</v>
      </c>
      <c r="E218" s="1">
        <f t="shared" si="15"/>
        <v>-39.182000000000002</v>
      </c>
      <c r="F218" s="1"/>
      <c r="G218" s="1" t="s">
        <v>6</v>
      </c>
      <c r="H218" s="1"/>
      <c r="I218" s="1"/>
      <c r="J218" s="1"/>
      <c r="Z218">
        <f t="shared" si="10"/>
        <v>2024</v>
      </c>
      <c r="AA218">
        <f t="shared" si="11"/>
        <v>12</v>
      </c>
      <c r="AB218" s="1">
        <f t="shared" si="12"/>
        <v>7</v>
      </c>
      <c r="AC218" s="1">
        <f t="shared" si="14"/>
        <v>560.31799999999998</v>
      </c>
    </row>
    <row r="219" spans="1:29" x14ac:dyDescent="0.25">
      <c r="A219" s="3">
        <v>2024</v>
      </c>
      <c r="B219" s="1">
        <v>12</v>
      </c>
      <c r="C219" s="1">
        <v>9</v>
      </c>
      <c r="D219" s="1">
        <v>16.343</v>
      </c>
      <c r="E219" s="1">
        <f t="shared" si="15"/>
        <v>-22.839000000000002</v>
      </c>
      <c r="F219" s="1"/>
      <c r="G219" s="1" t="s">
        <v>12</v>
      </c>
      <c r="H219" s="1"/>
      <c r="I219" s="1"/>
      <c r="J219" s="1"/>
      <c r="Z219">
        <f t="shared" si="10"/>
        <v>2024</v>
      </c>
      <c r="AA219">
        <f t="shared" si="11"/>
        <v>12</v>
      </c>
      <c r="AB219" s="1">
        <f t="shared" si="12"/>
        <v>9</v>
      </c>
      <c r="AC219" s="1">
        <f t="shared" si="14"/>
        <v>576.66099999999994</v>
      </c>
    </row>
    <row r="220" spans="1:29" x14ac:dyDescent="0.25">
      <c r="A220" s="3">
        <v>2024</v>
      </c>
      <c r="B220" s="1">
        <v>12</v>
      </c>
      <c r="C220" s="1">
        <v>10</v>
      </c>
      <c r="D220" s="1">
        <v>1.6850000000000001</v>
      </c>
      <c r="E220" s="1">
        <f t="shared" si="15"/>
        <v>-21.154000000000003</v>
      </c>
      <c r="F220" s="1"/>
      <c r="G220" s="1" t="s">
        <v>8</v>
      </c>
      <c r="H220" s="1"/>
      <c r="I220" s="1"/>
      <c r="J220" s="1"/>
      <c r="Z220">
        <f t="shared" si="10"/>
        <v>2024</v>
      </c>
      <c r="AA220">
        <f t="shared" si="11"/>
        <v>12</v>
      </c>
      <c r="AB220" s="1">
        <f t="shared" si="12"/>
        <v>10</v>
      </c>
      <c r="AC220" s="1">
        <f t="shared" si="14"/>
        <v>578.34599999999989</v>
      </c>
    </row>
    <row r="221" spans="1:29" x14ac:dyDescent="0.25">
      <c r="A221" s="3">
        <v>2024</v>
      </c>
      <c r="B221" s="1">
        <v>12</v>
      </c>
      <c r="C221" s="1">
        <v>11</v>
      </c>
      <c r="D221" s="1">
        <v>13.804</v>
      </c>
      <c r="E221" s="1">
        <f t="shared" si="15"/>
        <v>-7.3500000000000032</v>
      </c>
      <c r="F221" s="1"/>
      <c r="G221" s="1" t="s">
        <v>6</v>
      </c>
      <c r="H221" s="1"/>
      <c r="I221" s="1"/>
      <c r="J221" s="1"/>
      <c r="Z221">
        <f t="shared" si="10"/>
        <v>2024</v>
      </c>
      <c r="AA221">
        <f t="shared" si="11"/>
        <v>12</v>
      </c>
      <c r="AB221" s="1">
        <f t="shared" si="12"/>
        <v>11</v>
      </c>
      <c r="AC221" s="1">
        <f t="shared" si="14"/>
        <v>592.14999999999986</v>
      </c>
    </row>
    <row r="222" spans="1:29" x14ac:dyDescent="0.25">
      <c r="A222" s="3">
        <v>2024</v>
      </c>
      <c r="B222" s="1">
        <v>12</v>
      </c>
      <c r="C222" s="1">
        <v>11</v>
      </c>
      <c r="D222" s="1">
        <v>4.4950000000000001</v>
      </c>
      <c r="E222" s="1">
        <f t="shared" si="15"/>
        <v>-2.8550000000000031</v>
      </c>
      <c r="F222" s="1"/>
      <c r="G222" s="1" t="s">
        <v>8</v>
      </c>
      <c r="H222" s="1"/>
      <c r="I222" s="1"/>
      <c r="J222" s="1"/>
      <c r="Z222">
        <f t="shared" si="10"/>
        <v>2024</v>
      </c>
      <c r="AA222">
        <f t="shared" si="11"/>
        <v>12</v>
      </c>
      <c r="AB222" s="1">
        <f t="shared" si="12"/>
        <v>11</v>
      </c>
      <c r="AC222" s="1">
        <f t="shared" si="14"/>
        <v>596.64499999999987</v>
      </c>
    </row>
    <row r="223" spans="1:29" x14ac:dyDescent="0.25">
      <c r="A223" s="3">
        <v>2024</v>
      </c>
      <c r="B223" s="1">
        <v>12</v>
      </c>
      <c r="C223" s="1">
        <v>12</v>
      </c>
      <c r="D223" s="1">
        <v>7.02</v>
      </c>
      <c r="E223" s="1">
        <f t="shared" si="15"/>
        <v>4.1649999999999965</v>
      </c>
      <c r="F223" s="1"/>
      <c r="G223" s="1" t="s">
        <v>6</v>
      </c>
      <c r="H223" s="1"/>
      <c r="I223" s="1"/>
      <c r="J223" s="1"/>
      <c r="Z223">
        <f t="shared" si="10"/>
        <v>2024</v>
      </c>
      <c r="AA223">
        <f t="shared" si="11"/>
        <v>12</v>
      </c>
      <c r="AB223" s="1">
        <f t="shared" si="12"/>
        <v>12</v>
      </c>
      <c r="AC223" s="1">
        <f t="shared" si="14"/>
        <v>603.66499999999985</v>
      </c>
    </row>
    <row r="224" spans="1:29" x14ac:dyDescent="0.25">
      <c r="A224" s="3">
        <v>2024</v>
      </c>
      <c r="B224" s="1">
        <v>12</v>
      </c>
      <c r="C224" s="1">
        <v>12</v>
      </c>
      <c r="D224" s="1">
        <v>7.5279999999999996</v>
      </c>
      <c r="E224" s="1">
        <f t="shared" si="15"/>
        <v>11.692999999999996</v>
      </c>
      <c r="F224" s="1"/>
      <c r="G224" s="1" t="s">
        <v>6</v>
      </c>
      <c r="H224" s="1"/>
      <c r="I224" s="1"/>
      <c r="J224" s="1"/>
      <c r="Z224">
        <f t="shared" si="10"/>
        <v>2024</v>
      </c>
      <c r="AA224">
        <f t="shared" si="11"/>
        <v>12</v>
      </c>
      <c r="AB224" s="1">
        <f t="shared" si="12"/>
        <v>12</v>
      </c>
      <c r="AC224" s="1">
        <f t="shared" si="14"/>
        <v>611.19299999999987</v>
      </c>
    </row>
    <row r="225" spans="1:29" x14ac:dyDescent="0.25">
      <c r="A225" s="3">
        <v>2024</v>
      </c>
      <c r="B225" s="1">
        <v>12</v>
      </c>
      <c r="C225" s="1">
        <v>13</v>
      </c>
      <c r="D225" s="20">
        <v>-11</v>
      </c>
      <c r="E225" s="1">
        <f t="shared" si="15"/>
        <v>0.69299999999999606</v>
      </c>
      <c r="F225" s="1"/>
      <c r="G225" s="1" t="s">
        <v>6</v>
      </c>
      <c r="H225" s="1"/>
      <c r="I225" s="1"/>
      <c r="J225" s="1"/>
      <c r="Z225">
        <f t="shared" si="10"/>
        <v>2024</v>
      </c>
      <c r="AA225">
        <f t="shared" si="11"/>
        <v>12</v>
      </c>
      <c r="AB225" s="1">
        <f t="shared" si="12"/>
        <v>13</v>
      </c>
      <c r="AC225" s="1">
        <f t="shared" si="14"/>
        <v>600.19299999999987</v>
      </c>
    </row>
    <row r="226" spans="1:29" x14ac:dyDescent="0.25">
      <c r="A226" s="3">
        <v>2024</v>
      </c>
      <c r="B226" s="1">
        <v>12</v>
      </c>
      <c r="C226" s="1">
        <v>14</v>
      </c>
      <c r="D226" s="1">
        <v>1.371</v>
      </c>
      <c r="E226" s="1">
        <f t="shared" si="15"/>
        <v>2.0639999999999961</v>
      </c>
      <c r="F226" s="1"/>
      <c r="G226" s="1" t="s">
        <v>6</v>
      </c>
      <c r="H226" s="1"/>
      <c r="I226" s="1"/>
      <c r="J226" s="1"/>
      <c r="Z226">
        <f t="shared" si="10"/>
        <v>2024</v>
      </c>
      <c r="AA226">
        <f t="shared" si="11"/>
        <v>12</v>
      </c>
      <c r="AB226" s="1">
        <f t="shared" si="12"/>
        <v>14</v>
      </c>
      <c r="AC226" s="1">
        <f t="shared" si="14"/>
        <v>601.56399999999985</v>
      </c>
    </row>
    <row r="227" spans="1:29" x14ac:dyDescent="0.25">
      <c r="A227" s="3">
        <v>2024</v>
      </c>
      <c r="B227" s="1">
        <v>12</v>
      </c>
      <c r="C227" s="1">
        <v>14</v>
      </c>
      <c r="D227" s="1">
        <v>15.817</v>
      </c>
      <c r="E227" s="1">
        <f t="shared" si="15"/>
        <v>17.880999999999997</v>
      </c>
      <c r="F227" s="1"/>
      <c r="G227" s="1" t="s">
        <v>12</v>
      </c>
      <c r="H227" s="1"/>
      <c r="I227" s="1"/>
      <c r="J227" s="1"/>
      <c r="Z227">
        <f t="shared" si="10"/>
        <v>2024</v>
      </c>
      <c r="AA227">
        <f t="shared" si="11"/>
        <v>12</v>
      </c>
      <c r="AB227" s="1">
        <f t="shared" si="12"/>
        <v>14</v>
      </c>
      <c r="AC227" s="1">
        <f t="shared" si="14"/>
        <v>617.38099999999986</v>
      </c>
    </row>
    <row r="228" spans="1:29" x14ac:dyDescent="0.25">
      <c r="A228" s="3">
        <v>2024</v>
      </c>
      <c r="B228" s="1">
        <v>12</v>
      </c>
      <c r="C228" s="1">
        <v>15</v>
      </c>
      <c r="D228" s="1">
        <v>9.5449999999999999</v>
      </c>
      <c r="E228" s="1">
        <f t="shared" si="15"/>
        <v>27.425999999999995</v>
      </c>
      <c r="F228" s="1"/>
      <c r="G228" s="1" t="s">
        <v>6</v>
      </c>
      <c r="H228" s="1"/>
      <c r="I228" s="1"/>
      <c r="J228" s="1"/>
      <c r="Z228">
        <f t="shared" si="10"/>
        <v>2024</v>
      </c>
      <c r="AA228">
        <f t="shared" si="11"/>
        <v>12</v>
      </c>
      <c r="AB228" s="1">
        <f t="shared" si="12"/>
        <v>15</v>
      </c>
      <c r="AC228" s="1">
        <f t="shared" si="14"/>
        <v>626.92599999999982</v>
      </c>
    </row>
    <row r="229" spans="1:29" x14ac:dyDescent="0.25">
      <c r="A229" s="3">
        <v>2024</v>
      </c>
      <c r="B229" s="1">
        <v>12</v>
      </c>
      <c r="C229" s="1">
        <v>16</v>
      </c>
      <c r="D229" s="1">
        <v>16.722000000000001</v>
      </c>
      <c r="E229" s="1">
        <f t="shared" si="15"/>
        <v>44.147999999999996</v>
      </c>
      <c r="F229" s="1"/>
      <c r="G229" s="1" t="s">
        <v>12</v>
      </c>
      <c r="H229" s="1"/>
      <c r="I229" s="1"/>
      <c r="J229" s="1"/>
      <c r="Z229">
        <f t="shared" si="10"/>
        <v>2024</v>
      </c>
      <c r="AA229">
        <f t="shared" si="11"/>
        <v>12</v>
      </c>
      <c r="AB229" s="1">
        <f t="shared" si="12"/>
        <v>16</v>
      </c>
      <c r="AC229" s="1">
        <f t="shared" si="14"/>
        <v>643.6479999999998</v>
      </c>
    </row>
    <row r="230" spans="1:29" x14ac:dyDescent="0.25">
      <c r="A230" s="3">
        <v>2024</v>
      </c>
      <c r="B230" s="1">
        <v>12</v>
      </c>
      <c r="C230" s="1">
        <v>19</v>
      </c>
      <c r="D230" s="1">
        <v>16.661000000000001</v>
      </c>
      <c r="E230" s="1">
        <f t="shared" si="15"/>
        <v>60.808999999999997</v>
      </c>
      <c r="F230" s="1"/>
      <c r="G230" s="1" t="s">
        <v>6</v>
      </c>
      <c r="H230" s="1"/>
      <c r="I230" s="1"/>
      <c r="J230" s="1"/>
      <c r="Z230">
        <f t="shared" si="10"/>
        <v>2024</v>
      </c>
      <c r="AA230">
        <f t="shared" si="11"/>
        <v>12</v>
      </c>
      <c r="AB230" s="1">
        <f t="shared" si="12"/>
        <v>19</v>
      </c>
      <c r="AC230" s="1">
        <f t="shared" si="14"/>
        <v>660.30899999999974</v>
      </c>
    </row>
    <row r="231" spans="1:29" x14ac:dyDescent="0.25">
      <c r="A231" s="3">
        <v>2024</v>
      </c>
      <c r="B231" s="1">
        <v>12</v>
      </c>
      <c r="C231" s="1">
        <v>19</v>
      </c>
      <c r="D231" s="1">
        <v>12.664</v>
      </c>
      <c r="E231" s="1">
        <f t="shared" si="15"/>
        <v>73.472999999999999</v>
      </c>
      <c r="F231" s="1"/>
      <c r="G231" s="1" t="s">
        <v>6</v>
      </c>
      <c r="H231" s="1"/>
      <c r="I231" s="1"/>
      <c r="J231" s="1"/>
      <c r="Z231">
        <f t="shared" si="10"/>
        <v>2024</v>
      </c>
      <c r="AA231">
        <f t="shared" si="11"/>
        <v>12</v>
      </c>
      <c r="AB231" s="1">
        <f t="shared" si="12"/>
        <v>19</v>
      </c>
      <c r="AC231" s="1">
        <f t="shared" si="14"/>
        <v>672.97299999999973</v>
      </c>
    </row>
    <row r="232" spans="1:29" x14ac:dyDescent="0.25">
      <c r="A232" s="3">
        <v>2024</v>
      </c>
      <c r="B232" s="1">
        <v>12</v>
      </c>
      <c r="C232" s="1">
        <v>20</v>
      </c>
      <c r="D232" s="1">
        <v>16.343</v>
      </c>
      <c r="E232" s="1">
        <f t="shared" si="15"/>
        <v>89.816000000000003</v>
      </c>
      <c r="F232" s="1"/>
      <c r="G232" s="1" t="s">
        <v>12</v>
      </c>
      <c r="H232" s="1"/>
      <c r="I232" s="1"/>
      <c r="J232" s="1"/>
      <c r="Z232">
        <f t="shared" si="10"/>
        <v>2024</v>
      </c>
      <c r="AA232">
        <f t="shared" si="11"/>
        <v>12</v>
      </c>
      <c r="AB232" s="1">
        <f t="shared" si="12"/>
        <v>20</v>
      </c>
      <c r="AC232" s="1">
        <f t="shared" si="14"/>
        <v>689.31599999999969</v>
      </c>
    </row>
    <row r="233" spans="1:29" x14ac:dyDescent="0.25">
      <c r="A233" s="3">
        <v>2024</v>
      </c>
      <c r="B233" s="1">
        <v>12</v>
      </c>
      <c r="C233" s="1">
        <v>21</v>
      </c>
      <c r="D233" s="20">
        <v>-60</v>
      </c>
      <c r="E233" s="1">
        <f t="shared" si="15"/>
        <v>29.816000000000003</v>
      </c>
      <c r="F233" s="1"/>
      <c r="G233" s="1" t="s">
        <v>36</v>
      </c>
      <c r="H233" s="1"/>
      <c r="I233" s="1"/>
      <c r="J233" s="1"/>
      <c r="Z233">
        <f t="shared" si="10"/>
        <v>2024</v>
      </c>
      <c r="AA233">
        <f t="shared" si="11"/>
        <v>12</v>
      </c>
      <c r="AB233" s="1">
        <f t="shared" si="12"/>
        <v>21</v>
      </c>
      <c r="AC233" s="1">
        <f t="shared" si="14"/>
        <v>629.31599999999969</v>
      </c>
    </row>
    <row r="234" spans="1:29" x14ac:dyDescent="0.25">
      <c r="A234" s="3">
        <v>2024</v>
      </c>
      <c r="B234" s="1">
        <v>12</v>
      </c>
      <c r="C234" s="1">
        <v>21</v>
      </c>
      <c r="D234" s="20">
        <v>-6</v>
      </c>
      <c r="E234" s="1">
        <f t="shared" si="15"/>
        <v>23.816000000000003</v>
      </c>
      <c r="F234" s="1"/>
      <c r="G234" s="1" t="s">
        <v>47</v>
      </c>
      <c r="H234" s="1"/>
      <c r="I234" s="1"/>
      <c r="J234" s="1"/>
      <c r="Z234">
        <f t="shared" si="10"/>
        <v>2024</v>
      </c>
      <c r="AA234">
        <f t="shared" si="11"/>
        <v>12</v>
      </c>
      <c r="AB234" s="1">
        <f t="shared" si="12"/>
        <v>21</v>
      </c>
      <c r="AC234" s="1">
        <f t="shared" si="14"/>
        <v>623.31599999999969</v>
      </c>
    </row>
    <row r="235" spans="1:29" x14ac:dyDescent="0.25">
      <c r="A235" s="3">
        <v>2024</v>
      </c>
      <c r="B235" s="1">
        <v>12</v>
      </c>
      <c r="C235" s="1">
        <v>21</v>
      </c>
      <c r="D235" s="20">
        <v>-10</v>
      </c>
      <c r="E235" s="1">
        <f t="shared" si="15"/>
        <v>13.816000000000003</v>
      </c>
      <c r="F235" s="1"/>
      <c r="G235" s="1" t="s">
        <v>143</v>
      </c>
      <c r="H235" s="1"/>
      <c r="I235" s="1"/>
      <c r="J235" s="1"/>
      <c r="Z235">
        <f t="shared" si="10"/>
        <v>2024</v>
      </c>
      <c r="AA235">
        <f t="shared" si="11"/>
        <v>12</v>
      </c>
      <c r="AB235" s="1">
        <f t="shared" si="12"/>
        <v>21</v>
      </c>
      <c r="AC235" s="1">
        <f t="shared" si="14"/>
        <v>613.31599999999969</v>
      </c>
    </row>
    <row r="236" spans="1:29" x14ac:dyDescent="0.25">
      <c r="A236" s="3">
        <v>2024</v>
      </c>
      <c r="B236" s="1">
        <v>12</v>
      </c>
      <c r="C236" s="1">
        <v>22</v>
      </c>
      <c r="D236" s="1">
        <v>71.081000000000003</v>
      </c>
      <c r="E236" s="1">
        <f t="shared" si="15"/>
        <v>84.897000000000006</v>
      </c>
      <c r="F236" s="1"/>
      <c r="G236" s="1" t="s">
        <v>54</v>
      </c>
      <c r="H236" s="1"/>
      <c r="I236" s="1"/>
      <c r="J236" s="1"/>
      <c r="Z236">
        <f t="shared" si="10"/>
        <v>2024</v>
      </c>
      <c r="AA236">
        <f t="shared" si="11"/>
        <v>12</v>
      </c>
      <c r="AB236" s="1">
        <f t="shared" si="12"/>
        <v>22</v>
      </c>
      <c r="AC236" s="1">
        <f t="shared" si="14"/>
        <v>684.39699999999971</v>
      </c>
    </row>
    <row r="237" spans="1:29" x14ac:dyDescent="0.25">
      <c r="A237" s="3">
        <v>2024</v>
      </c>
      <c r="B237" s="1">
        <v>12</v>
      </c>
      <c r="C237" s="1">
        <v>24</v>
      </c>
      <c r="D237" s="1">
        <v>16.443000000000001</v>
      </c>
      <c r="E237" s="1">
        <f t="shared" si="15"/>
        <v>101.34</v>
      </c>
      <c r="F237" s="1"/>
      <c r="G237" s="1" t="s">
        <v>12</v>
      </c>
      <c r="H237" s="1"/>
      <c r="I237" s="1"/>
      <c r="J237" s="1"/>
      <c r="Z237">
        <f t="shared" si="10"/>
        <v>2024</v>
      </c>
      <c r="AA237">
        <f t="shared" si="11"/>
        <v>12</v>
      </c>
      <c r="AB237" s="1">
        <f t="shared" si="12"/>
        <v>24</v>
      </c>
      <c r="AC237" s="1">
        <f t="shared" si="14"/>
        <v>700.83999999999969</v>
      </c>
    </row>
    <row r="238" spans="1:29" x14ac:dyDescent="0.25">
      <c r="A238" s="3">
        <v>2024</v>
      </c>
      <c r="B238" s="1">
        <v>12</v>
      </c>
      <c r="C238" s="1">
        <v>24</v>
      </c>
      <c r="D238" s="1">
        <v>16.707000000000001</v>
      </c>
      <c r="E238" s="1">
        <f t="shared" si="15"/>
        <v>118.047</v>
      </c>
      <c r="F238" s="1"/>
      <c r="G238" s="1" t="s">
        <v>6</v>
      </c>
      <c r="H238" s="1"/>
      <c r="I238" s="1"/>
      <c r="J238" s="1"/>
      <c r="Z238">
        <f t="shared" si="10"/>
        <v>2024</v>
      </c>
      <c r="AA238">
        <f t="shared" si="11"/>
        <v>12</v>
      </c>
      <c r="AB238" s="1">
        <f t="shared" si="12"/>
        <v>24</v>
      </c>
      <c r="AC238" s="1">
        <f t="shared" si="14"/>
        <v>717.54699999999968</v>
      </c>
    </row>
    <row r="239" spans="1:29" x14ac:dyDescent="0.25">
      <c r="A239" s="3">
        <v>2024</v>
      </c>
      <c r="B239" s="1">
        <v>12</v>
      </c>
      <c r="C239" s="1">
        <v>26</v>
      </c>
      <c r="D239" s="1">
        <v>27.899000000000001</v>
      </c>
      <c r="E239" s="1">
        <f t="shared" si="15"/>
        <v>145.946</v>
      </c>
      <c r="F239" s="1"/>
      <c r="G239" s="1" t="s">
        <v>36</v>
      </c>
      <c r="H239" s="1"/>
      <c r="I239" s="1"/>
      <c r="J239" s="1"/>
      <c r="Z239">
        <f t="shared" si="10"/>
        <v>2024</v>
      </c>
      <c r="AA239">
        <f t="shared" si="11"/>
        <v>12</v>
      </c>
      <c r="AB239" s="1">
        <f t="shared" si="12"/>
        <v>26</v>
      </c>
      <c r="AC239" s="1">
        <f t="shared" si="14"/>
        <v>745.44599999999969</v>
      </c>
    </row>
    <row r="240" spans="1:29" x14ac:dyDescent="0.25">
      <c r="A240" s="3">
        <v>2024</v>
      </c>
      <c r="B240" s="1">
        <v>12</v>
      </c>
      <c r="C240" s="1">
        <v>26</v>
      </c>
      <c r="D240" s="1">
        <v>16.722000000000001</v>
      </c>
      <c r="E240" s="1">
        <f t="shared" si="15"/>
        <v>162.66800000000001</v>
      </c>
      <c r="F240" s="1"/>
      <c r="G240" s="1" t="s">
        <v>12</v>
      </c>
      <c r="H240" s="1"/>
      <c r="I240" s="1"/>
      <c r="J240" s="1"/>
      <c r="Z240">
        <f t="shared" si="10"/>
        <v>2024</v>
      </c>
      <c r="AA240">
        <f t="shared" si="11"/>
        <v>12</v>
      </c>
      <c r="AB240" s="1">
        <f t="shared" si="12"/>
        <v>26</v>
      </c>
      <c r="AC240" s="1">
        <f t="shared" si="14"/>
        <v>762.16799999999967</v>
      </c>
    </row>
    <row r="241" spans="1:29" x14ac:dyDescent="0.25">
      <c r="A241" s="21">
        <v>2025</v>
      </c>
      <c r="B241" s="1">
        <v>1</v>
      </c>
      <c r="C241" s="1">
        <v>2</v>
      </c>
      <c r="D241" s="20">
        <v>-11</v>
      </c>
      <c r="E241" s="1">
        <f>D241</f>
        <v>-11</v>
      </c>
      <c r="F241" s="1"/>
      <c r="G241" s="1" t="s">
        <v>6</v>
      </c>
      <c r="H241" s="1"/>
      <c r="I241" s="1"/>
      <c r="J241" s="1"/>
      <c r="Z241">
        <f t="shared" si="10"/>
        <v>2025</v>
      </c>
      <c r="AA241">
        <f t="shared" si="11"/>
        <v>1</v>
      </c>
      <c r="AB241" s="1">
        <f t="shared" si="12"/>
        <v>2</v>
      </c>
      <c r="AC241" s="1">
        <f t="shared" si="14"/>
        <v>751.16799999999967</v>
      </c>
    </row>
    <row r="242" spans="1:29" x14ac:dyDescent="0.25">
      <c r="A242">
        <v>2025</v>
      </c>
      <c r="B242" s="1">
        <v>1</v>
      </c>
      <c r="C242" s="1">
        <v>3</v>
      </c>
      <c r="D242" s="1">
        <v>15.8</v>
      </c>
      <c r="E242" s="1">
        <f>D242+E241</f>
        <v>4.8000000000000007</v>
      </c>
      <c r="F242" s="1"/>
      <c r="G242" s="1" t="s">
        <v>12</v>
      </c>
      <c r="H242" s="1"/>
      <c r="I242" s="1"/>
      <c r="J242" s="1"/>
      <c r="Z242">
        <f t="shared" si="10"/>
        <v>2025</v>
      </c>
      <c r="AA242">
        <f t="shared" si="11"/>
        <v>1</v>
      </c>
      <c r="AB242" s="1">
        <f t="shared" si="12"/>
        <v>3</v>
      </c>
      <c r="AC242" s="1">
        <f t="shared" si="14"/>
        <v>766.96799999999962</v>
      </c>
    </row>
    <row r="243" spans="1:29" x14ac:dyDescent="0.25">
      <c r="A243">
        <v>2025</v>
      </c>
      <c r="B243" s="1">
        <v>1</v>
      </c>
      <c r="C243" s="1">
        <v>4</v>
      </c>
      <c r="D243" s="1">
        <v>-33</v>
      </c>
      <c r="E243" s="1">
        <f t="shared" ref="E243:E266" si="16">D243+E242</f>
        <v>-28.2</v>
      </c>
      <c r="F243" s="1"/>
      <c r="G243" s="1" t="s">
        <v>87</v>
      </c>
      <c r="H243" s="1"/>
      <c r="I243" s="1"/>
      <c r="J243" s="1"/>
      <c r="Z243">
        <f t="shared" si="10"/>
        <v>2025</v>
      </c>
      <c r="AA243">
        <f t="shared" si="11"/>
        <v>1</v>
      </c>
      <c r="AB243" s="1">
        <f t="shared" si="12"/>
        <v>4</v>
      </c>
      <c r="AC243" s="1">
        <f t="shared" si="14"/>
        <v>733.96799999999962</v>
      </c>
    </row>
    <row r="244" spans="1:29" x14ac:dyDescent="0.25">
      <c r="A244">
        <v>2025</v>
      </c>
      <c r="B244" s="1">
        <v>1</v>
      </c>
      <c r="C244" s="1">
        <v>5</v>
      </c>
      <c r="D244" s="1">
        <v>-3.5</v>
      </c>
      <c r="E244" s="1">
        <f t="shared" si="16"/>
        <v>-31.7</v>
      </c>
      <c r="F244" s="1"/>
      <c r="G244" s="1" t="s">
        <v>141</v>
      </c>
      <c r="H244" s="1"/>
      <c r="I244" s="1"/>
      <c r="J244" s="1"/>
      <c r="Z244">
        <f t="shared" si="10"/>
        <v>2025</v>
      </c>
      <c r="AA244">
        <f t="shared" si="11"/>
        <v>1</v>
      </c>
      <c r="AB244" s="1">
        <f t="shared" si="12"/>
        <v>5</v>
      </c>
      <c r="AC244" s="1">
        <f t="shared" si="14"/>
        <v>730.46799999999962</v>
      </c>
    </row>
    <row r="245" spans="1:29" x14ac:dyDescent="0.25">
      <c r="A245">
        <v>2025</v>
      </c>
      <c r="B245" s="1">
        <v>1</v>
      </c>
      <c r="C245" s="1">
        <v>6</v>
      </c>
      <c r="D245" s="1">
        <v>39.9</v>
      </c>
      <c r="E245" s="1">
        <f t="shared" si="16"/>
        <v>8.1999999999999993</v>
      </c>
      <c r="F245" s="1"/>
      <c r="G245" s="1" t="s">
        <v>5</v>
      </c>
      <c r="H245" s="1"/>
      <c r="I245" s="1"/>
      <c r="J245" s="1"/>
      <c r="Z245">
        <f t="shared" si="10"/>
        <v>2025</v>
      </c>
      <c r="AA245">
        <f t="shared" si="11"/>
        <v>1</v>
      </c>
      <c r="AB245" s="1">
        <f t="shared" si="12"/>
        <v>6</v>
      </c>
      <c r="AC245" s="1">
        <f t="shared" si="14"/>
        <v>770.3679999999996</v>
      </c>
    </row>
    <row r="246" spans="1:29" x14ac:dyDescent="0.25">
      <c r="A246">
        <v>2025</v>
      </c>
      <c r="B246" s="1">
        <v>1</v>
      </c>
      <c r="C246" s="1">
        <v>6</v>
      </c>
      <c r="D246" s="1">
        <v>16.7</v>
      </c>
      <c r="E246" s="1">
        <f t="shared" si="16"/>
        <v>24.9</v>
      </c>
      <c r="F246" s="1"/>
      <c r="G246" s="1" t="s">
        <v>12</v>
      </c>
      <c r="H246" s="1"/>
      <c r="I246" s="1"/>
      <c r="J246" s="1"/>
      <c r="Z246">
        <f t="shared" si="10"/>
        <v>2025</v>
      </c>
      <c r="AA246">
        <f t="shared" si="11"/>
        <v>1</v>
      </c>
      <c r="AB246" s="1">
        <f t="shared" si="12"/>
        <v>6</v>
      </c>
      <c r="AC246" s="1">
        <f t="shared" si="14"/>
        <v>787.06799999999964</v>
      </c>
    </row>
    <row r="247" spans="1:29" x14ac:dyDescent="0.25">
      <c r="A247">
        <v>2025</v>
      </c>
      <c r="B247" s="1">
        <v>1</v>
      </c>
      <c r="C247" s="1">
        <v>7</v>
      </c>
      <c r="D247" s="1">
        <v>16.7</v>
      </c>
      <c r="E247" s="1">
        <f t="shared" si="16"/>
        <v>41.599999999999994</v>
      </c>
      <c r="F247" s="1"/>
      <c r="G247" s="1" t="s">
        <v>12</v>
      </c>
      <c r="H247" s="1"/>
      <c r="I247" s="1"/>
      <c r="J247" s="1"/>
      <c r="Z247">
        <f t="shared" si="10"/>
        <v>2025</v>
      </c>
      <c r="AA247">
        <f t="shared" si="11"/>
        <v>1</v>
      </c>
      <c r="AB247" s="1">
        <f t="shared" si="12"/>
        <v>7</v>
      </c>
      <c r="AC247" s="1">
        <f t="shared" si="14"/>
        <v>803.76799999999969</v>
      </c>
    </row>
    <row r="248" spans="1:29" x14ac:dyDescent="0.25">
      <c r="A248">
        <v>2025</v>
      </c>
      <c r="B248" s="1">
        <v>1</v>
      </c>
      <c r="C248" s="1">
        <v>9</v>
      </c>
      <c r="D248" s="1">
        <v>40.1</v>
      </c>
      <c r="E248" s="1">
        <f t="shared" si="16"/>
        <v>81.699999999999989</v>
      </c>
      <c r="F248" s="1" t="s">
        <v>30</v>
      </c>
      <c r="G248" t="s">
        <v>31</v>
      </c>
      <c r="H248" s="1"/>
      <c r="I248" s="1"/>
      <c r="J248" s="1"/>
      <c r="Z248">
        <f t="shared" si="10"/>
        <v>2025</v>
      </c>
      <c r="AA248">
        <f t="shared" si="11"/>
        <v>1</v>
      </c>
      <c r="AB248" s="1">
        <f t="shared" si="12"/>
        <v>9</v>
      </c>
      <c r="AC248" s="1">
        <f t="shared" si="14"/>
        <v>843.86799999999971</v>
      </c>
    </row>
    <row r="249" spans="1:29" x14ac:dyDescent="0.25">
      <c r="A249">
        <v>2025</v>
      </c>
      <c r="B249" s="1">
        <v>1</v>
      </c>
      <c r="C249" s="1">
        <v>11</v>
      </c>
      <c r="D249" s="1">
        <v>15.6</v>
      </c>
      <c r="E249" s="1">
        <f t="shared" si="16"/>
        <v>97.299999999999983</v>
      </c>
      <c r="F249" s="1"/>
      <c r="G249" s="1" t="s">
        <v>12</v>
      </c>
      <c r="H249" s="1"/>
      <c r="I249" s="1"/>
      <c r="J249" s="1"/>
      <c r="Z249">
        <f t="shared" si="10"/>
        <v>2025</v>
      </c>
      <c r="AA249">
        <f t="shared" si="11"/>
        <v>1</v>
      </c>
      <c r="AB249" s="1">
        <f t="shared" si="12"/>
        <v>11</v>
      </c>
      <c r="AC249" s="1">
        <f t="shared" si="14"/>
        <v>859.46799999999973</v>
      </c>
    </row>
    <row r="250" spans="1:29" x14ac:dyDescent="0.25">
      <c r="A250">
        <v>2025</v>
      </c>
      <c r="B250" s="1">
        <v>1</v>
      </c>
      <c r="C250" s="1">
        <v>11</v>
      </c>
      <c r="D250" s="1">
        <v>-3.8</v>
      </c>
      <c r="E250" s="1">
        <f t="shared" si="16"/>
        <v>93.499999999999986</v>
      </c>
      <c r="F250" s="1"/>
      <c r="G250" s="1" t="s">
        <v>141</v>
      </c>
      <c r="H250" s="1"/>
      <c r="I250" s="1"/>
      <c r="J250" s="1"/>
      <c r="Z250">
        <f t="shared" si="10"/>
        <v>2025</v>
      </c>
      <c r="AA250">
        <f t="shared" si="11"/>
        <v>1</v>
      </c>
      <c r="AB250" s="1">
        <f t="shared" si="12"/>
        <v>11</v>
      </c>
      <c r="AC250" s="1">
        <f t="shared" si="14"/>
        <v>855.66799999999978</v>
      </c>
    </row>
    <row r="251" spans="1:29" x14ac:dyDescent="0.25">
      <c r="A251">
        <v>2025</v>
      </c>
      <c r="B251" s="1">
        <v>1</v>
      </c>
      <c r="C251" s="1">
        <v>12</v>
      </c>
      <c r="D251" s="1">
        <v>100</v>
      </c>
      <c r="E251" s="1">
        <f t="shared" si="16"/>
        <v>193.5</v>
      </c>
      <c r="F251" s="1"/>
      <c r="G251" t="s">
        <v>24</v>
      </c>
      <c r="H251" s="1"/>
      <c r="I251" s="1"/>
      <c r="J251" s="1"/>
      <c r="Z251">
        <f t="shared" ref="Z251:Z313" si="17">A251</f>
        <v>2025</v>
      </c>
      <c r="AA251">
        <f t="shared" ref="AA251:AA313" si="18">B251</f>
        <v>1</v>
      </c>
      <c r="AB251" s="1">
        <f t="shared" ref="AB251:AB313" si="19">C251</f>
        <v>12</v>
      </c>
      <c r="AC251" s="1">
        <f t="shared" si="14"/>
        <v>955.66799999999978</v>
      </c>
    </row>
    <row r="252" spans="1:29" x14ac:dyDescent="0.25">
      <c r="A252">
        <v>2025</v>
      </c>
      <c r="B252" s="1">
        <v>1</v>
      </c>
      <c r="C252" s="1">
        <v>15</v>
      </c>
      <c r="D252" s="1">
        <v>109.8</v>
      </c>
      <c r="E252" s="1">
        <f t="shared" si="16"/>
        <v>303.3</v>
      </c>
      <c r="F252" s="1" t="s">
        <v>30</v>
      </c>
      <c r="G252" t="s">
        <v>31</v>
      </c>
      <c r="H252" s="1"/>
      <c r="I252" s="1"/>
      <c r="J252" s="1"/>
      <c r="Z252">
        <f t="shared" si="17"/>
        <v>2025</v>
      </c>
      <c r="AA252">
        <f t="shared" si="18"/>
        <v>1</v>
      </c>
      <c r="AB252" s="1">
        <f t="shared" si="19"/>
        <v>15</v>
      </c>
      <c r="AC252" s="1">
        <f t="shared" ref="AC252:AC312" si="20">AC251+D252</f>
        <v>1065.4679999999998</v>
      </c>
    </row>
    <row r="253" spans="1:29" x14ac:dyDescent="0.25">
      <c r="A253">
        <v>2025</v>
      </c>
      <c r="B253" s="1">
        <v>1</v>
      </c>
      <c r="C253" s="1">
        <v>15</v>
      </c>
      <c r="D253" s="1">
        <v>120</v>
      </c>
      <c r="E253" s="1">
        <f t="shared" si="16"/>
        <v>423.3</v>
      </c>
      <c r="F253" s="1"/>
      <c r="G253" t="s">
        <v>24</v>
      </c>
      <c r="H253" s="1"/>
      <c r="I253" s="1"/>
      <c r="J253" s="1"/>
      <c r="Z253">
        <f t="shared" si="17"/>
        <v>2025</v>
      </c>
      <c r="AA253">
        <f t="shared" si="18"/>
        <v>1</v>
      </c>
      <c r="AB253" s="1">
        <f t="shared" si="19"/>
        <v>15</v>
      </c>
      <c r="AC253" s="1">
        <f t="shared" si="20"/>
        <v>1185.4679999999998</v>
      </c>
    </row>
    <row r="254" spans="1:29" x14ac:dyDescent="0.25">
      <c r="A254">
        <v>2025</v>
      </c>
      <c r="B254" s="1">
        <v>1</v>
      </c>
      <c r="C254" s="1">
        <v>16</v>
      </c>
      <c r="D254" s="1">
        <v>6</v>
      </c>
      <c r="E254" s="1">
        <f t="shared" si="16"/>
        <v>429.3</v>
      </c>
      <c r="F254" s="1"/>
      <c r="G254" s="1" t="s">
        <v>12</v>
      </c>
      <c r="H254" s="1"/>
      <c r="I254" s="1"/>
      <c r="J254" s="1"/>
      <c r="Z254">
        <f t="shared" si="17"/>
        <v>2025</v>
      </c>
      <c r="AA254">
        <f t="shared" si="18"/>
        <v>1</v>
      </c>
      <c r="AB254" s="1">
        <f t="shared" si="19"/>
        <v>16</v>
      </c>
      <c r="AC254" s="1">
        <f t="shared" si="20"/>
        <v>1191.4679999999998</v>
      </c>
    </row>
    <row r="255" spans="1:29" x14ac:dyDescent="0.25">
      <c r="A255">
        <v>2025</v>
      </c>
      <c r="B255" s="1">
        <v>1</v>
      </c>
      <c r="C255" s="1">
        <v>16</v>
      </c>
      <c r="D255" s="1">
        <v>60</v>
      </c>
      <c r="E255" s="1">
        <f t="shared" si="16"/>
        <v>489.3</v>
      </c>
      <c r="F255" s="1"/>
      <c r="G255" s="1" t="s">
        <v>54</v>
      </c>
      <c r="H255" s="1"/>
      <c r="I255" s="1"/>
      <c r="J255" s="1"/>
      <c r="Z255">
        <f t="shared" si="17"/>
        <v>2025</v>
      </c>
      <c r="AA255">
        <f t="shared" si="18"/>
        <v>1</v>
      </c>
      <c r="AB255" s="1">
        <f t="shared" si="19"/>
        <v>16</v>
      </c>
      <c r="AC255" s="1">
        <f t="shared" si="20"/>
        <v>1251.4679999999998</v>
      </c>
    </row>
    <row r="256" spans="1:29" x14ac:dyDescent="0.25">
      <c r="A256">
        <v>2025</v>
      </c>
      <c r="B256" s="1">
        <v>1</v>
      </c>
      <c r="C256" s="1">
        <v>19</v>
      </c>
      <c r="D256" s="1">
        <v>15.7</v>
      </c>
      <c r="E256" s="1">
        <f t="shared" si="16"/>
        <v>505</v>
      </c>
      <c r="F256" s="1"/>
      <c r="G256" s="1" t="s">
        <v>12</v>
      </c>
      <c r="H256" s="1"/>
      <c r="I256" s="1"/>
      <c r="J256" s="1"/>
      <c r="Z256">
        <f t="shared" si="17"/>
        <v>2025</v>
      </c>
      <c r="AA256">
        <f t="shared" si="18"/>
        <v>1</v>
      </c>
      <c r="AB256" s="1">
        <f t="shared" si="19"/>
        <v>19</v>
      </c>
      <c r="AC256" s="1">
        <f t="shared" si="20"/>
        <v>1267.1679999999999</v>
      </c>
    </row>
    <row r="257" spans="1:29" x14ac:dyDescent="0.25">
      <c r="A257">
        <v>2025</v>
      </c>
      <c r="B257" s="1">
        <v>1</v>
      </c>
      <c r="C257" s="1">
        <v>20</v>
      </c>
      <c r="D257" s="1">
        <v>38.700000000000003</v>
      </c>
      <c r="E257" s="1">
        <f t="shared" si="16"/>
        <v>543.70000000000005</v>
      </c>
      <c r="F257" s="1"/>
      <c r="G257" s="1" t="s">
        <v>5</v>
      </c>
      <c r="H257" s="1"/>
      <c r="I257" s="1"/>
      <c r="J257" s="1"/>
      <c r="Z257">
        <f t="shared" si="17"/>
        <v>2025</v>
      </c>
      <c r="AA257">
        <f t="shared" si="18"/>
        <v>1</v>
      </c>
      <c r="AB257" s="1">
        <f t="shared" si="19"/>
        <v>20</v>
      </c>
      <c r="AC257" s="1">
        <f t="shared" si="20"/>
        <v>1305.8679999999999</v>
      </c>
    </row>
    <row r="258" spans="1:29" x14ac:dyDescent="0.25">
      <c r="A258">
        <v>2025</v>
      </c>
      <c r="B258" s="1">
        <v>1</v>
      </c>
      <c r="C258" s="1">
        <v>21</v>
      </c>
      <c r="D258" s="1">
        <v>17</v>
      </c>
      <c r="E258" s="1">
        <f t="shared" si="16"/>
        <v>560.70000000000005</v>
      </c>
      <c r="F258" s="1"/>
      <c r="G258" s="1" t="s">
        <v>12</v>
      </c>
      <c r="H258" s="1"/>
      <c r="I258" s="1"/>
      <c r="J258" s="1"/>
      <c r="Z258">
        <f t="shared" si="17"/>
        <v>2025</v>
      </c>
      <c r="AA258">
        <f t="shared" si="18"/>
        <v>1</v>
      </c>
      <c r="AB258" s="1">
        <f t="shared" si="19"/>
        <v>21</v>
      </c>
      <c r="AC258" s="1">
        <f t="shared" si="20"/>
        <v>1322.8679999999999</v>
      </c>
    </row>
    <row r="259" spans="1:29" x14ac:dyDescent="0.25">
      <c r="A259">
        <v>2025</v>
      </c>
      <c r="B259" s="1">
        <v>1</v>
      </c>
      <c r="C259" s="1">
        <v>22</v>
      </c>
      <c r="D259" s="1">
        <v>-30</v>
      </c>
      <c r="E259" s="1">
        <f t="shared" si="16"/>
        <v>530.70000000000005</v>
      </c>
      <c r="F259" s="1"/>
      <c r="G259" s="1" t="s">
        <v>28</v>
      </c>
      <c r="H259" s="1"/>
      <c r="I259" s="1"/>
      <c r="J259" s="1"/>
      <c r="Z259">
        <f t="shared" si="17"/>
        <v>2025</v>
      </c>
      <c r="AA259">
        <f t="shared" si="18"/>
        <v>1</v>
      </c>
      <c r="AB259" s="1">
        <f t="shared" si="19"/>
        <v>22</v>
      </c>
      <c r="AC259" s="1">
        <f t="shared" si="20"/>
        <v>1292.8679999999999</v>
      </c>
    </row>
    <row r="260" spans="1:29" x14ac:dyDescent="0.25">
      <c r="A260">
        <v>2025</v>
      </c>
      <c r="B260" s="1">
        <v>1</v>
      </c>
      <c r="C260" s="1">
        <v>22</v>
      </c>
      <c r="D260" s="1">
        <v>116.5</v>
      </c>
      <c r="E260" s="1">
        <f t="shared" si="16"/>
        <v>647.20000000000005</v>
      </c>
      <c r="F260" s="1"/>
      <c r="G260" t="s">
        <v>24</v>
      </c>
      <c r="H260" s="1"/>
      <c r="I260" s="1"/>
      <c r="J260" s="1"/>
      <c r="Z260">
        <f t="shared" si="17"/>
        <v>2025</v>
      </c>
      <c r="AA260">
        <f t="shared" si="18"/>
        <v>1</v>
      </c>
      <c r="AB260" s="1">
        <f t="shared" si="19"/>
        <v>22</v>
      </c>
      <c r="AC260" s="1">
        <f t="shared" si="20"/>
        <v>1409.3679999999999</v>
      </c>
    </row>
    <row r="261" spans="1:29" x14ac:dyDescent="0.25">
      <c r="A261">
        <v>2025</v>
      </c>
      <c r="B261" s="1">
        <v>1</v>
      </c>
      <c r="C261" s="1">
        <v>24</v>
      </c>
      <c r="D261" s="1">
        <v>80</v>
      </c>
      <c r="E261" s="1">
        <f t="shared" si="16"/>
        <v>727.2</v>
      </c>
      <c r="F261" s="1"/>
      <c r="G261" s="1" t="s">
        <v>58</v>
      </c>
      <c r="H261" s="1"/>
      <c r="I261" s="1"/>
      <c r="J261" s="1"/>
      <c r="Z261">
        <f t="shared" si="17"/>
        <v>2025</v>
      </c>
      <c r="AA261">
        <f t="shared" si="18"/>
        <v>1</v>
      </c>
      <c r="AB261" s="1">
        <f t="shared" si="19"/>
        <v>24</v>
      </c>
      <c r="AC261" s="1">
        <f t="shared" si="20"/>
        <v>1489.3679999999999</v>
      </c>
    </row>
    <row r="262" spans="1:29" x14ac:dyDescent="0.25">
      <c r="A262">
        <v>2025</v>
      </c>
      <c r="B262" s="1">
        <v>1</v>
      </c>
      <c r="C262" s="1">
        <v>24</v>
      </c>
      <c r="D262" s="1">
        <v>15.8</v>
      </c>
      <c r="E262" s="1">
        <f t="shared" si="16"/>
        <v>743</v>
      </c>
      <c r="F262" s="1"/>
      <c r="G262" s="1" t="s">
        <v>12</v>
      </c>
      <c r="H262" s="1"/>
      <c r="I262" s="1"/>
      <c r="J262" s="1"/>
      <c r="Z262">
        <f t="shared" si="17"/>
        <v>2025</v>
      </c>
      <c r="AA262">
        <f t="shared" si="18"/>
        <v>1</v>
      </c>
      <c r="AB262" s="1">
        <f t="shared" si="19"/>
        <v>24</v>
      </c>
      <c r="AC262" s="1">
        <f t="shared" si="20"/>
        <v>1505.1679999999999</v>
      </c>
    </row>
    <row r="263" spans="1:29" x14ac:dyDescent="0.25">
      <c r="A263">
        <v>2025</v>
      </c>
      <c r="B263" s="1">
        <v>1</v>
      </c>
      <c r="C263" s="1">
        <v>27</v>
      </c>
      <c r="D263" s="1">
        <v>80</v>
      </c>
      <c r="E263" s="1">
        <f t="shared" si="16"/>
        <v>823</v>
      </c>
      <c r="F263" s="1" t="s">
        <v>59</v>
      </c>
      <c r="G263" t="s">
        <v>31</v>
      </c>
      <c r="H263" s="1"/>
      <c r="I263" s="1"/>
      <c r="J263" s="1"/>
      <c r="Z263">
        <f t="shared" si="17"/>
        <v>2025</v>
      </c>
      <c r="AA263">
        <f t="shared" si="18"/>
        <v>1</v>
      </c>
      <c r="AB263" s="1">
        <f t="shared" si="19"/>
        <v>27</v>
      </c>
      <c r="AC263" s="1">
        <f t="shared" si="20"/>
        <v>1585.1679999999999</v>
      </c>
    </row>
    <row r="264" spans="1:29" x14ac:dyDescent="0.25">
      <c r="A264">
        <v>2025</v>
      </c>
      <c r="B264" s="1">
        <v>1</v>
      </c>
      <c r="C264" s="1">
        <v>28</v>
      </c>
      <c r="D264" s="1">
        <v>140</v>
      </c>
      <c r="E264" s="1">
        <f t="shared" si="16"/>
        <v>963</v>
      </c>
      <c r="F264" s="1"/>
      <c r="G264" t="s">
        <v>24</v>
      </c>
      <c r="H264" s="1"/>
      <c r="I264" s="1"/>
      <c r="J264" s="1"/>
      <c r="Z264">
        <f t="shared" si="17"/>
        <v>2025</v>
      </c>
      <c r="AA264">
        <f t="shared" si="18"/>
        <v>1</v>
      </c>
      <c r="AB264" s="1">
        <f t="shared" si="19"/>
        <v>28</v>
      </c>
      <c r="AC264" s="1">
        <f t="shared" si="20"/>
        <v>1725.1679999999999</v>
      </c>
    </row>
    <row r="265" spans="1:29" x14ac:dyDescent="0.25">
      <c r="A265">
        <v>2025</v>
      </c>
      <c r="B265" s="1">
        <v>1</v>
      </c>
      <c r="C265" s="1">
        <v>29</v>
      </c>
      <c r="D265" s="1">
        <v>16.7</v>
      </c>
      <c r="E265" s="1">
        <f t="shared" si="16"/>
        <v>979.7</v>
      </c>
      <c r="F265" s="1"/>
      <c r="G265" s="1" t="s">
        <v>12</v>
      </c>
      <c r="H265" s="1"/>
      <c r="I265" s="1"/>
      <c r="J265" s="1"/>
      <c r="Z265">
        <f t="shared" si="17"/>
        <v>2025</v>
      </c>
      <c r="AA265">
        <f t="shared" si="18"/>
        <v>1</v>
      </c>
      <c r="AB265" s="1">
        <f t="shared" si="19"/>
        <v>29</v>
      </c>
      <c r="AC265" s="1">
        <f t="shared" si="20"/>
        <v>1741.8679999999999</v>
      </c>
    </row>
    <row r="266" spans="1:29" x14ac:dyDescent="0.25">
      <c r="A266">
        <v>2025</v>
      </c>
      <c r="B266" s="1">
        <v>1</v>
      </c>
      <c r="C266" s="1">
        <v>31</v>
      </c>
      <c r="D266" s="1">
        <v>-10</v>
      </c>
      <c r="E266" s="1">
        <f t="shared" si="16"/>
        <v>969.7</v>
      </c>
      <c r="F266" s="1"/>
      <c r="G266" s="1" t="s">
        <v>20</v>
      </c>
      <c r="H266" s="1"/>
      <c r="I266" s="1"/>
      <c r="J266" s="1"/>
      <c r="Z266">
        <f t="shared" si="17"/>
        <v>2025</v>
      </c>
      <c r="AA266">
        <f t="shared" si="18"/>
        <v>1</v>
      </c>
      <c r="AB266" s="1">
        <f t="shared" si="19"/>
        <v>31</v>
      </c>
      <c r="AC266" s="1">
        <f t="shared" si="20"/>
        <v>1731.8679999999999</v>
      </c>
    </row>
    <row r="267" spans="1:29" x14ac:dyDescent="0.25">
      <c r="A267">
        <v>2025</v>
      </c>
      <c r="B267">
        <v>2</v>
      </c>
      <c r="C267" s="13">
        <v>2</v>
      </c>
      <c r="D267">
        <v>70</v>
      </c>
      <c r="E267" s="1">
        <f>D267</f>
        <v>70</v>
      </c>
      <c r="F267" s="1"/>
      <c r="G267" s="14" t="s">
        <v>5</v>
      </c>
      <c r="H267" s="14" t="s">
        <v>101</v>
      </c>
      <c r="I267" s="1"/>
      <c r="J267" s="1"/>
      <c r="Z267">
        <f t="shared" si="17"/>
        <v>2025</v>
      </c>
      <c r="AA267">
        <f t="shared" si="18"/>
        <v>2</v>
      </c>
      <c r="AB267" s="1">
        <f t="shared" si="19"/>
        <v>2</v>
      </c>
      <c r="AC267" s="1">
        <f t="shared" si="20"/>
        <v>1801.8679999999999</v>
      </c>
    </row>
    <row r="268" spans="1:29" x14ac:dyDescent="0.25">
      <c r="A268">
        <v>2025</v>
      </c>
      <c r="B268">
        <v>2</v>
      </c>
      <c r="C268" s="13">
        <v>4</v>
      </c>
      <c r="D268">
        <v>16.600000000000001</v>
      </c>
      <c r="E268" s="1">
        <f>D268+E267</f>
        <v>86.6</v>
      </c>
      <c r="F268" s="1"/>
      <c r="G268" s="14" t="s">
        <v>12</v>
      </c>
      <c r="H268" s="14" t="s">
        <v>102</v>
      </c>
      <c r="I268" s="1"/>
      <c r="J268" s="1"/>
      <c r="Z268">
        <f t="shared" si="17"/>
        <v>2025</v>
      </c>
      <c r="AA268">
        <f t="shared" si="18"/>
        <v>2</v>
      </c>
      <c r="AB268" s="1">
        <f t="shared" si="19"/>
        <v>4</v>
      </c>
      <c r="AC268" s="1">
        <f t="shared" si="20"/>
        <v>1818.4679999999998</v>
      </c>
    </row>
    <row r="269" spans="1:29" x14ac:dyDescent="0.25">
      <c r="A269">
        <v>2025</v>
      </c>
      <c r="B269">
        <v>2</v>
      </c>
      <c r="C269" s="13">
        <v>4</v>
      </c>
      <c r="D269">
        <v>6</v>
      </c>
      <c r="E269" s="1">
        <f t="shared" ref="E269:E289" si="21">D269+E268</f>
        <v>92.6</v>
      </c>
      <c r="F269" s="1"/>
      <c r="G269" s="14" t="s">
        <v>12</v>
      </c>
      <c r="H269" s="14" t="s">
        <v>103</v>
      </c>
      <c r="I269" s="1"/>
      <c r="J269" s="1"/>
      <c r="Z269">
        <f t="shared" si="17"/>
        <v>2025</v>
      </c>
      <c r="AA269">
        <f t="shared" si="18"/>
        <v>2</v>
      </c>
      <c r="AB269" s="1">
        <f t="shared" si="19"/>
        <v>4</v>
      </c>
      <c r="AC269" s="1">
        <f t="shared" si="20"/>
        <v>1824.4679999999998</v>
      </c>
    </row>
    <row r="270" spans="1:29" x14ac:dyDescent="0.25">
      <c r="A270">
        <v>2025</v>
      </c>
      <c r="B270">
        <v>2</v>
      </c>
      <c r="C270" s="13">
        <v>5</v>
      </c>
      <c r="D270">
        <v>14.8</v>
      </c>
      <c r="E270" s="1">
        <f t="shared" si="21"/>
        <v>107.39999999999999</v>
      </c>
      <c r="F270" s="1"/>
      <c r="G270" s="14" t="s">
        <v>8</v>
      </c>
      <c r="H270" s="14" t="s">
        <v>110</v>
      </c>
      <c r="I270" s="1"/>
      <c r="J270" s="1"/>
      <c r="Z270">
        <f t="shared" si="17"/>
        <v>2025</v>
      </c>
      <c r="AA270">
        <f t="shared" si="18"/>
        <v>2</v>
      </c>
      <c r="AB270" s="1">
        <f t="shared" si="19"/>
        <v>5</v>
      </c>
      <c r="AC270" s="1">
        <f t="shared" si="20"/>
        <v>1839.2679999999998</v>
      </c>
    </row>
    <row r="271" spans="1:29" x14ac:dyDescent="0.25">
      <c r="A271">
        <v>2025</v>
      </c>
      <c r="B271">
        <v>2</v>
      </c>
      <c r="C271" s="13">
        <v>8</v>
      </c>
      <c r="D271">
        <v>110</v>
      </c>
      <c r="E271" s="1">
        <f t="shared" si="21"/>
        <v>217.39999999999998</v>
      </c>
      <c r="F271" s="1"/>
      <c r="G271" s="14" t="s">
        <v>108</v>
      </c>
      <c r="H271" s="14" t="s">
        <v>64</v>
      </c>
      <c r="I271" s="1"/>
      <c r="J271" s="1"/>
      <c r="Z271">
        <f t="shared" si="17"/>
        <v>2025</v>
      </c>
      <c r="AA271">
        <f t="shared" si="18"/>
        <v>2</v>
      </c>
      <c r="AB271" s="1">
        <f t="shared" si="19"/>
        <v>8</v>
      </c>
      <c r="AC271" s="1">
        <f t="shared" si="20"/>
        <v>1949.2679999999998</v>
      </c>
    </row>
    <row r="272" spans="1:29" x14ac:dyDescent="0.25">
      <c r="A272">
        <v>2025</v>
      </c>
      <c r="B272">
        <v>2</v>
      </c>
      <c r="C272" s="13">
        <v>8</v>
      </c>
      <c r="D272" s="13">
        <v>-90</v>
      </c>
      <c r="E272" s="1">
        <f t="shared" si="21"/>
        <v>127.39999999999998</v>
      </c>
      <c r="F272" s="1"/>
      <c r="G272" s="14" t="s">
        <v>130</v>
      </c>
      <c r="H272" s="14" t="s">
        <v>101</v>
      </c>
      <c r="I272" s="1"/>
      <c r="J272" s="1"/>
      <c r="Z272">
        <f t="shared" si="17"/>
        <v>2025</v>
      </c>
      <c r="AA272">
        <f t="shared" si="18"/>
        <v>2</v>
      </c>
      <c r="AB272" s="1">
        <f t="shared" si="19"/>
        <v>8</v>
      </c>
      <c r="AC272" s="1">
        <f t="shared" si="20"/>
        <v>1859.2679999999998</v>
      </c>
    </row>
    <row r="273" spans="1:29" x14ac:dyDescent="0.25">
      <c r="A273">
        <v>2025</v>
      </c>
      <c r="B273">
        <v>2</v>
      </c>
      <c r="C273" s="13">
        <v>9</v>
      </c>
      <c r="D273" s="13">
        <v>-100</v>
      </c>
      <c r="E273" s="1">
        <f t="shared" si="21"/>
        <v>27.399999999999977</v>
      </c>
      <c r="F273" s="1"/>
      <c r="G273" s="14" t="s">
        <v>129</v>
      </c>
      <c r="H273" s="14" t="s">
        <v>128</v>
      </c>
      <c r="I273" s="1"/>
      <c r="J273" s="1"/>
      <c r="Z273">
        <f t="shared" si="17"/>
        <v>2025</v>
      </c>
      <c r="AA273">
        <f t="shared" si="18"/>
        <v>2</v>
      </c>
      <c r="AB273" s="1">
        <f t="shared" si="19"/>
        <v>9</v>
      </c>
      <c r="AC273" s="1">
        <f t="shared" si="20"/>
        <v>1759.2679999999998</v>
      </c>
    </row>
    <row r="274" spans="1:29" x14ac:dyDescent="0.25">
      <c r="A274">
        <v>2025</v>
      </c>
      <c r="B274">
        <v>2</v>
      </c>
      <c r="C274" s="13">
        <v>10</v>
      </c>
      <c r="D274">
        <v>15.3</v>
      </c>
      <c r="E274" s="1">
        <f t="shared" si="21"/>
        <v>42.699999999999974</v>
      </c>
      <c r="F274" s="1"/>
      <c r="G274" s="14" t="s">
        <v>12</v>
      </c>
      <c r="H274" s="14" t="s">
        <v>104</v>
      </c>
      <c r="I274" s="1"/>
      <c r="J274" s="1"/>
      <c r="Z274">
        <f t="shared" si="17"/>
        <v>2025</v>
      </c>
      <c r="AA274">
        <f t="shared" si="18"/>
        <v>2</v>
      </c>
      <c r="AB274" s="1">
        <f t="shared" si="19"/>
        <v>10</v>
      </c>
      <c r="AC274" s="1">
        <f t="shared" si="20"/>
        <v>1774.5679999999998</v>
      </c>
    </row>
    <row r="275" spans="1:29" x14ac:dyDescent="0.25">
      <c r="A275">
        <v>2025</v>
      </c>
      <c r="B275">
        <v>2</v>
      </c>
      <c r="C275" s="13">
        <v>10</v>
      </c>
      <c r="D275">
        <v>110</v>
      </c>
      <c r="E275" s="1">
        <f t="shared" si="21"/>
        <v>152.69999999999999</v>
      </c>
      <c r="F275" s="1"/>
      <c r="G275" s="14" t="s">
        <v>108</v>
      </c>
      <c r="H275" s="14" t="s">
        <v>68</v>
      </c>
      <c r="I275" s="1"/>
      <c r="J275" s="1"/>
      <c r="Z275">
        <f t="shared" si="17"/>
        <v>2025</v>
      </c>
      <c r="AA275">
        <f t="shared" si="18"/>
        <v>2</v>
      </c>
      <c r="AB275" s="1">
        <f t="shared" si="19"/>
        <v>10</v>
      </c>
      <c r="AC275" s="1">
        <f t="shared" si="20"/>
        <v>1884.5679999999998</v>
      </c>
    </row>
    <row r="276" spans="1:29" x14ac:dyDescent="0.25">
      <c r="A276">
        <v>2025</v>
      </c>
      <c r="B276">
        <v>2</v>
      </c>
      <c r="C276" s="13">
        <v>12</v>
      </c>
      <c r="D276">
        <v>16.7</v>
      </c>
      <c r="E276" s="1">
        <f t="shared" si="21"/>
        <v>169.39999999999998</v>
      </c>
      <c r="F276" s="1"/>
      <c r="G276" s="14" t="s">
        <v>12</v>
      </c>
      <c r="H276" s="14" t="s">
        <v>111</v>
      </c>
      <c r="I276" s="1"/>
      <c r="J276" s="1"/>
      <c r="Z276">
        <f t="shared" si="17"/>
        <v>2025</v>
      </c>
      <c r="AA276">
        <f t="shared" si="18"/>
        <v>2</v>
      </c>
      <c r="AB276" s="1">
        <f t="shared" si="19"/>
        <v>12</v>
      </c>
      <c r="AC276" s="1">
        <f t="shared" si="20"/>
        <v>1901.2679999999998</v>
      </c>
    </row>
    <row r="277" spans="1:29" x14ac:dyDescent="0.25">
      <c r="A277">
        <v>2025</v>
      </c>
      <c r="B277">
        <v>2</v>
      </c>
      <c r="C277" s="13">
        <v>12</v>
      </c>
      <c r="D277" s="13">
        <v>-12</v>
      </c>
      <c r="E277" s="1">
        <f t="shared" si="21"/>
        <v>157.39999999999998</v>
      </c>
      <c r="F277" s="1"/>
      <c r="G277" s="14" t="s">
        <v>6</v>
      </c>
      <c r="H277" s="14" t="s">
        <v>132</v>
      </c>
      <c r="I277" s="1"/>
      <c r="J277" s="1"/>
      <c r="Z277">
        <f t="shared" si="17"/>
        <v>2025</v>
      </c>
      <c r="AA277">
        <f t="shared" si="18"/>
        <v>2</v>
      </c>
      <c r="AB277" s="1">
        <f t="shared" si="19"/>
        <v>12</v>
      </c>
      <c r="AC277" s="1">
        <f t="shared" si="20"/>
        <v>1889.2679999999998</v>
      </c>
    </row>
    <row r="278" spans="1:29" x14ac:dyDescent="0.25">
      <c r="A278">
        <v>2025</v>
      </c>
      <c r="B278">
        <v>2</v>
      </c>
      <c r="C278" s="13">
        <v>13</v>
      </c>
      <c r="D278">
        <v>16.7</v>
      </c>
      <c r="E278" s="1">
        <f t="shared" si="21"/>
        <v>174.09999999999997</v>
      </c>
      <c r="F278" s="1"/>
      <c r="G278" s="14" t="s">
        <v>12</v>
      </c>
      <c r="H278" s="14" t="s">
        <v>105</v>
      </c>
      <c r="I278" s="1"/>
      <c r="J278" s="1"/>
      <c r="Z278">
        <f t="shared" si="17"/>
        <v>2025</v>
      </c>
      <c r="AA278">
        <f t="shared" si="18"/>
        <v>2</v>
      </c>
      <c r="AB278" s="1">
        <f t="shared" si="19"/>
        <v>13</v>
      </c>
      <c r="AC278" s="1">
        <f t="shared" si="20"/>
        <v>1905.9679999999998</v>
      </c>
    </row>
    <row r="279" spans="1:29" x14ac:dyDescent="0.25">
      <c r="A279">
        <v>2025</v>
      </c>
      <c r="B279">
        <v>2</v>
      </c>
      <c r="C279" s="13">
        <v>13</v>
      </c>
      <c r="D279" s="13">
        <v>-35</v>
      </c>
      <c r="E279" s="1">
        <f t="shared" si="21"/>
        <v>139.09999999999997</v>
      </c>
      <c r="F279" s="1"/>
      <c r="G279" s="14" t="s">
        <v>14</v>
      </c>
      <c r="H279" s="14" t="s">
        <v>132</v>
      </c>
      <c r="I279" s="1"/>
      <c r="J279" s="1"/>
      <c r="Z279">
        <f t="shared" si="17"/>
        <v>2025</v>
      </c>
      <c r="AA279">
        <f t="shared" si="18"/>
        <v>2</v>
      </c>
      <c r="AB279" s="1">
        <f t="shared" si="19"/>
        <v>13</v>
      </c>
      <c r="AC279" s="1">
        <f t="shared" si="20"/>
        <v>1870.9679999999998</v>
      </c>
    </row>
    <row r="280" spans="1:29" x14ac:dyDescent="0.25">
      <c r="A280">
        <v>2025</v>
      </c>
      <c r="B280">
        <v>2</v>
      </c>
      <c r="C280" s="13">
        <v>13</v>
      </c>
      <c r="D280" s="1">
        <v>14.2</v>
      </c>
      <c r="E280" s="1">
        <f t="shared" si="21"/>
        <v>153.29999999999995</v>
      </c>
      <c r="F280" s="1"/>
      <c r="G280" s="14" t="s">
        <v>36</v>
      </c>
      <c r="H280" s="14" t="s">
        <v>112</v>
      </c>
      <c r="I280" s="1"/>
      <c r="J280" s="1"/>
      <c r="Z280">
        <f t="shared" si="17"/>
        <v>2025</v>
      </c>
      <c r="AA280">
        <f t="shared" si="18"/>
        <v>2</v>
      </c>
      <c r="AB280" s="1">
        <f t="shared" si="19"/>
        <v>13</v>
      </c>
      <c r="AC280" s="1">
        <f t="shared" si="20"/>
        <v>1885.1679999999999</v>
      </c>
    </row>
    <row r="281" spans="1:29" x14ac:dyDescent="0.25">
      <c r="A281">
        <v>2025</v>
      </c>
      <c r="B281">
        <v>2</v>
      </c>
      <c r="C281" s="13">
        <v>16</v>
      </c>
      <c r="D281" s="13">
        <v>-16</v>
      </c>
      <c r="E281" s="1">
        <f t="shared" si="21"/>
        <v>137.29999999999995</v>
      </c>
      <c r="F281" s="1"/>
      <c r="G281" s="14" t="s">
        <v>6</v>
      </c>
      <c r="H281" s="14" t="s">
        <v>110</v>
      </c>
      <c r="I281" s="1"/>
      <c r="J281" s="1"/>
      <c r="Z281">
        <f t="shared" si="17"/>
        <v>2025</v>
      </c>
      <c r="AA281">
        <f t="shared" si="18"/>
        <v>2</v>
      </c>
      <c r="AB281" s="1">
        <f t="shared" si="19"/>
        <v>16</v>
      </c>
      <c r="AC281" s="1">
        <f t="shared" si="20"/>
        <v>1869.1679999999999</v>
      </c>
    </row>
    <row r="282" spans="1:29" x14ac:dyDescent="0.25">
      <c r="A282">
        <v>2025</v>
      </c>
      <c r="B282">
        <v>2</v>
      </c>
      <c r="C282" s="13">
        <v>17</v>
      </c>
      <c r="D282" s="1">
        <v>16.100000000000001</v>
      </c>
      <c r="E282" s="1">
        <f t="shared" si="21"/>
        <v>153.39999999999995</v>
      </c>
      <c r="F282" s="1"/>
      <c r="G282" s="14" t="s">
        <v>12</v>
      </c>
      <c r="H282" s="14" t="s">
        <v>106</v>
      </c>
      <c r="I282" s="1"/>
      <c r="J282" s="1"/>
      <c r="Z282">
        <f t="shared" si="17"/>
        <v>2025</v>
      </c>
      <c r="AA282">
        <f t="shared" si="18"/>
        <v>2</v>
      </c>
      <c r="AB282" s="1">
        <f t="shared" si="19"/>
        <v>17</v>
      </c>
      <c r="AC282" s="1">
        <f t="shared" si="20"/>
        <v>1885.2679999999998</v>
      </c>
    </row>
    <row r="283" spans="1:29" x14ac:dyDescent="0.25">
      <c r="A283">
        <v>2025</v>
      </c>
      <c r="B283">
        <v>2</v>
      </c>
      <c r="C283" s="13">
        <v>18</v>
      </c>
      <c r="D283" s="1">
        <v>16.7</v>
      </c>
      <c r="E283" s="1">
        <f t="shared" si="21"/>
        <v>170.09999999999994</v>
      </c>
      <c r="F283" s="1"/>
      <c r="G283" s="14" t="s">
        <v>12</v>
      </c>
      <c r="H283" s="14" t="s">
        <v>113</v>
      </c>
      <c r="I283" s="1"/>
      <c r="J283" s="1"/>
      <c r="Z283">
        <f t="shared" si="17"/>
        <v>2025</v>
      </c>
      <c r="AA283">
        <f t="shared" si="18"/>
        <v>2</v>
      </c>
      <c r="AB283" s="1">
        <f t="shared" si="19"/>
        <v>18</v>
      </c>
      <c r="AC283" s="1">
        <f t="shared" si="20"/>
        <v>1901.9679999999998</v>
      </c>
    </row>
    <row r="284" spans="1:29" x14ac:dyDescent="0.25">
      <c r="A284">
        <v>2025</v>
      </c>
      <c r="B284">
        <v>2</v>
      </c>
      <c r="C284" s="13">
        <v>20</v>
      </c>
      <c r="D284" s="1">
        <v>130</v>
      </c>
      <c r="E284" s="1">
        <f t="shared" si="21"/>
        <v>300.09999999999991</v>
      </c>
      <c r="F284" s="1"/>
      <c r="G284" s="14" t="s">
        <v>109</v>
      </c>
      <c r="H284" s="14" t="s">
        <v>107</v>
      </c>
      <c r="I284" s="1"/>
      <c r="J284" s="1"/>
      <c r="Z284">
        <f t="shared" si="17"/>
        <v>2025</v>
      </c>
      <c r="AA284">
        <f t="shared" si="18"/>
        <v>2</v>
      </c>
      <c r="AB284" s="1">
        <f t="shared" si="19"/>
        <v>20</v>
      </c>
      <c r="AC284" s="1">
        <f t="shared" si="20"/>
        <v>2031.9679999999998</v>
      </c>
    </row>
    <row r="285" spans="1:29" x14ac:dyDescent="0.25">
      <c r="A285">
        <v>2025</v>
      </c>
      <c r="B285">
        <v>2</v>
      </c>
      <c r="C285" s="13">
        <v>22</v>
      </c>
      <c r="D285" s="1">
        <v>92</v>
      </c>
      <c r="E285" s="1">
        <f t="shared" si="21"/>
        <v>392.09999999999991</v>
      </c>
      <c r="F285" s="1"/>
      <c r="G285" s="14" t="s">
        <v>5</v>
      </c>
      <c r="H285" s="14" t="s">
        <v>114</v>
      </c>
      <c r="I285" s="1"/>
      <c r="J285" s="1"/>
      <c r="Z285">
        <f t="shared" si="17"/>
        <v>2025</v>
      </c>
      <c r="AA285">
        <f t="shared" si="18"/>
        <v>2</v>
      </c>
      <c r="AB285" s="1">
        <f t="shared" si="19"/>
        <v>22</v>
      </c>
      <c r="AC285" s="1">
        <f t="shared" si="20"/>
        <v>2123.9679999999998</v>
      </c>
    </row>
    <row r="286" spans="1:29" x14ac:dyDescent="0.25">
      <c r="A286">
        <v>2025</v>
      </c>
      <c r="B286">
        <v>2</v>
      </c>
      <c r="C286" s="13">
        <v>25</v>
      </c>
      <c r="D286" s="1">
        <v>70</v>
      </c>
      <c r="E286" s="1">
        <f t="shared" si="21"/>
        <v>462.09999999999991</v>
      </c>
      <c r="F286" s="1"/>
      <c r="G286" s="14" t="s">
        <v>125</v>
      </c>
      <c r="H286" s="14" t="s">
        <v>115</v>
      </c>
      <c r="I286" s="1"/>
      <c r="J286" s="1"/>
      <c r="Z286">
        <f t="shared" si="17"/>
        <v>2025</v>
      </c>
      <c r="AA286">
        <f t="shared" si="18"/>
        <v>2</v>
      </c>
      <c r="AB286" s="1">
        <f t="shared" si="19"/>
        <v>25</v>
      </c>
      <c r="AC286" s="1">
        <f t="shared" si="20"/>
        <v>2193.9679999999998</v>
      </c>
    </row>
    <row r="287" spans="1:29" x14ac:dyDescent="0.25">
      <c r="A287">
        <v>2025</v>
      </c>
      <c r="B287">
        <v>2</v>
      </c>
      <c r="C287" s="13">
        <v>26</v>
      </c>
      <c r="D287" s="1">
        <v>16.7</v>
      </c>
      <c r="E287" s="1">
        <f t="shared" si="21"/>
        <v>478.7999999999999</v>
      </c>
      <c r="F287" s="1"/>
      <c r="G287" s="14" t="s">
        <v>12</v>
      </c>
      <c r="H287" s="14" t="s">
        <v>106</v>
      </c>
      <c r="I287" s="1"/>
      <c r="J287" s="1"/>
      <c r="Z287">
        <f t="shared" si="17"/>
        <v>2025</v>
      </c>
      <c r="AA287">
        <f t="shared" si="18"/>
        <v>2</v>
      </c>
      <c r="AB287" s="1">
        <f t="shared" si="19"/>
        <v>26</v>
      </c>
      <c r="AC287" s="1">
        <f t="shared" si="20"/>
        <v>2210.6679999999997</v>
      </c>
    </row>
    <row r="288" spans="1:29" x14ac:dyDescent="0.25">
      <c r="A288">
        <v>2025</v>
      </c>
      <c r="B288">
        <v>2</v>
      </c>
      <c r="C288" s="13">
        <v>28</v>
      </c>
      <c r="D288" s="1">
        <v>50</v>
      </c>
      <c r="E288" s="1">
        <f t="shared" si="21"/>
        <v>528.79999999999995</v>
      </c>
      <c r="F288" s="1"/>
      <c r="G288" s="14" t="s">
        <v>109</v>
      </c>
      <c r="H288" s="14" t="s">
        <v>116</v>
      </c>
      <c r="I288" s="1"/>
      <c r="J288" s="1"/>
      <c r="Z288">
        <f t="shared" si="17"/>
        <v>2025</v>
      </c>
      <c r="AA288">
        <f t="shared" si="18"/>
        <v>2</v>
      </c>
      <c r="AB288" s="1">
        <f t="shared" si="19"/>
        <v>28</v>
      </c>
      <c r="AC288" s="1">
        <f t="shared" si="20"/>
        <v>2260.6679999999997</v>
      </c>
    </row>
    <row r="289" spans="1:29" x14ac:dyDescent="0.25">
      <c r="A289">
        <v>2025</v>
      </c>
      <c r="B289">
        <v>2</v>
      </c>
      <c r="C289" s="13">
        <v>28</v>
      </c>
      <c r="D289" s="1">
        <v>11.4</v>
      </c>
      <c r="E289" s="1">
        <f t="shared" si="21"/>
        <v>540.19999999999993</v>
      </c>
      <c r="F289" s="1"/>
      <c r="G289" s="14" t="s">
        <v>12</v>
      </c>
      <c r="H289" s="14" t="s">
        <v>117</v>
      </c>
      <c r="I289" s="1"/>
      <c r="J289" s="1"/>
      <c r="Z289">
        <f t="shared" si="17"/>
        <v>2025</v>
      </c>
      <c r="AA289">
        <f t="shared" si="18"/>
        <v>2</v>
      </c>
      <c r="AB289" s="1">
        <f t="shared" si="19"/>
        <v>28</v>
      </c>
      <c r="AC289" s="1">
        <f t="shared" si="20"/>
        <v>2272.0679999999998</v>
      </c>
    </row>
    <row r="290" spans="1:29" x14ac:dyDescent="0.25">
      <c r="A290">
        <v>2025</v>
      </c>
      <c r="B290" s="1">
        <v>3</v>
      </c>
      <c r="C290" s="1">
        <v>5</v>
      </c>
      <c r="D290">
        <v>17</v>
      </c>
      <c r="E290" s="1">
        <f>D290</f>
        <v>17</v>
      </c>
      <c r="F290" s="1"/>
      <c r="G290" s="14" t="s">
        <v>12</v>
      </c>
      <c r="H290" s="14" t="s">
        <v>104</v>
      </c>
      <c r="I290" s="1"/>
      <c r="J290" s="1"/>
      <c r="Z290">
        <f t="shared" si="17"/>
        <v>2025</v>
      </c>
      <c r="AA290">
        <f t="shared" si="18"/>
        <v>3</v>
      </c>
      <c r="AB290" s="1">
        <f t="shared" si="19"/>
        <v>5</v>
      </c>
      <c r="AC290" s="1">
        <f t="shared" si="20"/>
        <v>2289.0679999999998</v>
      </c>
    </row>
    <row r="291" spans="1:29" x14ac:dyDescent="0.25">
      <c r="A291">
        <v>2025</v>
      </c>
      <c r="B291" s="1">
        <v>3</v>
      </c>
      <c r="C291" s="1">
        <v>5</v>
      </c>
      <c r="D291" s="1">
        <v>-13</v>
      </c>
      <c r="E291" s="1">
        <f>E290+D291</f>
        <v>4</v>
      </c>
      <c r="F291" s="1"/>
      <c r="G291" s="14" t="s">
        <v>6</v>
      </c>
      <c r="H291" s="14" t="s">
        <v>110</v>
      </c>
      <c r="I291" s="1"/>
      <c r="J291" s="1"/>
      <c r="Z291">
        <f t="shared" si="17"/>
        <v>2025</v>
      </c>
      <c r="AA291">
        <f t="shared" si="18"/>
        <v>3</v>
      </c>
      <c r="AB291" s="1">
        <f t="shared" si="19"/>
        <v>5</v>
      </c>
      <c r="AC291" s="1">
        <f t="shared" si="20"/>
        <v>2276.0679999999998</v>
      </c>
    </row>
    <row r="292" spans="1:29" x14ac:dyDescent="0.25">
      <c r="A292">
        <v>2025</v>
      </c>
      <c r="B292" s="1">
        <v>3</v>
      </c>
      <c r="C292" s="1">
        <v>6</v>
      </c>
      <c r="D292">
        <v>70</v>
      </c>
      <c r="E292" s="1">
        <f t="shared" ref="E292:E309" si="22">E291+D292</f>
        <v>74</v>
      </c>
      <c r="F292" s="1"/>
      <c r="G292" t="s">
        <v>123</v>
      </c>
      <c r="H292" s="14" t="s">
        <v>119</v>
      </c>
      <c r="I292" s="1"/>
      <c r="J292" s="1"/>
      <c r="Z292">
        <f t="shared" si="17"/>
        <v>2025</v>
      </c>
      <c r="AA292">
        <f t="shared" si="18"/>
        <v>3</v>
      </c>
      <c r="AB292" s="1">
        <f t="shared" si="19"/>
        <v>6</v>
      </c>
      <c r="AC292" s="1">
        <f t="shared" si="20"/>
        <v>2346.0679999999998</v>
      </c>
    </row>
    <row r="293" spans="1:29" x14ac:dyDescent="0.25">
      <c r="A293">
        <v>2025</v>
      </c>
      <c r="B293" s="1">
        <v>3</v>
      </c>
      <c r="C293" s="1">
        <v>6</v>
      </c>
      <c r="D293" s="1">
        <v>-30</v>
      </c>
      <c r="E293" s="1">
        <f t="shared" si="22"/>
        <v>44</v>
      </c>
      <c r="F293" s="1"/>
      <c r="G293" t="s">
        <v>6</v>
      </c>
      <c r="H293" s="14" t="s">
        <v>116</v>
      </c>
      <c r="I293" s="1"/>
      <c r="J293" s="1"/>
      <c r="Z293">
        <f t="shared" si="17"/>
        <v>2025</v>
      </c>
      <c r="AA293">
        <f t="shared" si="18"/>
        <v>3</v>
      </c>
      <c r="AB293" s="1">
        <f t="shared" si="19"/>
        <v>6</v>
      </c>
      <c r="AC293" s="1">
        <f t="shared" si="20"/>
        <v>2316.0679999999998</v>
      </c>
    </row>
    <row r="294" spans="1:29" x14ac:dyDescent="0.25">
      <c r="A294">
        <v>2025</v>
      </c>
      <c r="B294" s="1">
        <v>3</v>
      </c>
      <c r="C294" s="1">
        <v>9</v>
      </c>
      <c r="D294">
        <v>45</v>
      </c>
      <c r="E294" s="1">
        <f t="shared" si="22"/>
        <v>89</v>
      </c>
      <c r="F294" s="1"/>
      <c r="G294" t="s">
        <v>122</v>
      </c>
      <c r="H294" s="14" t="s">
        <v>118</v>
      </c>
      <c r="I294" s="1"/>
      <c r="J294" s="1"/>
      <c r="Z294">
        <f t="shared" si="17"/>
        <v>2025</v>
      </c>
      <c r="AA294">
        <f t="shared" si="18"/>
        <v>3</v>
      </c>
      <c r="AB294" s="1">
        <f t="shared" si="19"/>
        <v>9</v>
      </c>
      <c r="AC294" s="1">
        <f t="shared" si="20"/>
        <v>2361.0679999999998</v>
      </c>
    </row>
    <row r="295" spans="1:29" x14ac:dyDescent="0.25">
      <c r="A295">
        <v>2025</v>
      </c>
      <c r="B295" s="1">
        <v>3</v>
      </c>
      <c r="C295" s="1">
        <v>9</v>
      </c>
      <c r="D295">
        <v>17</v>
      </c>
      <c r="E295" s="1">
        <f t="shared" si="22"/>
        <v>106</v>
      </c>
      <c r="F295" s="1"/>
      <c r="G295" s="14" t="s">
        <v>12</v>
      </c>
      <c r="H295" s="14" t="s">
        <v>126</v>
      </c>
      <c r="I295" s="1"/>
      <c r="J295" s="1"/>
      <c r="Z295">
        <f t="shared" si="17"/>
        <v>2025</v>
      </c>
      <c r="AA295">
        <f t="shared" si="18"/>
        <v>3</v>
      </c>
      <c r="AB295" s="1">
        <f t="shared" si="19"/>
        <v>9</v>
      </c>
      <c r="AC295" s="1">
        <f t="shared" si="20"/>
        <v>2378.0679999999998</v>
      </c>
    </row>
    <row r="296" spans="1:29" x14ac:dyDescent="0.25">
      <c r="A296">
        <v>2025</v>
      </c>
      <c r="B296" s="1">
        <v>3</v>
      </c>
      <c r="C296" s="1">
        <v>9</v>
      </c>
      <c r="D296" s="1">
        <v>-76</v>
      </c>
      <c r="E296" s="1">
        <f t="shared" si="22"/>
        <v>30</v>
      </c>
      <c r="F296" s="1"/>
      <c r="G296" s="14" t="s">
        <v>36</v>
      </c>
      <c r="H296" s="14" t="s">
        <v>139</v>
      </c>
      <c r="I296" s="1"/>
      <c r="J296" s="1"/>
      <c r="Z296">
        <f t="shared" si="17"/>
        <v>2025</v>
      </c>
      <c r="AA296">
        <f t="shared" si="18"/>
        <v>3</v>
      </c>
      <c r="AB296" s="1">
        <f t="shared" si="19"/>
        <v>9</v>
      </c>
      <c r="AC296" s="1">
        <f t="shared" si="20"/>
        <v>2302.0679999999998</v>
      </c>
    </row>
    <row r="297" spans="1:29" x14ac:dyDescent="0.25">
      <c r="A297">
        <v>2025</v>
      </c>
      <c r="B297" s="1">
        <v>3</v>
      </c>
      <c r="C297" s="1">
        <v>11</v>
      </c>
      <c r="D297" s="1">
        <v>-75</v>
      </c>
      <c r="E297" s="1">
        <f t="shared" si="22"/>
        <v>-45</v>
      </c>
      <c r="F297" s="1"/>
      <c r="G297" s="14" t="s">
        <v>130</v>
      </c>
      <c r="H297" s="14" t="s">
        <v>133</v>
      </c>
      <c r="I297" s="1"/>
      <c r="J297" s="1"/>
      <c r="Z297">
        <f t="shared" si="17"/>
        <v>2025</v>
      </c>
      <c r="AA297">
        <f t="shared" si="18"/>
        <v>3</v>
      </c>
      <c r="AB297" s="1">
        <f t="shared" si="19"/>
        <v>11</v>
      </c>
      <c r="AC297" s="1">
        <f t="shared" si="20"/>
        <v>2227.0679999999998</v>
      </c>
    </row>
    <row r="298" spans="1:29" x14ac:dyDescent="0.25">
      <c r="A298">
        <v>2025</v>
      </c>
      <c r="B298" s="1">
        <v>3</v>
      </c>
      <c r="C298" s="1">
        <v>13</v>
      </c>
      <c r="D298">
        <v>17</v>
      </c>
      <c r="E298" s="1">
        <f t="shared" si="22"/>
        <v>-28</v>
      </c>
      <c r="F298" s="1"/>
      <c r="G298" s="14" t="s">
        <v>12</v>
      </c>
      <c r="H298" s="14" t="s">
        <v>113</v>
      </c>
      <c r="I298" s="1"/>
      <c r="J298" s="1"/>
      <c r="Z298">
        <f t="shared" si="17"/>
        <v>2025</v>
      </c>
      <c r="AA298">
        <f t="shared" si="18"/>
        <v>3</v>
      </c>
      <c r="AB298" s="1">
        <f t="shared" si="19"/>
        <v>13</v>
      </c>
      <c r="AC298" s="1">
        <f t="shared" si="20"/>
        <v>2244.0679999999998</v>
      </c>
    </row>
    <row r="299" spans="1:29" x14ac:dyDescent="0.25">
      <c r="A299">
        <v>2025</v>
      </c>
      <c r="B299" s="1">
        <v>3</v>
      </c>
      <c r="C299" s="1">
        <v>14</v>
      </c>
      <c r="D299" s="1">
        <v>-10</v>
      </c>
      <c r="E299" s="1">
        <f t="shared" si="22"/>
        <v>-38</v>
      </c>
      <c r="F299" s="1"/>
      <c r="G299" s="14" t="s">
        <v>20</v>
      </c>
      <c r="H299" s="14" t="s">
        <v>140</v>
      </c>
      <c r="I299" s="1"/>
      <c r="J299" s="1"/>
      <c r="Z299">
        <f t="shared" si="17"/>
        <v>2025</v>
      </c>
      <c r="AA299">
        <f t="shared" si="18"/>
        <v>3</v>
      </c>
      <c r="AB299" s="1">
        <f t="shared" si="19"/>
        <v>14</v>
      </c>
      <c r="AC299" s="1">
        <f t="shared" si="20"/>
        <v>2234.0679999999998</v>
      </c>
    </row>
    <row r="300" spans="1:29" x14ac:dyDescent="0.25">
      <c r="A300">
        <v>2025</v>
      </c>
      <c r="B300" s="1">
        <v>3</v>
      </c>
      <c r="C300" s="1">
        <v>16</v>
      </c>
      <c r="D300">
        <v>70</v>
      </c>
      <c r="E300" s="1">
        <f t="shared" si="22"/>
        <v>32</v>
      </c>
      <c r="F300" s="1"/>
      <c r="G300" t="s">
        <v>123</v>
      </c>
      <c r="H300" s="14" t="s">
        <v>121</v>
      </c>
      <c r="I300" s="1"/>
      <c r="J300" s="1"/>
      <c r="Z300">
        <f t="shared" si="17"/>
        <v>2025</v>
      </c>
      <c r="AA300">
        <f t="shared" si="18"/>
        <v>3</v>
      </c>
      <c r="AB300" s="1">
        <f t="shared" si="19"/>
        <v>16</v>
      </c>
      <c r="AC300" s="1">
        <f t="shared" si="20"/>
        <v>2304.0679999999998</v>
      </c>
    </row>
    <row r="301" spans="1:29" x14ac:dyDescent="0.25">
      <c r="A301">
        <v>2025</v>
      </c>
      <c r="B301" s="1">
        <v>3</v>
      </c>
      <c r="C301" s="1">
        <v>17</v>
      </c>
      <c r="D301">
        <v>70</v>
      </c>
      <c r="E301" s="1">
        <f t="shared" si="22"/>
        <v>102</v>
      </c>
      <c r="F301" s="1"/>
      <c r="G301" t="s">
        <v>124</v>
      </c>
      <c r="H301" s="14" t="s">
        <v>120</v>
      </c>
      <c r="I301" s="1"/>
      <c r="J301" s="1"/>
      <c r="Z301">
        <f t="shared" si="17"/>
        <v>2025</v>
      </c>
      <c r="AA301">
        <f t="shared" si="18"/>
        <v>3</v>
      </c>
      <c r="AB301" s="1">
        <f t="shared" si="19"/>
        <v>17</v>
      </c>
      <c r="AC301" s="1">
        <f t="shared" si="20"/>
        <v>2374.0679999999998</v>
      </c>
    </row>
    <row r="302" spans="1:29" x14ac:dyDescent="0.25">
      <c r="A302">
        <v>2025</v>
      </c>
      <c r="B302" s="1">
        <v>3</v>
      </c>
      <c r="C302" s="1">
        <v>18</v>
      </c>
      <c r="D302">
        <v>17</v>
      </c>
      <c r="E302" s="1">
        <f t="shared" si="22"/>
        <v>119</v>
      </c>
      <c r="F302" s="1"/>
      <c r="G302" s="14" t="s">
        <v>12</v>
      </c>
      <c r="H302" s="14" t="s">
        <v>131</v>
      </c>
      <c r="I302" s="1"/>
      <c r="J302" s="1"/>
      <c r="Z302">
        <f t="shared" si="17"/>
        <v>2025</v>
      </c>
      <c r="AA302">
        <f t="shared" si="18"/>
        <v>3</v>
      </c>
      <c r="AB302" s="1">
        <f t="shared" si="19"/>
        <v>18</v>
      </c>
      <c r="AC302" s="1">
        <f t="shared" si="20"/>
        <v>2391.0679999999998</v>
      </c>
    </row>
    <row r="303" spans="1:29" x14ac:dyDescent="0.25">
      <c r="A303">
        <v>2025</v>
      </c>
      <c r="B303" s="1">
        <v>3</v>
      </c>
      <c r="C303" s="1">
        <v>19</v>
      </c>
      <c r="D303" s="1">
        <v>100</v>
      </c>
      <c r="E303" s="1">
        <f t="shared" si="22"/>
        <v>219</v>
      </c>
      <c r="F303" s="1"/>
      <c r="G303" t="s">
        <v>5</v>
      </c>
      <c r="H303" s="14" t="s">
        <v>134</v>
      </c>
      <c r="I303" s="1"/>
      <c r="J303" s="1"/>
      <c r="Z303">
        <f t="shared" si="17"/>
        <v>2025</v>
      </c>
      <c r="AA303">
        <f t="shared" si="18"/>
        <v>3</v>
      </c>
      <c r="AB303" s="1">
        <f t="shared" si="19"/>
        <v>19</v>
      </c>
      <c r="AC303" s="1">
        <f t="shared" si="20"/>
        <v>2491.0679999999998</v>
      </c>
    </row>
    <row r="304" spans="1:29" x14ac:dyDescent="0.25">
      <c r="A304">
        <v>2025</v>
      </c>
      <c r="B304" s="1">
        <v>3</v>
      </c>
      <c r="C304" s="1">
        <v>20</v>
      </c>
      <c r="D304">
        <v>72</v>
      </c>
      <c r="E304" s="1">
        <f t="shared" si="22"/>
        <v>291</v>
      </c>
      <c r="F304" s="1"/>
      <c r="G304" t="s">
        <v>123</v>
      </c>
      <c r="H304" s="14" t="s">
        <v>127</v>
      </c>
      <c r="I304" s="1"/>
      <c r="J304" s="1"/>
      <c r="Z304">
        <f t="shared" si="17"/>
        <v>2025</v>
      </c>
      <c r="AA304">
        <f t="shared" si="18"/>
        <v>3</v>
      </c>
      <c r="AB304" s="1">
        <f t="shared" si="19"/>
        <v>20</v>
      </c>
      <c r="AC304" s="1">
        <f t="shared" si="20"/>
        <v>2563.0679999999998</v>
      </c>
    </row>
    <row r="305" spans="1:29" x14ac:dyDescent="0.25">
      <c r="A305">
        <v>2025</v>
      </c>
      <c r="B305" s="1">
        <v>3</v>
      </c>
      <c r="C305" s="1">
        <v>21</v>
      </c>
      <c r="D305" s="1">
        <v>-29</v>
      </c>
      <c r="E305" s="1">
        <f t="shared" si="22"/>
        <v>262</v>
      </c>
      <c r="F305" s="1"/>
      <c r="G305" t="s">
        <v>141</v>
      </c>
      <c r="H305" s="14" t="s">
        <v>112</v>
      </c>
      <c r="I305" s="1"/>
      <c r="J305" s="1"/>
      <c r="Z305">
        <f t="shared" si="17"/>
        <v>2025</v>
      </c>
      <c r="AA305">
        <f t="shared" si="18"/>
        <v>3</v>
      </c>
      <c r="AB305" s="1">
        <f t="shared" si="19"/>
        <v>21</v>
      </c>
      <c r="AC305" s="1">
        <f t="shared" si="20"/>
        <v>2534.0679999999998</v>
      </c>
    </row>
    <row r="306" spans="1:29" x14ac:dyDescent="0.25">
      <c r="A306">
        <v>2025</v>
      </c>
      <c r="B306" s="1">
        <v>3</v>
      </c>
      <c r="C306" s="13">
        <v>22</v>
      </c>
      <c r="D306" s="13">
        <v>50</v>
      </c>
      <c r="E306" s="1">
        <f t="shared" si="22"/>
        <v>312</v>
      </c>
      <c r="F306" s="1"/>
      <c r="G306" s="14" t="s">
        <v>135</v>
      </c>
      <c r="H306" s="14" t="s">
        <v>136</v>
      </c>
      <c r="I306" s="1"/>
      <c r="J306" s="1"/>
      <c r="Z306">
        <f t="shared" si="17"/>
        <v>2025</v>
      </c>
      <c r="AA306">
        <f t="shared" si="18"/>
        <v>3</v>
      </c>
      <c r="AB306" s="1">
        <f t="shared" si="19"/>
        <v>22</v>
      </c>
      <c r="AC306" s="1">
        <f t="shared" si="20"/>
        <v>2584.0679999999998</v>
      </c>
    </row>
    <row r="307" spans="1:29" x14ac:dyDescent="0.25">
      <c r="A307">
        <v>2025</v>
      </c>
      <c r="B307" s="1">
        <v>3</v>
      </c>
      <c r="C307" s="13">
        <v>23</v>
      </c>
      <c r="D307" s="13">
        <v>17</v>
      </c>
      <c r="E307" s="1">
        <f t="shared" si="22"/>
        <v>329</v>
      </c>
      <c r="F307" s="1"/>
      <c r="G307" s="14" t="s">
        <v>12</v>
      </c>
      <c r="H307" s="14" t="s">
        <v>126</v>
      </c>
      <c r="I307" s="1"/>
      <c r="J307" s="1"/>
      <c r="Z307">
        <f t="shared" si="17"/>
        <v>2025</v>
      </c>
      <c r="AA307">
        <f t="shared" si="18"/>
        <v>3</v>
      </c>
      <c r="AB307" s="1">
        <f t="shared" si="19"/>
        <v>23</v>
      </c>
      <c r="AC307" s="1">
        <f t="shared" si="20"/>
        <v>2601.0679999999998</v>
      </c>
    </row>
    <row r="308" spans="1:29" x14ac:dyDescent="0.25">
      <c r="A308">
        <v>2025</v>
      </c>
      <c r="B308" s="1">
        <v>3</v>
      </c>
      <c r="C308" s="13">
        <v>25</v>
      </c>
      <c r="D308" s="13">
        <v>-16</v>
      </c>
      <c r="E308" s="1">
        <f t="shared" si="22"/>
        <v>313</v>
      </c>
      <c r="F308" s="1"/>
      <c r="G308" s="14" t="s">
        <v>50</v>
      </c>
      <c r="H308" s="14" t="s">
        <v>110</v>
      </c>
      <c r="I308" s="1"/>
      <c r="J308" s="1"/>
      <c r="Z308">
        <f t="shared" si="17"/>
        <v>2025</v>
      </c>
      <c r="AA308">
        <f t="shared" si="18"/>
        <v>3</v>
      </c>
      <c r="AB308" s="1">
        <f t="shared" si="19"/>
        <v>25</v>
      </c>
      <c r="AC308" s="1">
        <f t="shared" si="20"/>
        <v>2585.0679999999998</v>
      </c>
    </row>
    <row r="309" spans="1:29" x14ac:dyDescent="0.25">
      <c r="A309">
        <v>2025</v>
      </c>
      <c r="B309" s="1">
        <v>3</v>
      </c>
      <c r="C309" s="13">
        <v>28</v>
      </c>
      <c r="D309" s="13">
        <v>17</v>
      </c>
      <c r="E309" s="1">
        <f t="shared" si="22"/>
        <v>330</v>
      </c>
      <c r="F309" s="1"/>
      <c r="G309" s="14" t="s">
        <v>12</v>
      </c>
      <c r="H309" s="14" t="s">
        <v>106</v>
      </c>
      <c r="I309" s="1"/>
      <c r="J309" s="1"/>
      <c r="Z309">
        <f t="shared" si="17"/>
        <v>2025</v>
      </c>
      <c r="AA309">
        <f t="shared" si="18"/>
        <v>3</v>
      </c>
      <c r="AB309" s="1">
        <f t="shared" si="19"/>
        <v>28</v>
      </c>
      <c r="AC309" s="1">
        <f t="shared" si="20"/>
        <v>2602.0679999999998</v>
      </c>
    </row>
    <row r="310" spans="1:29" x14ac:dyDescent="0.25">
      <c r="A310">
        <v>2025</v>
      </c>
      <c r="B310" s="1">
        <v>4</v>
      </c>
      <c r="C310" s="13">
        <v>1</v>
      </c>
      <c r="D310" s="13">
        <v>10</v>
      </c>
      <c r="E310" s="1">
        <f>D310</f>
        <v>10</v>
      </c>
      <c r="F310" s="1"/>
      <c r="G310" s="14"/>
      <c r="H310" s="12"/>
      <c r="I310" s="1"/>
      <c r="J310" s="1"/>
      <c r="Z310">
        <f t="shared" si="17"/>
        <v>2025</v>
      </c>
      <c r="AA310">
        <f t="shared" si="18"/>
        <v>4</v>
      </c>
      <c r="AB310" s="1">
        <f t="shared" si="19"/>
        <v>1</v>
      </c>
      <c r="AC310" s="1">
        <f t="shared" si="20"/>
        <v>2612.0679999999998</v>
      </c>
    </row>
    <row r="311" spans="1:29" x14ac:dyDescent="0.25">
      <c r="A311" s="1">
        <v>2025</v>
      </c>
      <c r="B311" s="1">
        <v>4</v>
      </c>
      <c r="C311" s="13">
        <v>12</v>
      </c>
      <c r="D311" s="13">
        <v>60</v>
      </c>
      <c r="E311" s="1">
        <f>E310+D311</f>
        <v>70</v>
      </c>
      <c r="F311" s="1"/>
      <c r="G311" s="13" t="s">
        <v>12</v>
      </c>
      <c r="H311" s="1"/>
      <c r="I311" s="1"/>
      <c r="J311" s="1"/>
      <c r="Z311">
        <f t="shared" si="17"/>
        <v>2025</v>
      </c>
      <c r="AA311">
        <f t="shared" si="18"/>
        <v>4</v>
      </c>
      <c r="AB311" s="1">
        <f t="shared" si="19"/>
        <v>12</v>
      </c>
      <c r="AC311" s="1">
        <f t="shared" si="20"/>
        <v>2672.0679999999998</v>
      </c>
    </row>
    <row r="312" spans="1:29" x14ac:dyDescent="0.25">
      <c r="A312" s="1">
        <v>2025</v>
      </c>
      <c r="B312" s="1">
        <v>4</v>
      </c>
      <c r="C312" s="13">
        <v>20</v>
      </c>
      <c r="D312" s="13">
        <v>60</v>
      </c>
      <c r="E312" s="1">
        <f>E311+D312</f>
        <v>130</v>
      </c>
      <c r="F312" s="1"/>
      <c r="G312" s="13" t="s">
        <v>5</v>
      </c>
      <c r="H312" s="1"/>
      <c r="I312" s="1"/>
      <c r="J312" s="1"/>
      <c r="Z312">
        <f t="shared" si="17"/>
        <v>2025</v>
      </c>
      <c r="AA312">
        <f t="shared" si="18"/>
        <v>4</v>
      </c>
      <c r="AB312" s="1">
        <f t="shared" si="19"/>
        <v>20</v>
      </c>
      <c r="AC312" s="1">
        <f t="shared" si="20"/>
        <v>2732.0679999999998</v>
      </c>
    </row>
    <row r="313" spans="1:29" x14ac:dyDescent="0.25">
      <c r="A313">
        <v>2025</v>
      </c>
      <c r="B313" s="1">
        <v>4</v>
      </c>
      <c r="C313" s="13">
        <v>28</v>
      </c>
      <c r="D313" s="13">
        <v>60</v>
      </c>
      <c r="E313" s="1">
        <f>E312+D313</f>
        <v>190</v>
      </c>
      <c r="F313" s="1"/>
      <c r="G313" s="14" t="s">
        <v>123</v>
      </c>
      <c r="H313" s="11" t="s">
        <v>137</v>
      </c>
      <c r="I313" s="1"/>
      <c r="J313" s="1"/>
      <c r="Z313">
        <f t="shared" si="17"/>
        <v>2025</v>
      </c>
      <c r="AA313">
        <f t="shared" si="18"/>
        <v>4</v>
      </c>
      <c r="AB313" s="1">
        <f t="shared" si="19"/>
        <v>28</v>
      </c>
      <c r="AC313" s="1">
        <f>AC312+D313</f>
        <v>2792.0679999999998</v>
      </c>
    </row>
    <row r="314" spans="1:29" x14ac:dyDescent="0.25">
      <c r="D314" s="1"/>
      <c r="E314" s="1"/>
      <c r="F314" s="1"/>
      <c r="G314" s="1"/>
      <c r="H314" s="1"/>
      <c r="I314" s="1"/>
      <c r="J314" s="1"/>
    </row>
    <row r="315" spans="1:29" x14ac:dyDescent="0.25">
      <c r="D315" s="1"/>
      <c r="E315" s="1"/>
      <c r="F315" s="1"/>
      <c r="G315" s="1"/>
      <c r="H315" s="1"/>
      <c r="I315" s="1"/>
      <c r="J315" s="1"/>
    </row>
    <row r="316" spans="1:29" x14ac:dyDescent="0.25">
      <c r="D316" s="1"/>
      <c r="E316" s="1"/>
      <c r="F316" s="1"/>
      <c r="G316" s="1"/>
      <c r="H316" s="1"/>
      <c r="I316" s="1"/>
      <c r="J316" s="1"/>
    </row>
    <row r="317" spans="1:29" x14ac:dyDescent="0.25">
      <c r="D317" s="1"/>
      <c r="E317" s="1"/>
      <c r="F317" s="1"/>
      <c r="G317" s="1"/>
      <c r="H317" s="1"/>
      <c r="I317" s="1"/>
      <c r="J317" s="1"/>
    </row>
    <row r="318" spans="1:29" x14ac:dyDescent="0.25">
      <c r="D318" s="1"/>
      <c r="E318" s="1"/>
      <c r="F318" s="1"/>
      <c r="G318" s="1"/>
      <c r="H318" s="1"/>
      <c r="I318" s="1"/>
      <c r="J318" s="1"/>
    </row>
    <row r="319" spans="1:29" x14ac:dyDescent="0.25">
      <c r="D319" s="1"/>
      <c r="E319" s="1"/>
      <c r="F319" s="1"/>
      <c r="G319" s="1"/>
      <c r="H319" s="1"/>
      <c r="I319" s="1"/>
      <c r="J319" s="1"/>
    </row>
    <row r="320" spans="1:29" x14ac:dyDescent="0.25">
      <c r="D320" s="1"/>
      <c r="E320" s="1"/>
      <c r="F320" s="1"/>
      <c r="G320" s="1"/>
      <c r="H320" s="1"/>
      <c r="I320" s="1"/>
      <c r="J320" s="1"/>
    </row>
    <row r="321" spans="4:10" x14ac:dyDescent="0.25">
      <c r="D321" s="1"/>
      <c r="E321" s="1"/>
      <c r="F321" s="1"/>
      <c r="G321" s="1"/>
      <c r="H321" s="1"/>
      <c r="I321" s="1"/>
      <c r="J321" s="1"/>
    </row>
    <row r="322" spans="4:10" x14ac:dyDescent="0.25">
      <c r="D322" s="1"/>
      <c r="E322" s="1"/>
      <c r="F322" s="1"/>
      <c r="G322" s="1"/>
      <c r="H322" s="1"/>
      <c r="I322" s="1"/>
      <c r="J322" s="1"/>
    </row>
    <row r="323" spans="4:10" x14ac:dyDescent="0.25">
      <c r="D323" s="1"/>
      <c r="E323" s="1"/>
      <c r="F323" s="1"/>
      <c r="G323" s="1"/>
      <c r="H323" s="1"/>
      <c r="I323" s="1"/>
      <c r="J323" s="1"/>
    </row>
    <row r="324" spans="4:10" x14ac:dyDescent="0.25">
      <c r="D324" s="1"/>
      <c r="E324" s="1"/>
      <c r="F324" s="1"/>
      <c r="G324" s="1"/>
      <c r="H324" s="1"/>
      <c r="I324" s="1"/>
      <c r="J324" s="1"/>
    </row>
    <row r="325" spans="4:10" x14ac:dyDescent="0.25">
      <c r="D325" s="1"/>
      <c r="E325" s="1"/>
      <c r="F325" s="1"/>
      <c r="G325" s="1"/>
      <c r="H325" s="1"/>
      <c r="I325" s="1"/>
      <c r="J325" s="1"/>
    </row>
    <row r="326" spans="4:10" x14ac:dyDescent="0.25">
      <c r="D326" s="1"/>
      <c r="E326" s="1"/>
      <c r="F326" s="1"/>
      <c r="G326" s="1"/>
      <c r="H326" s="1"/>
      <c r="I326" s="1"/>
      <c r="J326" s="1"/>
    </row>
    <row r="327" spans="4:10" x14ac:dyDescent="0.25">
      <c r="D327" s="1"/>
      <c r="E327" s="1"/>
      <c r="F327" s="1"/>
      <c r="G327" s="1"/>
      <c r="H327" s="1"/>
      <c r="I327" s="1"/>
      <c r="J327" s="1"/>
    </row>
    <row r="328" spans="4:10" x14ac:dyDescent="0.25">
      <c r="D328" s="1"/>
      <c r="E328" s="1"/>
      <c r="F328" s="1"/>
      <c r="G328" s="1"/>
      <c r="H328" s="1"/>
      <c r="I328" s="1"/>
      <c r="J328" s="1"/>
    </row>
    <row r="329" spans="4:10" x14ac:dyDescent="0.25">
      <c r="D329" s="1"/>
      <c r="E329" s="1"/>
      <c r="F329" s="1"/>
      <c r="G329" s="1"/>
      <c r="H329" s="1"/>
      <c r="I329" s="1"/>
      <c r="J329" s="1"/>
    </row>
    <row r="330" spans="4:10" x14ac:dyDescent="0.25">
      <c r="D330" s="1"/>
      <c r="E330" s="1"/>
      <c r="F330" s="1"/>
      <c r="G330" s="1"/>
      <c r="H330" s="1"/>
      <c r="I330" s="1"/>
      <c r="J330" s="1"/>
    </row>
    <row r="331" spans="4:10" x14ac:dyDescent="0.25">
      <c r="D331" s="1"/>
      <c r="E331" s="1"/>
      <c r="F331" s="1"/>
      <c r="G331" s="1"/>
      <c r="H331" s="1"/>
      <c r="I331" s="1"/>
      <c r="J331" s="1"/>
    </row>
    <row r="332" spans="4:10" x14ac:dyDescent="0.25">
      <c r="D332" s="1"/>
      <c r="E332" s="1"/>
      <c r="F332" s="1"/>
      <c r="G332" s="1"/>
      <c r="H332" s="1"/>
      <c r="I332" s="1"/>
      <c r="J332" s="1"/>
    </row>
    <row r="333" spans="4:10" x14ac:dyDescent="0.25">
      <c r="D333" s="1"/>
      <c r="E333" s="1"/>
      <c r="F333" s="1"/>
      <c r="G333" s="1"/>
      <c r="H333" s="1"/>
      <c r="I333" s="1"/>
      <c r="J333" s="1"/>
    </row>
    <row r="334" spans="4:10" x14ac:dyDescent="0.25">
      <c r="D334" s="1"/>
      <c r="E334" s="1"/>
      <c r="F334" s="1"/>
      <c r="G334" s="1"/>
      <c r="H334" s="1"/>
      <c r="I334" s="1"/>
      <c r="J334" s="1"/>
    </row>
    <row r="335" spans="4:10" x14ac:dyDescent="0.25">
      <c r="D335" s="1"/>
      <c r="E335" s="1"/>
      <c r="F335" s="1"/>
      <c r="G335" s="1"/>
      <c r="H335" s="1"/>
      <c r="I335" s="1"/>
      <c r="J335" s="1"/>
    </row>
    <row r="336" spans="4:10" x14ac:dyDescent="0.25">
      <c r="D336" s="1"/>
      <c r="E336" s="1"/>
      <c r="F336" s="1"/>
      <c r="G336" s="1"/>
      <c r="H336" s="1"/>
      <c r="I336" s="1"/>
      <c r="J336" s="1"/>
    </row>
    <row r="337" spans="4:10" x14ac:dyDescent="0.25">
      <c r="D337" s="1"/>
      <c r="E337" s="1"/>
      <c r="F337" s="1"/>
      <c r="G337" s="1"/>
      <c r="H337" s="1"/>
      <c r="I337" s="1"/>
      <c r="J337" s="1"/>
    </row>
    <row r="338" spans="4:10" x14ac:dyDescent="0.25">
      <c r="D338" s="1"/>
      <c r="E338" s="1"/>
      <c r="F338" s="1"/>
      <c r="G338" s="1"/>
      <c r="H338" s="1"/>
      <c r="I338" s="1"/>
      <c r="J338" s="1"/>
    </row>
    <row r="339" spans="4:10" x14ac:dyDescent="0.25">
      <c r="D339" s="1"/>
      <c r="E339" s="1"/>
      <c r="F339" s="1"/>
      <c r="G339" s="1"/>
      <c r="H339" s="1"/>
      <c r="I339" s="1"/>
      <c r="J339" s="1"/>
    </row>
    <row r="340" spans="4:10" x14ac:dyDescent="0.25">
      <c r="D340" s="1"/>
      <c r="E340" s="1"/>
      <c r="F340" s="1"/>
      <c r="G340" s="1"/>
      <c r="H340" s="1"/>
      <c r="I340" s="1"/>
      <c r="J340" s="1"/>
    </row>
    <row r="341" spans="4:10" x14ac:dyDescent="0.25">
      <c r="D341" s="1"/>
      <c r="E341" s="1"/>
      <c r="F341" s="1"/>
      <c r="G341" s="1"/>
      <c r="H341" s="1"/>
      <c r="I341" s="1"/>
      <c r="J341" s="1"/>
    </row>
    <row r="342" spans="4:10" x14ac:dyDescent="0.25">
      <c r="D342" s="1"/>
      <c r="E342" s="1"/>
      <c r="F342" s="1"/>
      <c r="G342" s="1"/>
      <c r="H342" s="1"/>
      <c r="I342" s="1"/>
      <c r="J342" s="1"/>
    </row>
    <row r="343" spans="4:10" x14ac:dyDescent="0.25">
      <c r="D343" s="1"/>
      <c r="E343" s="1"/>
      <c r="F343" s="1"/>
      <c r="G343" s="1"/>
      <c r="H343" s="1"/>
      <c r="I343" s="1"/>
      <c r="J343" s="1"/>
    </row>
    <row r="344" spans="4:10" x14ac:dyDescent="0.25">
      <c r="D344" s="1"/>
      <c r="E344" s="1"/>
      <c r="F344" s="1"/>
      <c r="G344" s="1"/>
      <c r="H344" s="1"/>
      <c r="I344" s="1"/>
      <c r="J344" s="1"/>
    </row>
    <row r="345" spans="4:10" x14ac:dyDescent="0.25">
      <c r="D345" s="1"/>
      <c r="E345" s="1"/>
      <c r="F345" s="1"/>
      <c r="G345" s="1"/>
      <c r="H345" s="1"/>
      <c r="I345" s="1"/>
      <c r="J345" s="1"/>
    </row>
    <row r="346" spans="4:10" x14ac:dyDescent="0.25">
      <c r="D346" s="1"/>
      <c r="E346" s="1"/>
      <c r="F346" s="1"/>
      <c r="G346" s="1"/>
      <c r="H346" s="1"/>
      <c r="I346" s="1"/>
      <c r="J346" s="1"/>
    </row>
    <row r="347" spans="4:10" x14ac:dyDescent="0.25">
      <c r="D347" s="1"/>
      <c r="E347" s="1"/>
      <c r="F347" s="1"/>
      <c r="G347" s="1"/>
      <c r="H347" s="1"/>
      <c r="I347" s="1"/>
      <c r="J347" s="1"/>
    </row>
    <row r="348" spans="4:10" x14ac:dyDescent="0.25">
      <c r="D348" s="1"/>
      <c r="E348" s="1"/>
      <c r="F348" s="1"/>
      <c r="G348" s="1"/>
      <c r="H348" s="1"/>
      <c r="I348" s="1"/>
      <c r="J348" s="1"/>
    </row>
    <row r="349" spans="4:10" x14ac:dyDescent="0.25">
      <c r="D349" s="1"/>
      <c r="E349" s="1"/>
      <c r="F349" s="1"/>
      <c r="G349" s="1"/>
      <c r="H349" s="1"/>
      <c r="I349" s="1"/>
      <c r="J349" s="1"/>
    </row>
    <row r="350" spans="4:10" x14ac:dyDescent="0.25">
      <c r="D350" s="1"/>
      <c r="E350" s="1"/>
      <c r="F350" s="1"/>
      <c r="G350" s="1"/>
      <c r="H350" s="1"/>
      <c r="I350" s="1"/>
      <c r="J350" s="1"/>
    </row>
    <row r="351" spans="4:10" x14ac:dyDescent="0.25">
      <c r="D351" s="1"/>
      <c r="E351" s="1"/>
      <c r="F351" s="1"/>
      <c r="G351" s="1"/>
      <c r="H351" s="1"/>
      <c r="I351" s="1"/>
      <c r="J351" s="1"/>
    </row>
    <row r="352" spans="4:10" x14ac:dyDescent="0.25">
      <c r="D352" s="1"/>
      <c r="E352" s="1"/>
      <c r="F352" s="1"/>
      <c r="G352" s="1"/>
      <c r="H352" s="1"/>
      <c r="I352" s="1"/>
      <c r="J352" s="1"/>
    </row>
    <row r="353" spans="4:10" x14ac:dyDescent="0.25">
      <c r="D353" s="1"/>
      <c r="E353" s="1"/>
      <c r="F353" s="1"/>
      <c r="G353" s="1"/>
      <c r="H353" s="1"/>
      <c r="I353" s="1"/>
      <c r="J353" s="1"/>
    </row>
    <row r="354" spans="4:10" x14ac:dyDescent="0.25">
      <c r="D354" s="1"/>
      <c r="E354" s="1"/>
      <c r="F354" s="1"/>
      <c r="G354" s="1"/>
      <c r="H354" s="1"/>
      <c r="I354" s="1"/>
      <c r="J354" s="1"/>
    </row>
    <row r="355" spans="4:10" x14ac:dyDescent="0.25">
      <c r="D355" s="1"/>
      <c r="E355" s="1"/>
      <c r="F355" s="1"/>
      <c r="G355" s="1"/>
      <c r="H355" s="1"/>
      <c r="I355" s="1"/>
      <c r="J355" s="1"/>
    </row>
    <row r="356" spans="4:10" x14ac:dyDescent="0.25">
      <c r="D356" s="1"/>
      <c r="E356" s="1"/>
      <c r="F356" s="1"/>
      <c r="G356" s="1"/>
      <c r="H356" s="1"/>
      <c r="I356" s="1"/>
      <c r="J356" s="1"/>
    </row>
    <row r="357" spans="4:10" x14ac:dyDescent="0.25">
      <c r="D357" s="1"/>
      <c r="E357" s="1"/>
      <c r="F357" s="1"/>
      <c r="G357" s="1"/>
      <c r="H357" s="1"/>
      <c r="I357" s="1"/>
      <c r="J357" s="1"/>
    </row>
    <row r="358" spans="4:10" x14ac:dyDescent="0.25">
      <c r="D358" s="1"/>
      <c r="E358" s="1"/>
      <c r="F358" s="1"/>
      <c r="G358" s="1"/>
      <c r="H358" s="1"/>
      <c r="I358" s="1"/>
      <c r="J358" s="1"/>
    </row>
    <row r="359" spans="4:10" x14ac:dyDescent="0.25">
      <c r="D359" s="1"/>
      <c r="E359" s="1"/>
      <c r="F359" s="1"/>
      <c r="G359" s="1"/>
      <c r="H359" s="1"/>
      <c r="I359" s="1"/>
      <c r="J359" s="1"/>
    </row>
    <row r="360" spans="4:10" x14ac:dyDescent="0.25">
      <c r="D360" s="1"/>
      <c r="E360" s="1"/>
      <c r="F360" s="1"/>
      <c r="G360" s="1"/>
      <c r="H360" s="1"/>
      <c r="I360" s="1"/>
      <c r="J360" s="1"/>
    </row>
    <row r="361" spans="4:10" x14ac:dyDescent="0.25">
      <c r="D361" s="1"/>
      <c r="E361" s="1"/>
      <c r="F361" s="1"/>
      <c r="G361" s="1"/>
      <c r="H361" s="1"/>
      <c r="I361" s="1"/>
      <c r="J361" s="1"/>
    </row>
    <row r="362" spans="4:10" x14ac:dyDescent="0.25">
      <c r="D362" s="1"/>
      <c r="E362" s="1"/>
      <c r="F362" s="1"/>
      <c r="G362" s="1"/>
      <c r="H362" s="1"/>
      <c r="I362" s="1"/>
      <c r="J362" s="1"/>
    </row>
    <row r="363" spans="4:10" x14ac:dyDescent="0.25">
      <c r="D363" s="1"/>
      <c r="E363" s="1"/>
      <c r="F363" s="1"/>
      <c r="G363" s="1"/>
      <c r="H363" s="1"/>
      <c r="I363" s="1"/>
      <c r="J363" s="1"/>
    </row>
    <row r="364" spans="4:10" x14ac:dyDescent="0.25">
      <c r="D364" s="1"/>
      <c r="E364" s="1"/>
      <c r="F364" s="1"/>
      <c r="G364" s="1"/>
      <c r="H364" s="1"/>
      <c r="I364" s="1"/>
      <c r="J364" s="1"/>
    </row>
    <row r="365" spans="4:10" x14ac:dyDescent="0.25">
      <c r="D365" s="1"/>
      <c r="E365" s="1"/>
      <c r="F365" s="1"/>
      <c r="G365" s="1"/>
      <c r="H365" s="1"/>
      <c r="I365" s="1"/>
      <c r="J365" s="1"/>
    </row>
    <row r="366" spans="4:10" x14ac:dyDescent="0.25">
      <c r="D366" s="1"/>
      <c r="E366" s="1"/>
      <c r="F366" s="1"/>
      <c r="G366" s="1"/>
      <c r="H366" s="1"/>
      <c r="I366" s="1"/>
      <c r="J366" s="1"/>
    </row>
    <row r="367" spans="4:10" x14ac:dyDescent="0.25">
      <c r="D367" s="1"/>
      <c r="E367" s="1"/>
      <c r="F367" s="1"/>
      <c r="G367" s="1"/>
      <c r="H367" s="1"/>
      <c r="I367" s="1"/>
      <c r="J367" s="1"/>
    </row>
    <row r="368" spans="4:10" x14ac:dyDescent="0.25">
      <c r="D368" s="1"/>
      <c r="E368" s="1"/>
      <c r="F368" s="1"/>
      <c r="G368" s="1"/>
      <c r="H368" s="1"/>
      <c r="I368" s="1"/>
      <c r="J368" s="1"/>
    </row>
    <row r="369" spans="4:10" x14ac:dyDescent="0.25">
      <c r="D369" s="1"/>
      <c r="E369" s="1"/>
      <c r="F369" s="1"/>
      <c r="G369" s="1"/>
      <c r="H369" s="1"/>
      <c r="I369" s="1"/>
      <c r="J369" s="1"/>
    </row>
    <row r="370" spans="4:10" x14ac:dyDescent="0.25">
      <c r="D370" s="1"/>
      <c r="E370" s="1"/>
      <c r="F370" s="1"/>
      <c r="G370" s="1"/>
      <c r="H370" s="1"/>
      <c r="I370" s="1"/>
      <c r="J370" s="1"/>
    </row>
    <row r="371" spans="4:10" x14ac:dyDescent="0.25">
      <c r="D371" s="1"/>
      <c r="E371" s="1"/>
      <c r="F371" s="1"/>
      <c r="G371" s="1"/>
      <c r="H371" s="1"/>
      <c r="I371" s="1"/>
      <c r="J371" s="1"/>
    </row>
    <row r="372" spans="4:10" x14ac:dyDescent="0.25">
      <c r="D372" s="1"/>
      <c r="E372" s="1"/>
      <c r="F372" s="1"/>
      <c r="G372" s="1"/>
      <c r="H372" s="1"/>
      <c r="I372" s="1"/>
      <c r="J372" s="1"/>
    </row>
    <row r="373" spans="4:10" x14ac:dyDescent="0.25">
      <c r="D373" s="1"/>
      <c r="E373" s="1"/>
      <c r="F373" s="1"/>
      <c r="G373" s="1"/>
      <c r="H373" s="1"/>
      <c r="I373" s="1"/>
      <c r="J373" s="1"/>
    </row>
    <row r="374" spans="4:10" x14ac:dyDescent="0.25">
      <c r="D374" s="1"/>
      <c r="E374" s="1"/>
      <c r="F374" s="1"/>
      <c r="G374" s="1"/>
      <c r="H374" s="1"/>
      <c r="I374" s="1"/>
      <c r="J374" s="1"/>
    </row>
    <row r="375" spans="4:10" x14ac:dyDescent="0.25">
      <c r="D375" s="1"/>
      <c r="E375" s="1"/>
      <c r="F375" s="1"/>
      <c r="G375" s="1"/>
      <c r="H375" s="1"/>
      <c r="I375" s="1"/>
      <c r="J375" s="1"/>
    </row>
    <row r="376" spans="4:10" x14ac:dyDescent="0.25">
      <c r="D376" s="1"/>
      <c r="E376" s="1"/>
      <c r="F376" s="1"/>
      <c r="G376" s="1"/>
      <c r="H376" s="1"/>
      <c r="I376" s="1"/>
      <c r="J376" s="1"/>
    </row>
    <row r="377" spans="4:10" x14ac:dyDescent="0.25">
      <c r="D377" s="1"/>
      <c r="E377" s="1"/>
      <c r="F377" s="1"/>
      <c r="G377" s="1"/>
      <c r="H377" s="1"/>
      <c r="I377" s="1"/>
      <c r="J377" s="1"/>
    </row>
    <row r="378" spans="4:10" x14ac:dyDescent="0.25">
      <c r="D378" s="1"/>
      <c r="E378" s="1"/>
      <c r="F378" s="1"/>
      <c r="G378" s="1"/>
      <c r="H378" s="1"/>
      <c r="I378" s="1"/>
      <c r="J378" s="1"/>
    </row>
    <row r="379" spans="4:10" x14ac:dyDescent="0.25">
      <c r="D379" s="1"/>
      <c r="E379" s="1"/>
      <c r="F379" s="1"/>
      <c r="G379" s="1"/>
      <c r="H379" s="1"/>
      <c r="I379" s="1"/>
      <c r="J379" s="1"/>
    </row>
    <row r="380" spans="4:10" x14ac:dyDescent="0.25">
      <c r="D380" s="1"/>
      <c r="E380" s="1"/>
      <c r="F380" s="1"/>
      <c r="G380" s="1"/>
      <c r="H380" s="1"/>
      <c r="I380" s="1"/>
      <c r="J380" s="1"/>
    </row>
    <row r="381" spans="4:10" x14ac:dyDescent="0.25">
      <c r="D381" s="1"/>
      <c r="E381" s="1"/>
      <c r="F381" s="1"/>
      <c r="G381" s="1"/>
      <c r="H381" s="1"/>
      <c r="I381" s="1"/>
      <c r="J381" s="1"/>
    </row>
    <row r="382" spans="4:10" x14ac:dyDescent="0.25">
      <c r="D382" s="1"/>
      <c r="E382" s="1"/>
      <c r="F382" s="1"/>
      <c r="G382" s="1"/>
      <c r="H382" s="1"/>
      <c r="I382" s="1"/>
      <c r="J382" s="1"/>
    </row>
    <row r="383" spans="4:10" x14ac:dyDescent="0.25">
      <c r="D383" s="1"/>
      <c r="E383" s="1"/>
      <c r="F383" s="1"/>
      <c r="G383" s="1"/>
      <c r="H383" s="1"/>
      <c r="I383" s="1"/>
      <c r="J383" s="1"/>
    </row>
    <row r="384" spans="4:10" x14ac:dyDescent="0.25">
      <c r="D384" s="1"/>
      <c r="E384" s="1"/>
      <c r="F384" s="1"/>
      <c r="G384" s="1"/>
      <c r="H384" s="1"/>
      <c r="I384" s="1"/>
      <c r="J384" s="1"/>
    </row>
    <row r="385" spans="4:10" x14ac:dyDescent="0.25">
      <c r="D385" s="1"/>
      <c r="E385" s="1"/>
      <c r="F385" s="1"/>
      <c r="G385" s="1"/>
      <c r="H385" s="1"/>
      <c r="I385" s="1"/>
      <c r="J385" s="1"/>
    </row>
    <row r="386" spans="4:10" x14ac:dyDescent="0.25">
      <c r="D386" s="1"/>
      <c r="E386" s="1"/>
      <c r="F386" s="1"/>
      <c r="G386" s="1"/>
      <c r="H386" s="1"/>
      <c r="I386" s="1"/>
      <c r="J386" s="1"/>
    </row>
    <row r="387" spans="4:10" x14ac:dyDescent="0.25">
      <c r="D387" s="1"/>
      <c r="E387" s="1"/>
      <c r="F387" s="1"/>
      <c r="G387" s="1"/>
      <c r="H387" s="1"/>
      <c r="I387" s="1"/>
      <c r="J387" s="1"/>
    </row>
    <row r="388" spans="4:10" x14ac:dyDescent="0.25">
      <c r="D388" s="1"/>
      <c r="E388" s="1"/>
      <c r="F388" s="1"/>
      <c r="G388" s="1"/>
      <c r="H388" s="1"/>
      <c r="I388" s="1"/>
      <c r="J388" s="1"/>
    </row>
    <row r="389" spans="4:10" x14ac:dyDescent="0.25">
      <c r="D389" s="1"/>
      <c r="E389" s="1"/>
      <c r="F389" s="1"/>
      <c r="G389" s="1"/>
      <c r="H389" s="1"/>
      <c r="I389" s="1"/>
      <c r="J389" s="1"/>
    </row>
    <row r="390" spans="4:10" x14ac:dyDescent="0.25">
      <c r="D390" s="1"/>
      <c r="E390" s="1"/>
      <c r="F390" s="1"/>
      <c r="G390" s="1"/>
      <c r="H390" s="1"/>
      <c r="I390" s="1"/>
      <c r="J390" s="1"/>
    </row>
    <row r="391" spans="4:10" x14ac:dyDescent="0.25">
      <c r="D391" s="1"/>
      <c r="E391" s="1"/>
      <c r="F391" s="1"/>
      <c r="G391" s="1"/>
      <c r="H391" s="1"/>
      <c r="I391" s="1"/>
      <c r="J391" s="1"/>
    </row>
    <row r="392" spans="4:10" x14ac:dyDescent="0.25">
      <c r="D392" s="1"/>
      <c r="E392" s="1"/>
      <c r="F392" s="1"/>
      <c r="G392" s="1"/>
      <c r="H392" s="1"/>
      <c r="I392" s="1"/>
      <c r="J392" s="1"/>
    </row>
    <row r="393" spans="4:10" x14ac:dyDescent="0.25">
      <c r="D393" s="1"/>
      <c r="E393" s="1"/>
      <c r="F393" s="1"/>
      <c r="G393" s="1"/>
      <c r="H393" s="1"/>
      <c r="I393" s="1"/>
      <c r="J393" s="1"/>
    </row>
    <row r="394" spans="4:10" x14ac:dyDescent="0.25">
      <c r="D394" s="1"/>
      <c r="E394" s="1"/>
      <c r="F394" s="1"/>
      <c r="G394" s="1"/>
      <c r="H394" s="1"/>
      <c r="I394" s="1"/>
      <c r="J394" s="1"/>
    </row>
    <row r="395" spans="4:10" x14ac:dyDescent="0.25">
      <c r="D395" s="1"/>
      <c r="E395" s="1"/>
      <c r="F395" s="1"/>
      <c r="G395" s="1"/>
      <c r="H395" s="1"/>
      <c r="I395" s="1"/>
      <c r="J395" s="1"/>
    </row>
    <row r="396" spans="4:10" x14ac:dyDescent="0.25">
      <c r="D396" s="1"/>
      <c r="E396" s="1"/>
      <c r="F396" s="1"/>
      <c r="G396" s="1"/>
      <c r="H396" s="1"/>
      <c r="I396" s="1"/>
      <c r="J396" s="1"/>
    </row>
    <row r="397" spans="4:10" x14ac:dyDescent="0.25">
      <c r="D397" s="1"/>
      <c r="E397" s="1"/>
      <c r="F397" s="1"/>
      <c r="G397" s="1"/>
      <c r="H397" s="1"/>
      <c r="I397" s="1"/>
      <c r="J397" s="1"/>
    </row>
    <row r="398" spans="4:10" x14ac:dyDescent="0.25">
      <c r="D398" s="1"/>
      <c r="E398" s="1"/>
      <c r="F398" s="1"/>
      <c r="G398" s="1"/>
      <c r="H398" s="1"/>
      <c r="I398" s="1"/>
      <c r="J398" s="1"/>
    </row>
    <row r="399" spans="4:10" x14ac:dyDescent="0.25">
      <c r="D399" s="1"/>
      <c r="E399" s="1"/>
      <c r="F399" s="1"/>
      <c r="G399" s="1"/>
      <c r="H399" s="1"/>
      <c r="I399" s="1"/>
      <c r="J399" s="1"/>
    </row>
    <row r="400" spans="4:10" x14ac:dyDescent="0.25">
      <c r="D400" s="1"/>
      <c r="E400" s="1"/>
      <c r="F400" s="1"/>
      <c r="G400" s="1"/>
      <c r="H400" s="1"/>
      <c r="I400" s="1"/>
      <c r="J400" s="1"/>
    </row>
    <row r="401" spans="4:10" x14ac:dyDescent="0.25">
      <c r="D401" s="1"/>
      <c r="E401" s="1"/>
      <c r="F401" s="1"/>
      <c r="G401" s="1"/>
      <c r="H401" s="1"/>
      <c r="I401" s="1"/>
      <c r="J401" s="1"/>
    </row>
    <row r="402" spans="4:10" x14ac:dyDescent="0.25">
      <c r="D402" s="1"/>
      <c r="E402" s="1"/>
      <c r="F402" s="1"/>
      <c r="G402" s="1"/>
      <c r="H402" s="1"/>
      <c r="I402" s="1"/>
      <c r="J402" s="1"/>
    </row>
    <row r="403" spans="4:10" x14ac:dyDescent="0.25">
      <c r="D403" s="1"/>
      <c r="E403" s="1"/>
      <c r="F403" s="1"/>
      <c r="G403" s="1"/>
      <c r="H403" s="1"/>
      <c r="I403" s="1"/>
      <c r="J403" s="1"/>
    </row>
    <row r="404" spans="4:10" x14ac:dyDescent="0.25">
      <c r="D404" s="1"/>
      <c r="E404" s="1"/>
      <c r="F404" s="1"/>
      <c r="G404" s="1"/>
      <c r="H404" s="1"/>
      <c r="I404" s="1"/>
      <c r="J404" s="1"/>
    </row>
    <row r="405" spans="4:10" x14ac:dyDescent="0.25">
      <c r="D405" s="1"/>
      <c r="E405" s="1"/>
      <c r="F405" s="1"/>
      <c r="G405" s="1"/>
      <c r="H405" s="1"/>
      <c r="I405" s="1"/>
      <c r="J405" s="1"/>
    </row>
    <row r="406" spans="4:10" x14ac:dyDescent="0.25">
      <c r="D406" s="1"/>
      <c r="E406" s="1"/>
      <c r="F406" s="1"/>
      <c r="G406" s="1"/>
      <c r="H406" s="1"/>
      <c r="I406" s="1"/>
      <c r="J406" s="1"/>
    </row>
    <row r="407" spans="4:10" x14ac:dyDescent="0.25">
      <c r="D407" s="1"/>
      <c r="E407" s="1"/>
      <c r="F407" s="1"/>
      <c r="G407" s="1"/>
      <c r="H407" s="1"/>
      <c r="I407" s="1"/>
      <c r="J407" s="1"/>
    </row>
    <row r="408" spans="4:10" x14ac:dyDescent="0.25">
      <c r="D408" s="1"/>
      <c r="E408" s="1"/>
      <c r="F408" s="1"/>
      <c r="G408" s="1"/>
      <c r="H408" s="1"/>
      <c r="I408" s="1"/>
      <c r="J408" s="1"/>
    </row>
    <row r="409" spans="4:10" x14ac:dyDescent="0.25">
      <c r="D409" s="1"/>
      <c r="E409" s="1"/>
      <c r="F409" s="1"/>
      <c r="G409" s="1"/>
      <c r="H409" s="1"/>
      <c r="I409" s="1"/>
      <c r="J409" s="1"/>
    </row>
    <row r="410" spans="4:10" x14ac:dyDescent="0.25">
      <c r="D410" s="1"/>
      <c r="E410" s="1"/>
      <c r="F410" s="1"/>
      <c r="G410" s="1"/>
      <c r="H410" s="1"/>
      <c r="I410" s="1"/>
      <c r="J410" s="1"/>
    </row>
    <row r="411" spans="4:10" x14ac:dyDescent="0.25">
      <c r="D411" s="1"/>
      <c r="E411" s="1"/>
      <c r="F411" s="1"/>
      <c r="G411" s="1"/>
      <c r="H411" s="1"/>
      <c r="I411" s="1"/>
      <c r="J411" s="1"/>
    </row>
    <row r="412" spans="4:10" x14ac:dyDescent="0.25">
      <c r="D412" s="1"/>
      <c r="E412" s="1"/>
      <c r="F412" s="1"/>
      <c r="G412" s="1"/>
      <c r="H412" s="1"/>
      <c r="I412" s="1"/>
      <c r="J412" s="1"/>
    </row>
    <row r="413" spans="4:10" x14ac:dyDescent="0.25">
      <c r="D413" s="1"/>
      <c r="E413" s="1"/>
      <c r="F413" s="1"/>
      <c r="G413" s="1"/>
      <c r="H413" s="1"/>
      <c r="I413" s="1"/>
      <c r="J413" s="1"/>
    </row>
    <row r="414" spans="4:10" x14ac:dyDescent="0.25">
      <c r="D414" s="1"/>
      <c r="E414" s="1"/>
      <c r="F414" s="1"/>
      <c r="G414" s="1"/>
      <c r="H414" s="1"/>
      <c r="I414" s="1"/>
      <c r="J414" s="1"/>
    </row>
    <row r="415" spans="4:10" x14ac:dyDescent="0.25">
      <c r="D415" s="1"/>
      <c r="E415" s="1"/>
      <c r="F415" s="1"/>
      <c r="G415" s="1"/>
      <c r="H415" s="1"/>
      <c r="I415" s="1"/>
      <c r="J415" s="1"/>
    </row>
    <row r="416" spans="4:10" x14ac:dyDescent="0.25">
      <c r="D416" s="1"/>
      <c r="E416" s="1"/>
      <c r="F416" s="1"/>
      <c r="G416" s="1"/>
      <c r="H416" s="1"/>
      <c r="I416" s="1"/>
      <c r="J416" s="1"/>
    </row>
    <row r="417" spans="4:10" x14ac:dyDescent="0.25">
      <c r="D417" s="1"/>
      <c r="E417" s="1"/>
      <c r="F417" s="1"/>
      <c r="G417" s="1"/>
      <c r="H417" s="1"/>
      <c r="I417" s="1"/>
      <c r="J417" s="1"/>
    </row>
    <row r="418" spans="4:10" x14ac:dyDescent="0.25">
      <c r="D418" s="1"/>
      <c r="E418" s="1"/>
      <c r="F418" s="1"/>
      <c r="G418" s="1"/>
      <c r="H418" s="1"/>
      <c r="I418" s="1"/>
      <c r="J418" s="1"/>
    </row>
    <row r="419" spans="4:10" x14ac:dyDescent="0.25">
      <c r="D419" s="1"/>
      <c r="E419" s="1"/>
      <c r="F419" s="1"/>
      <c r="G419" s="1"/>
      <c r="H419" s="1"/>
      <c r="I419" s="1"/>
      <c r="J419" s="1"/>
    </row>
    <row r="420" spans="4:10" x14ac:dyDescent="0.25">
      <c r="D420" s="1"/>
      <c r="E420" s="1"/>
      <c r="F420" s="1"/>
      <c r="G420" s="1"/>
      <c r="H420" s="1"/>
      <c r="I420" s="1"/>
      <c r="J420" s="1"/>
    </row>
    <row r="421" spans="4:10" x14ac:dyDescent="0.25">
      <c r="D421" s="1"/>
      <c r="E421" s="1"/>
      <c r="F421" s="1"/>
      <c r="G421" s="1"/>
      <c r="H421" s="1"/>
      <c r="I421" s="1"/>
      <c r="J421" s="1"/>
    </row>
    <row r="422" spans="4:10" x14ac:dyDescent="0.25">
      <c r="D422" s="1"/>
      <c r="E422" s="1"/>
      <c r="F422" s="1"/>
      <c r="G422" s="1"/>
      <c r="H422" s="1"/>
      <c r="I422" s="1"/>
      <c r="J422" s="1"/>
    </row>
    <row r="423" spans="4:10" x14ac:dyDescent="0.25">
      <c r="D423" s="1"/>
      <c r="E423" s="1"/>
      <c r="F423" s="1"/>
      <c r="G423" s="1"/>
      <c r="H423" s="1"/>
      <c r="I423" s="1"/>
      <c r="J423" s="1"/>
    </row>
    <row r="424" spans="4:10" x14ac:dyDescent="0.25">
      <c r="D424" s="1"/>
      <c r="E424" s="1"/>
      <c r="F424" s="1"/>
      <c r="G424" s="1"/>
      <c r="H424" s="1"/>
      <c r="I424" s="1"/>
      <c r="J424" s="1"/>
    </row>
    <row r="425" spans="4:10" x14ac:dyDescent="0.25">
      <c r="D425" s="1"/>
      <c r="E425" s="1"/>
      <c r="F425" s="1"/>
      <c r="G425" s="1"/>
      <c r="H425" s="1"/>
      <c r="I425" s="1"/>
      <c r="J425" s="1"/>
    </row>
    <row r="426" spans="4:10" x14ac:dyDescent="0.25">
      <c r="D426" s="1"/>
      <c r="E426" s="1"/>
      <c r="F426" s="1"/>
      <c r="G426" s="1"/>
      <c r="H426" s="1"/>
      <c r="I426" s="1"/>
      <c r="J426" s="1"/>
    </row>
    <row r="427" spans="4:10" x14ac:dyDescent="0.25">
      <c r="D427" s="1"/>
      <c r="E427" s="1"/>
      <c r="F427" s="1"/>
      <c r="G427" s="1"/>
      <c r="H427" s="1"/>
      <c r="I427" s="1"/>
      <c r="J427" s="1"/>
    </row>
    <row r="428" spans="4:10" x14ac:dyDescent="0.25">
      <c r="D428" s="1"/>
      <c r="E428" s="1"/>
      <c r="F428" s="1"/>
      <c r="G428" s="1"/>
      <c r="H428" s="1"/>
      <c r="I428" s="1"/>
      <c r="J428" s="1"/>
    </row>
    <row r="429" spans="4:10" x14ac:dyDescent="0.25">
      <c r="D429" s="1"/>
      <c r="E429" s="1"/>
      <c r="F429" s="1"/>
      <c r="G429" s="1"/>
      <c r="H429" s="1"/>
      <c r="I429" s="1"/>
      <c r="J429" s="1"/>
    </row>
    <row r="430" spans="4:10" x14ac:dyDescent="0.25">
      <c r="D430" s="1"/>
      <c r="E430" s="1"/>
      <c r="F430" s="1"/>
      <c r="G430" s="1"/>
      <c r="H430" s="1"/>
      <c r="I430" s="1"/>
      <c r="J430" s="1"/>
    </row>
    <row r="431" spans="4:10" x14ac:dyDescent="0.25">
      <c r="D431" s="1"/>
      <c r="E431" s="1"/>
      <c r="F431" s="1"/>
      <c r="G431" s="1"/>
      <c r="H431" s="1"/>
      <c r="I431" s="1"/>
      <c r="J431" s="1"/>
    </row>
    <row r="432" spans="4:10" x14ac:dyDescent="0.25">
      <c r="D432" s="1"/>
      <c r="E432" s="1"/>
      <c r="F432" s="1"/>
      <c r="G432" s="1"/>
      <c r="H432" s="1"/>
      <c r="I432" s="1"/>
      <c r="J432" s="1"/>
    </row>
    <row r="433" spans="4:10" x14ac:dyDescent="0.25">
      <c r="D433" s="1"/>
      <c r="E433" s="1"/>
      <c r="F433" s="1"/>
      <c r="G433" s="1"/>
      <c r="H433" s="1"/>
      <c r="I433" s="1"/>
      <c r="J433" s="1"/>
    </row>
    <row r="434" spans="4:10" x14ac:dyDescent="0.25">
      <c r="D434" s="1"/>
      <c r="E434" s="1"/>
      <c r="F434" s="1"/>
      <c r="G434" s="1"/>
      <c r="H434" s="1"/>
      <c r="I434" s="1"/>
      <c r="J434" s="1"/>
    </row>
    <row r="435" spans="4:10" x14ac:dyDescent="0.25">
      <c r="D435" s="1"/>
      <c r="E435" s="1"/>
      <c r="F435" s="1"/>
      <c r="G435" s="1"/>
      <c r="H435" s="1"/>
      <c r="I435" s="1"/>
      <c r="J435" s="1"/>
    </row>
    <row r="436" spans="4:10" x14ac:dyDescent="0.25">
      <c r="D436" s="1"/>
      <c r="E436" s="1"/>
      <c r="F436" s="1"/>
      <c r="G436" s="1"/>
      <c r="H436" s="1"/>
      <c r="I436" s="1"/>
      <c r="J436" s="1"/>
    </row>
    <row r="437" spans="4:10" x14ac:dyDescent="0.25">
      <c r="D437" s="1"/>
      <c r="E437" s="1"/>
      <c r="F437" s="1"/>
      <c r="G437" s="1"/>
      <c r="H437" s="1"/>
      <c r="I437" s="1"/>
      <c r="J437" s="1"/>
    </row>
    <row r="438" spans="4:10" x14ac:dyDescent="0.25">
      <c r="D438" s="1"/>
      <c r="E438" s="1"/>
      <c r="F438" s="1"/>
      <c r="G438" s="1"/>
      <c r="H438" s="1"/>
      <c r="I438" s="1"/>
      <c r="J438" s="1"/>
    </row>
    <row r="439" spans="4:10" x14ac:dyDescent="0.25">
      <c r="D439" s="1"/>
      <c r="E439" s="1"/>
      <c r="F439" s="1"/>
      <c r="G439" s="1"/>
      <c r="H439" s="1"/>
      <c r="I439" s="1"/>
      <c r="J439" s="1"/>
    </row>
    <row r="440" spans="4:10" x14ac:dyDescent="0.25">
      <c r="D440" s="1"/>
      <c r="E440" s="1"/>
      <c r="F440" s="1"/>
      <c r="G440" s="1"/>
      <c r="H440" s="1"/>
      <c r="I440" s="1"/>
      <c r="J440" s="1"/>
    </row>
    <row r="441" spans="4:10" x14ac:dyDescent="0.25">
      <c r="D441" s="1"/>
      <c r="E441" s="1"/>
      <c r="F441" s="1"/>
      <c r="G441" s="1"/>
      <c r="H441" s="1"/>
      <c r="I441" s="1"/>
      <c r="J441" s="1"/>
    </row>
    <row r="442" spans="4:10" x14ac:dyDescent="0.25">
      <c r="D442" s="1"/>
      <c r="E442" s="1"/>
      <c r="F442" s="1"/>
      <c r="G442" s="1"/>
      <c r="H442" s="1"/>
      <c r="I442" s="1"/>
      <c r="J442" s="1"/>
    </row>
    <row r="443" spans="4:10" x14ac:dyDescent="0.25">
      <c r="D443" s="1"/>
      <c r="E443" s="1"/>
      <c r="F443" s="1"/>
      <c r="G443" s="1"/>
      <c r="H443" s="1"/>
      <c r="I443" s="1"/>
      <c r="J443" s="1"/>
    </row>
    <row r="444" spans="4:10" x14ac:dyDescent="0.25">
      <c r="D444" s="1"/>
      <c r="E444" s="1"/>
      <c r="F444" s="1"/>
      <c r="G444" s="1"/>
      <c r="H444" s="1"/>
      <c r="I444" s="1"/>
      <c r="J444" s="1"/>
    </row>
    <row r="445" spans="4:10" x14ac:dyDescent="0.25">
      <c r="D445" s="1"/>
      <c r="E445" s="1"/>
      <c r="F445" s="1"/>
      <c r="G445" s="1"/>
      <c r="H445" s="1"/>
      <c r="I445" s="1"/>
      <c r="J445" s="1"/>
    </row>
    <row r="446" spans="4:10" x14ac:dyDescent="0.25">
      <c r="D446" s="1"/>
      <c r="E446" s="1"/>
      <c r="F446" s="1"/>
      <c r="G446" s="1"/>
      <c r="H446" s="1"/>
      <c r="I446" s="1"/>
      <c r="J446" s="1"/>
    </row>
    <row r="447" spans="4:10" x14ac:dyDescent="0.25">
      <c r="D447" s="1"/>
      <c r="E447" s="1"/>
      <c r="F447" s="1"/>
      <c r="G447" s="1"/>
      <c r="H447" s="1"/>
      <c r="I447" s="1"/>
      <c r="J44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42"/>
  <sheetViews>
    <sheetView topLeftCell="A708" zoomScale="70" zoomScaleNormal="70" workbookViewId="0">
      <selection activeCell="C742" sqref="C742"/>
    </sheetView>
  </sheetViews>
  <sheetFormatPr defaultRowHeight="15" x14ac:dyDescent="0.25"/>
  <cols>
    <col min="1" max="1" width="8.140625" bestFit="1" customWidth="1"/>
    <col min="2" max="2" width="10.5703125" bestFit="1" customWidth="1"/>
    <col min="3" max="3" width="7.42578125" bestFit="1" customWidth="1"/>
    <col min="4" max="4" width="23" bestFit="1" customWidth="1"/>
    <col min="5" max="5" width="15.5703125" bestFit="1" customWidth="1"/>
    <col min="6" max="6" width="10.85546875" bestFit="1" customWidth="1"/>
    <col min="7" max="7" width="10.42578125" style="10" bestFit="1" customWidth="1"/>
    <col min="14" max="14" width="19.7109375" customWidth="1"/>
    <col min="15" max="15" width="21.7109375" bestFit="1" customWidth="1"/>
    <col min="16" max="16" width="8.140625" customWidth="1"/>
    <col min="17" max="17" width="10.5703125" customWidth="1"/>
    <col min="18" max="19" width="12.140625" customWidth="1"/>
    <col min="20" max="20" width="11.7109375" bestFit="1" customWidth="1"/>
    <col min="21" max="21" width="10.140625" customWidth="1"/>
    <col min="22" max="22" width="9.5703125" customWidth="1"/>
    <col min="23" max="23" width="12.42578125" customWidth="1"/>
    <col min="24" max="25" width="9.7109375" customWidth="1"/>
    <col min="26" max="26" width="16.42578125" customWidth="1"/>
    <col min="27" max="27" width="8.28515625" customWidth="1"/>
    <col min="28" max="28" width="9.28515625" customWidth="1"/>
    <col min="29" max="29" width="17.28515625" customWidth="1"/>
    <col min="30" max="30" width="19.7109375" customWidth="1"/>
    <col min="31" max="31" width="9.7109375" customWidth="1"/>
    <col min="32" max="32" width="15" customWidth="1"/>
    <col min="33" max="33" width="9.28515625" customWidth="1"/>
    <col min="34" max="34" width="17.28515625" customWidth="1"/>
    <col min="35" max="35" width="19.7109375" customWidth="1"/>
    <col min="36" max="36" width="9.7109375" customWidth="1"/>
    <col min="37" max="37" width="15" customWidth="1"/>
    <col min="38" max="39" width="11.28515625" customWidth="1"/>
    <col min="40" max="40" width="7" customWidth="1"/>
    <col min="41" max="41" width="9" customWidth="1"/>
    <col min="42" max="42" width="8.42578125" customWidth="1"/>
    <col min="43" max="43" width="8.7109375" customWidth="1"/>
    <col min="44" max="44" width="9" customWidth="1"/>
    <col min="45" max="45" width="12" bestFit="1" customWidth="1"/>
    <col min="46" max="46" width="8" customWidth="1"/>
    <col min="47" max="47" width="9.85546875" bestFit="1" customWidth="1"/>
    <col min="48" max="48" width="8" customWidth="1"/>
    <col min="49" max="49" width="8.140625" customWidth="1"/>
    <col min="50" max="50" width="8" customWidth="1"/>
    <col min="51" max="51" width="20.140625" bestFit="1" customWidth="1"/>
    <col min="52" max="52" width="13.140625" bestFit="1" customWidth="1"/>
    <col min="53" max="53" width="10.42578125" bestFit="1" customWidth="1"/>
    <col min="54" max="54" width="7.28515625" customWidth="1"/>
    <col min="55" max="55" width="11.28515625" bestFit="1" customWidth="1"/>
  </cols>
  <sheetData>
    <row r="1" spans="1:7" ht="14.25" customHeight="1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0" t="s">
        <v>82</v>
      </c>
    </row>
    <row r="2" spans="1:7" x14ac:dyDescent="0.25">
      <c r="A2" s="1">
        <v>2022</v>
      </c>
      <c r="B2" s="1">
        <v>1</v>
      </c>
      <c r="C2" s="1">
        <v>1</v>
      </c>
      <c r="D2" s="1" t="s">
        <v>83</v>
      </c>
      <c r="E2" s="1" t="s">
        <v>66</v>
      </c>
      <c r="F2" s="1">
        <v>101637</v>
      </c>
      <c r="G2" s="10">
        <f>F2/1000</f>
        <v>101.637</v>
      </c>
    </row>
    <row r="3" spans="1:7" x14ac:dyDescent="0.25">
      <c r="A3" s="1">
        <v>2022</v>
      </c>
      <c r="B3" s="1">
        <v>1</v>
      </c>
      <c r="C3" s="1">
        <v>3</v>
      </c>
      <c r="D3" s="1" t="s">
        <v>8</v>
      </c>
      <c r="E3" s="1" t="s">
        <v>84</v>
      </c>
      <c r="F3" s="1">
        <v>10691</v>
      </c>
      <c r="G3" s="10">
        <f t="shared" ref="G3:G66" si="0">F3/1000</f>
        <v>10.691000000000001</v>
      </c>
    </row>
    <row r="4" spans="1:7" x14ac:dyDescent="0.25">
      <c r="A4" s="1">
        <v>2022</v>
      </c>
      <c r="B4" s="1">
        <v>1</v>
      </c>
      <c r="C4" s="1">
        <v>5</v>
      </c>
      <c r="D4" s="1" t="s">
        <v>83</v>
      </c>
      <c r="E4" s="1" t="s">
        <v>66</v>
      </c>
      <c r="F4" s="1">
        <v>96721</v>
      </c>
      <c r="G4" s="10">
        <f t="shared" si="0"/>
        <v>96.721000000000004</v>
      </c>
    </row>
    <row r="5" spans="1:7" x14ac:dyDescent="0.25">
      <c r="A5" s="1">
        <v>2022</v>
      </c>
      <c r="B5" s="1">
        <v>1</v>
      </c>
      <c r="C5" s="1">
        <v>6</v>
      </c>
      <c r="D5" s="1" t="s">
        <v>83</v>
      </c>
      <c r="E5" s="1" t="s">
        <v>66</v>
      </c>
      <c r="F5" s="1">
        <v>89768</v>
      </c>
      <c r="G5" s="10">
        <f t="shared" si="0"/>
        <v>89.768000000000001</v>
      </c>
    </row>
    <row r="6" spans="1:7" x14ac:dyDescent="0.25">
      <c r="A6" s="1">
        <v>2022</v>
      </c>
      <c r="B6" s="1">
        <v>1</v>
      </c>
      <c r="C6" s="1">
        <v>9</v>
      </c>
      <c r="D6" s="1" t="s">
        <v>83</v>
      </c>
      <c r="E6" s="1" t="s">
        <v>66</v>
      </c>
      <c r="F6" s="1">
        <v>31307</v>
      </c>
      <c r="G6" s="10">
        <f t="shared" si="0"/>
        <v>31.306999999999999</v>
      </c>
    </row>
    <row r="7" spans="1:7" x14ac:dyDescent="0.25">
      <c r="A7" s="1">
        <v>2022</v>
      </c>
      <c r="B7" s="1">
        <v>1</v>
      </c>
      <c r="C7" s="1">
        <v>14</v>
      </c>
      <c r="D7" s="1" t="s">
        <v>85</v>
      </c>
      <c r="E7" s="1" t="s">
        <v>66</v>
      </c>
      <c r="F7" s="1">
        <v>103458</v>
      </c>
      <c r="G7" s="10">
        <f t="shared" si="0"/>
        <v>103.458</v>
      </c>
    </row>
    <row r="8" spans="1:7" x14ac:dyDescent="0.25">
      <c r="A8" s="1">
        <v>2022</v>
      </c>
      <c r="B8" s="1">
        <v>1</v>
      </c>
      <c r="C8" s="1">
        <v>14</v>
      </c>
      <c r="D8" s="1" t="s">
        <v>83</v>
      </c>
      <c r="E8" s="1" t="s">
        <v>66</v>
      </c>
      <c r="F8" s="1">
        <v>85689</v>
      </c>
      <c r="G8" s="10">
        <f t="shared" si="0"/>
        <v>85.688999999999993</v>
      </c>
    </row>
    <row r="9" spans="1:7" x14ac:dyDescent="0.25">
      <c r="A9" s="1">
        <v>2022</v>
      </c>
      <c r="B9" s="1">
        <v>1</v>
      </c>
      <c r="C9" s="1">
        <v>18</v>
      </c>
      <c r="D9" s="1" t="s">
        <v>83</v>
      </c>
      <c r="E9" s="1" t="s">
        <v>66</v>
      </c>
      <c r="F9" s="1">
        <v>99558</v>
      </c>
      <c r="G9" s="10">
        <f t="shared" si="0"/>
        <v>99.558000000000007</v>
      </c>
    </row>
    <row r="10" spans="1:7" x14ac:dyDescent="0.25">
      <c r="A10" s="1">
        <v>2022</v>
      </c>
      <c r="B10" s="1">
        <v>1</v>
      </c>
      <c r="C10" s="1">
        <v>19</v>
      </c>
      <c r="D10" s="1" t="s">
        <v>20</v>
      </c>
      <c r="E10" s="1" t="s">
        <v>84</v>
      </c>
      <c r="F10" s="1">
        <v>1791</v>
      </c>
      <c r="G10" s="10">
        <f t="shared" si="0"/>
        <v>1.7909999999999999</v>
      </c>
    </row>
    <row r="11" spans="1:7" x14ac:dyDescent="0.25">
      <c r="A11" s="1">
        <v>2022</v>
      </c>
      <c r="B11" s="1">
        <v>1</v>
      </c>
      <c r="C11" s="1">
        <v>19</v>
      </c>
      <c r="D11" s="1" t="s">
        <v>83</v>
      </c>
      <c r="E11" s="1" t="s">
        <v>66</v>
      </c>
      <c r="F11" s="1">
        <v>60075</v>
      </c>
      <c r="G11" s="10">
        <f t="shared" si="0"/>
        <v>60.075000000000003</v>
      </c>
    </row>
    <row r="12" spans="1:7" x14ac:dyDescent="0.25">
      <c r="A12" s="1">
        <v>2022</v>
      </c>
      <c r="B12" s="1">
        <v>1</v>
      </c>
      <c r="C12" s="1">
        <v>21</v>
      </c>
      <c r="D12" s="1" t="s">
        <v>83</v>
      </c>
      <c r="E12" s="1" t="s">
        <v>66</v>
      </c>
      <c r="F12" s="1">
        <v>99636</v>
      </c>
      <c r="G12" s="10">
        <f t="shared" si="0"/>
        <v>99.635999999999996</v>
      </c>
    </row>
    <row r="13" spans="1:7" x14ac:dyDescent="0.25">
      <c r="A13" s="1">
        <v>2022</v>
      </c>
      <c r="B13" s="1">
        <v>1</v>
      </c>
      <c r="C13" s="1">
        <v>23</v>
      </c>
      <c r="D13" s="1" t="s">
        <v>83</v>
      </c>
      <c r="E13" s="1" t="s">
        <v>66</v>
      </c>
      <c r="F13" s="1">
        <v>87290</v>
      </c>
      <c r="G13" s="10">
        <f t="shared" si="0"/>
        <v>87.29</v>
      </c>
    </row>
    <row r="14" spans="1:7" x14ac:dyDescent="0.25">
      <c r="A14" s="1">
        <v>2022</v>
      </c>
      <c r="B14" s="1">
        <v>1</v>
      </c>
      <c r="C14" s="1">
        <v>25</v>
      </c>
      <c r="D14" s="1" t="s">
        <v>83</v>
      </c>
      <c r="E14" s="1" t="s">
        <v>84</v>
      </c>
      <c r="F14" s="1">
        <v>33757</v>
      </c>
      <c r="G14" s="10">
        <f t="shared" si="0"/>
        <v>33.756999999999998</v>
      </c>
    </row>
    <row r="15" spans="1:7" x14ac:dyDescent="0.25">
      <c r="A15" s="1">
        <v>2022</v>
      </c>
      <c r="B15" s="1">
        <v>1</v>
      </c>
      <c r="C15" s="1">
        <v>31</v>
      </c>
      <c r="D15" s="1" t="s">
        <v>83</v>
      </c>
      <c r="E15" s="1" t="s">
        <v>66</v>
      </c>
      <c r="F15" s="1">
        <v>101663</v>
      </c>
      <c r="G15" s="10">
        <f t="shared" si="0"/>
        <v>101.663</v>
      </c>
    </row>
    <row r="16" spans="1:7" x14ac:dyDescent="0.25">
      <c r="A16" s="1">
        <v>2022</v>
      </c>
      <c r="B16" s="1">
        <v>2</v>
      </c>
      <c r="C16" s="1">
        <v>3</v>
      </c>
      <c r="D16" s="1" t="s">
        <v>83</v>
      </c>
      <c r="E16" s="1" t="s">
        <v>66</v>
      </c>
      <c r="F16" s="1">
        <v>85797</v>
      </c>
      <c r="G16" s="10">
        <f t="shared" si="0"/>
        <v>85.796999999999997</v>
      </c>
    </row>
    <row r="17" spans="1:7" x14ac:dyDescent="0.25">
      <c r="A17" s="1">
        <v>2022</v>
      </c>
      <c r="B17" s="1">
        <v>2</v>
      </c>
      <c r="C17" s="1">
        <v>4</v>
      </c>
      <c r="D17" s="1" t="s">
        <v>12</v>
      </c>
      <c r="E17" s="1" t="s">
        <v>66</v>
      </c>
      <c r="F17" s="1">
        <v>6131</v>
      </c>
      <c r="G17" s="10">
        <f t="shared" si="0"/>
        <v>6.1310000000000002</v>
      </c>
    </row>
    <row r="18" spans="1:7" x14ac:dyDescent="0.25">
      <c r="A18" s="1">
        <v>2022</v>
      </c>
      <c r="B18" s="1">
        <v>2</v>
      </c>
      <c r="C18" s="1">
        <v>5</v>
      </c>
      <c r="D18" s="1" t="s">
        <v>8</v>
      </c>
      <c r="E18" s="1" t="s">
        <v>66</v>
      </c>
      <c r="F18" s="1">
        <v>1706</v>
      </c>
      <c r="G18" s="10">
        <f t="shared" si="0"/>
        <v>1.706</v>
      </c>
    </row>
    <row r="19" spans="1:7" x14ac:dyDescent="0.25">
      <c r="A19" s="1">
        <v>2022</v>
      </c>
      <c r="B19" s="1">
        <v>2</v>
      </c>
      <c r="C19" s="1">
        <v>9</v>
      </c>
      <c r="D19" s="1" t="s">
        <v>12</v>
      </c>
      <c r="E19" s="1" t="s">
        <v>66</v>
      </c>
      <c r="F19" s="1">
        <v>17308</v>
      </c>
      <c r="G19" s="10">
        <f t="shared" si="0"/>
        <v>17.308</v>
      </c>
    </row>
    <row r="20" spans="1:7" x14ac:dyDescent="0.25">
      <c r="A20" s="1">
        <v>2022</v>
      </c>
      <c r="B20" s="1">
        <v>2</v>
      </c>
      <c r="C20" s="1">
        <v>10</v>
      </c>
      <c r="D20" s="1" t="s">
        <v>83</v>
      </c>
      <c r="E20" s="1" t="s">
        <v>84</v>
      </c>
      <c r="F20" s="1">
        <v>23756</v>
      </c>
      <c r="G20" s="10">
        <f t="shared" si="0"/>
        <v>23.756</v>
      </c>
    </row>
    <row r="21" spans="1:7" x14ac:dyDescent="0.25">
      <c r="A21" s="1">
        <v>2022</v>
      </c>
      <c r="B21" s="1">
        <v>2</v>
      </c>
      <c r="C21" s="1">
        <v>11</v>
      </c>
      <c r="D21" s="1" t="s">
        <v>83</v>
      </c>
      <c r="E21" s="1" t="s">
        <v>66</v>
      </c>
      <c r="F21" s="1">
        <v>17108</v>
      </c>
      <c r="G21" s="10">
        <f t="shared" si="0"/>
        <v>17.108000000000001</v>
      </c>
    </row>
    <row r="22" spans="1:7" x14ac:dyDescent="0.25">
      <c r="A22" s="1">
        <v>2022</v>
      </c>
      <c r="B22" s="1">
        <v>2</v>
      </c>
      <c r="C22" s="1">
        <v>12</v>
      </c>
      <c r="D22" s="1" t="s">
        <v>20</v>
      </c>
      <c r="E22" s="1" t="s">
        <v>66</v>
      </c>
      <c r="F22" s="1">
        <v>4496</v>
      </c>
      <c r="G22" s="10">
        <f t="shared" si="0"/>
        <v>4.4960000000000004</v>
      </c>
    </row>
    <row r="23" spans="1:7" x14ac:dyDescent="0.25">
      <c r="A23" s="1">
        <v>2022</v>
      </c>
      <c r="B23" s="1">
        <v>2</v>
      </c>
      <c r="C23" s="1">
        <v>12</v>
      </c>
      <c r="D23" s="1" t="s">
        <v>20</v>
      </c>
      <c r="E23" s="1" t="s">
        <v>66</v>
      </c>
      <c r="F23" s="1">
        <v>2860</v>
      </c>
      <c r="G23" s="10">
        <f t="shared" si="0"/>
        <v>2.86</v>
      </c>
    </row>
    <row r="24" spans="1:7" x14ac:dyDescent="0.25">
      <c r="A24" s="1">
        <v>2022</v>
      </c>
      <c r="B24" s="1">
        <v>2</v>
      </c>
      <c r="C24" s="1">
        <v>12</v>
      </c>
      <c r="D24" s="1" t="s">
        <v>83</v>
      </c>
      <c r="E24" s="1" t="s">
        <v>66</v>
      </c>
      <c r="F24" s="1">
        <v>87744</v>
      </c>
      <c r="G24" s="10">
        <f t="shared" si="0"/>
        <v>87.744</v>
      </c>
    </row>
    <row r="25" spans="1:7" x14ac:dyDescent="0.25">
      <c r="A25" s="1">
        <v>2022</v>
      </c>
      <c r="B25" s="1">
        <v>2</v>
      </c>
      <c r="C25" s="1">
        <v>13</v>
      </c>
      <c r="D25" s="1" t="s">
        <v>8</v>
      </c>
      <c r="E25" s="1" t="s">
        <v>66</v>
      </c>
      <c r="F25" s="1">
        <v>3090</v>
      </c>
      <c r="G25" s="10">
        <f t="shared" si="0"/>
        <v>3.09</v>
      </c>
    </row>
    <row r="26" spans="1:7" x14ac:dyDescent="0.25">
      <c r="A26" s="1">
        <v>2022</v>
      </c>
      <c r="B26" s="1">
        <v>2</v>
      </c>
      <c r="C26" s="1">
        <v>13</v>
      </c>
      <c r="D26" s="1" t="s">
        <v>83</v>
      </c>
      <c r="E26" s="1" t="s">
        <v>66</v>
      </c>
      <c r="F26" s="1">
        <v>6404</v>
      </c>
      <c r="G26" s="10">
        <f t="shared" si="0"/>
        <v>6.4039999999999999</v>
      </c>
    </row>
    <row r="27" spans="1:7" x14ac:dyDescent="0.25">
      <c r="A27" s="1">
        <v>2022</v>
      </c>
      <c r="B27" s="1">
        <v>2</v>
      </c>
      <c r="C27" s="1">
        <v>14</v>
      </c>
      <c r="D27" s="1" t="s">
        <v>85</v>
      </c>
      <c r="E27" s="1" t="s">
        <v>66</v>
      </c>
      <c r="F27" s="1">
        <v>102839</v>
      </c>
      <c r="G27" s="10">
        <f t="shared" si="0"/>
        <v>102.839</v>
      </c>
    </row>
    <row r="28" spans="1:7" x14ac:dyDescent="0.25">
      <c r="A28" s="1">
        <v>2022</v>
      </c>
      <c r="B28" s="1">
        <v>2</v>
      </c>
      <c r="C28" s="1">
        <v>14</v>
      </c>
      <c r="D28" s="1" t="s">
        <v>8</v>
      </c>
      <c r="E28" s="1" t="s">
        <v>66</v>
      </c>
      <c r="F28" s="1">
        <v>11795</v>
      </c>
      <c r="G28" s="10">
        <f t="shared" si="0"/>
        <v>11.795</v>
      </c>
    </row>
    <row r="29" spans="1:7" x14ac:dyDescent="0.25">
      <c r="A29" s="1">
        <v>2022</v>
      </c>
      <c r="B29" s="1">
        <v>2</v>
      </c>
      <c r="C29" s="1">
        <v>14</v>
      </c>
      <c r="D29" s="1" t="s">
        <v>86</v>
      </c>
      <c r="E29" s="1" t="s">
        <v>84</v>
      </c>
      <c r="F29" s="1">
        <v>954</v>
      </c>
      <c r="G29" s="10">
        <f t="shared" si="0"/>
        <v>0.95399999999999996</v>
      </c>
    </row>
    <row r="30" spans="1:7" x14ac:dyDescent="0.25">
      <c r="A30" s="1">
        <v>2022</v>
      </c>
      <c r="B30" s="1">
        <v>2</v>
      </c>
      <c r="C30" s="1">
        <v>16</v>
      </c>
      <c r="D30" s="1" t="s">
        <v>86</v>
      </c>
      <c r="E30" s="1" t="s">
        <v>84</v>
      </c>
      <c r="F30" s="1">
        <v>1359</v>
      </c>
      <c r="G30" s="10">
        <f t="shared" si="0"/>
        <v>1.359</v>
      </c>
    </row>
    <row r="31" spans="1:7" x14ac:dyDescent="0.25">
      <c r="A31" s="1">
        <v>2022</v>
      </c>
      <c r="B31" s="1">
        <v>2</v>
      </c>
      <c r="C31" s="1">
        <v>19</v>
      </c>
      <c r="D31" s="1" t="s">
        <v>83</v>
      </c>
      <c r="E31" s="1" t="s">
        <v>66</v>
      </c>
      <c r="F31" s="1">
        <v>44795</v>
      </c>
      <c r="G31" s="10">
        <f t="shared" si="0"/>
        <v>44.795000000000002</v>
      </c>
    </row>
    <row r="32" spans="1:7" x14ac:dyDescent="0.25">
      <c r="A32" s="1">
        <v>2022</v>
      </c>
      <c r="B32" s="1">
        <v>2</v>
      </c>
      <c r="C32" s="1">
        <v>21</v>
      </c>
      <c r="D32" s="1" t="s">
        <v>83</v>
      </c>
      <c r="E32" s="1" t="s">
        <v>66</v>
      </c>
      <c r="F32" s="1">
        <v>84519</v>
      </c>
      <c r="G32" s="10">
        <f t="shared" si="0"/>
        <v>84.519000000000005</v>
      </c>
    </row>
    <row r="33" spans="1:7" x14ac:dyDescent="0.25">
      <c r="A33" s="1">
        <v>2022</v>
      </c>
      <c r="B33" s="1">
        <v>2</v>
      </c>
      <c r="C33" s="1">
        <v>22</v>
      </c>
      <c r="D33" s="1" t="s">
        <v>24</v>
      </c>
      <c r="E33" s="1" t="s">
        <v>66</v>
      </c>
      <c r="F33" s="1">
        <v>98439</v>
      </c>
      <c r="G33" s="10">
        <f t="shared" si="0"/>
        <v>98.438999999999993</v>
      </c>
    </row>
    <row r="34" spans="1:7" x14ac:dyDescent="0.25">
      <c r="A34" s="1">
        <v>2022</v>
      </c>
      <c r="B34" s="1">
        <v>2</v>
      </c>
      <c r="C34" s="1">
        <v>25</v>
      </c>
      <c r="D34" s="1" t="s">
        <v>12</v>
      </c>
      <c r="E34" s="1" t="s">
        <v>84</v>
      </c>
      <c r="F34" s="1">
        <v>13770</v>
      </c>
      <c r="G34" s="10">
        <f t="shared" si="0"/>
        <v>13.77</v>
      </c>
    </row>
    <row r="35" spans="1:7" x14ac:dyDescent="0.25">
      <c r="A35" s="1">
        <v>2022</v>
      </c>
      <c r="B35" s="1">
        <v>2</v>
      </c>
      <c r="C35" s="1">
        <v>26</v>
      </c>
      <c r="D35" s="1" t="s">
        <v>12</v>
      </c>
      <c r="E35" s="1" t="s">
        <v>84</v>
      </c>
      <c r="F35" s="1">
        <v>14827</v>
      </c>
      <c r="G35" s="10">
        <f t="shared" si="0"/>
        <v>14.827</v>
      </c>
    </row>
    <row r="36" spans="1:7" x14ac:dyDescent="0.25">
      <c r="A36" s="1">
        <v>2022</v>
      </c>
      <c r="B36" s="1">
        <v>2</v>
      </c>
      <c r="C36" s="1">
        <v>26</v>
      </c>
      <c r="D36" s="1" t="s">
        <v>83</v>
      </c>
      <c r="E36" s="1" t="s">
        <v>66</v>
      </c>
      <c r="F36" s="1">
        <v>30841</v>
      </c>
      <c r="G36" s="10">
        <f t="shared" si="0"/>
        <v>30.841000000000001</v>
      </c>
    </row>
    <row r="37" spans="1:7" x14ac:dyDescent="0.25">
      <c r="A37" s="1">
        <v>2022</v>
      </c>
      <c r="B37" s="1">
        <v>3</v>
      </c>
      <c r="C37" s="1">
        <v>2</v>
      </c>
      <c r="D37" s="1" t="s">
        <v>83</v>
      </c>
      <c r="E37" s="1" t="s">
        <v>66</v>
      </c>
      <c r="F37" s="1">
        <v>86432</v>
      </c>
      <c r="G37" s="10">
        <f t="shared" si="0"/>
        <v>86.432000000000002</v>
      </c>
    </row>
    <row r="38" spans="1:7" x14ac:dyDescent="0.25">
      <c r="A38" s="1">
        <v>2022</v>
      </c>
      <c r="B38" s="1">
        <v>3</v>
      </c>
      <c r="C38" s="1">
        <v>3</v>
      </c>
      <c r="D38" s="1" t="s">
        <v>53</v>
      </c>
      <c r="E38" s="1" t="s">
        <v>84</v>
      </c>
      <c r="F38" s="1">
        <v>28919</v>
      </c>
      <c r="G38" s="10">
        <f t="shared" si="0"/>
        <v>28.919</v>
      </c>
    </row>
    <row r="39" spans="1:7" x14ac:dyDescent="0.25">
      <c r="A39" s="1">
        <v>2022</v>
      </c>
      <c r="B39" s="1">
        <v>3</v>
      </c>
      <c r="C39" s="1">
        <v>4</v>
      </c>
      <c r="D39" s="1" t="s">
        <v>12</v>
      </c>
      <c r="E39" s="1" t="s">
        <v>84</v>
      </c>
      <c r="F39" s="1">
        <v>14917</v>
      </c>
      <c r="G39" s="10">
        <f t="shared" si="0"/>
        <v>14.917</v>
      </c>
    </row>
    <row r="40" spans="1:7" x14ac:dyDescent="0.25">
      <c r="A40" s="1">
        <v>2022</v>
      </c>
      <c r="B40" s="1">
        <v>3</v>
      </c>
      <c r="C40" s="1">
        <v>8</v>
      </c>
      <c r="D40" s="1" t="s">
        <v>53</v>
      </c>
      <c r="E40" s="1" t="s">
        <v>84</v>
      </c>
      <c r="F40" s="1">
        <v>713</v>
      </c>
      <c r="G40" s="10">
        <f t="shared" si="0"/>
        <v>0.71299999999999997</v>
      </c>
    </row>
    <row r="41" spans="1:7" x14ac:dyDescent="0.25">
      <c r="A41" s="1">
        <v>2022</v>
      </c>
      <c r="B41" s="1">
        <v>3</v>
      </c>
      <c r="C41" s="1">
        <v>9</v>
      </c>
      <c r="D41" s="1" t="s">
        <v>12</v>
      </c>
      <c r="E41" s="1" t="s">
        <v>66</v>
      </c>
      <c r="F41" s="1">
        <v>15303</v>
      </c>
      <c r="G41" s="10">
        <f t="shared" si="0"/>
        <v>15.303000000000001</v>
      </c>
    </row>
    <row r="42" spans="1:7" x14ac:dyDescent="0.25">
      <c r="A42" s="1">
        <v>2022</v>
      </c>
      <c r="B42" s="1">
        <v>3</v>
      </c>
      <c r="C42" s="1">
        <v>9</v>
      </c>
      <c r="D42" s="1" t="s">
        <v>87</v>
      </c>
      <c r="E42" s="1" t="s">
        <v>66</v>
      </c>
      <c r="F42" s="1">
        <v>18716</v>
      </c>
      <c r="G42" s="10">
        <f t="shared" si="0"/>
        <v>18.716000000000001</v>
      </c>
    </row>
    <row r="43" spans="1:7" x14ac:dyDescent="0.25">
      <c r="A43" s="1">
        <v>2022</v>
      </c>
      <c r="B43" s="1">
        <v>3</v>
      </c>
      <c r="C43" s="1">
        <v>9</v>
      </c>
      <c r="D43" s="1" t="s">
        <v>83</v>
      </c>
      <c r="E43" s="1" t="s">
        <v>66</v>
      </c>
      <c r="F43" s="1">
        <v>98568</v>
      </c>
      <c r="G43" s="10">
        <f t="shared" si="0"/>
        <v>98.567999999999998</v>
      </c>
    </row>
    <row r="44" spans="1:7" x14ac:dyDescent="0.25">
      <c r="A44" s="1">
        <v>2022</v>
      </c>
      <c r="B44" s="1">
        <v>3</v>
      </c>
      <c r="C44" s="1">
        <v>11</v>
      </c>
      <c r="D44" s="1" t="s">
        <v>83</v>
      </c>
      <c r="E44" s="1" t="s">
        <v>66</v>
      </c>
      <c r="F44" s="1">
        <v>80641</v>
      </c>
      <c r="G44" s="10">
        <f t="shared" si="0"/>
        <v>80.641000000000005</v>
      </c>
    </row>
    <row r="45" spans="1:7" x14ac:dyDescent="0.25">
      <c r="A45" s="1">
        <v>2022</v>
      </c>
      <c r="B45" s="1">
        <v>3</v>
      </c>
      <c r="C45" s="1">
        <v>12</v>
      </c>
      <c r="D45" s="1" t="s">
        <v>83</v>
      </c>
      <c r="E45" s="1" t="s">
        <v>66</v>
      </c>
      <c r="F45" s="1">
        <v>98566</v>
      </c>
      <c r="G45" s="10">
        <f t="shared" si="0"/>
        <v>98.566000000000003</v>
      </c>
    </row>
    <row r="46" spans="1:7" x14ac:dyDescent="0.25">
      <c r="A46" s="1">
        <v>2022</v>
      </c>
      <c r="B46" s="1">
        <v>3</v>
      </c>
      <c r="C46" s="1">
        <v>13</v>
      </c>
      <c r="D46" s="1" t="s">
        <v>28</v>
      </c>
      <c r="E46" s="1" t="s">
        <v>84</v>
      </c>
      <c r="F46" s="1">
        <v>5527</v>
      </c>
      <c r="G46" s="10">
        <f t="shared" si="0"/>
        <v>5.5270000000000001</v>
      </c>
    </row>
    <row r="47" spans="1:7" x14ac:dyDescent="0.25">
      <c r="A47" s="1">
        <v>2022</v>
      </c>
      <c r="B47" s="1">
        <v>3</v>
      </c>
      <c r="C47" s="1">
        <v>14</v>
      </c>
      <c r="D47" s="1" t="s">
        <v>83</v>
      </c>
      <c r="E47" s="1" t="s">
        <v>66</v>
      </c>
      <c r="F47" s="1">
        <v>7335</v>
      </c>
      <c r="G47" s="10">
        <f t="shared" si="0"/>
        <v>7.335</v>
      </c>
    </row>
    <row r="48" spans="1:7" x14ac:dyDescent="0.25">
      <c r="A48" s="1">
        <v>2022</v>
      </c>
      <c r="B48" s="1">
        <v>3</v>
      </c>
      <c r="C48" s="1">
        <v>17</v>
      </c>
      <c r="D48" s="1" t="s">
        <v>85</v>
      </c>
      <c r="E48" s="1" t="s">
        <v>66</v>
      </c>
      <c r="F48" s="1">
        <v>19637</v>
      </c>
      <c r="G48" s="10">
        <f t="shared" si="0"/>
        <v>19.637</v>
      </c>
    </row>
    <row r="49" spans="1:7" x14ac:dyDescent="0.25">
      <c r="A49" s="1">
        <v>2022</v>
      </c>
      <c r="B49" s="1">
        <v>3</v>
      </c>
      <c r="C49" s="1">
        <v>17</v>
      </c>
      <c r="D49" s="1" t="s">
        <v>85</v>
      </c>
      <c r="E49" s="1" t="s">
        <v>66</v>
      </c>
      <c r="F49" s="1">
        <v>45868</v>
      </c>
      <c r="G49" s="10">
        <f t="shared" si="0"/>
        <v>45.868000000000002</v>
      </c>
    </row>
    <row r="50" spans="1:7" x14ac:dyDescent="0.25">
      <c r="A50" s="1">
        <v>2022</v>
      </c>
      <c r="B50" s="1">
        <v>3</v>
      </c>
      <c r="C50" s="1">
        <v>17</v>
      </c>
      <c r="D50" s="1" t="s">
        <v>85</v>
      </c>
      <c r="E50" s="1" t="s">
        <v>66</v>
      </c>
      <c r="F50" s="1">
        <v>19637</v>
      </c>
      <c r="G50" s="10">
        <f t="shared" si="0"/>
        <v>19.637</v>
      </c>
    </row>
    <row r="51" spans="1:7" x14ac:dyDescent="0.25">
      <c r="A51" s="1">
        <v>2022</v>
      </c>
      <c r="B51" s="1">
        <v>3</v>
      </c>
      <c r="C51" s="1">
        <v>17</v>
      </c>
      <c r="D51" s="1" t="s">
        <v>83</v>
      </c>
      <c r="E51" s="1" t="s">
        <v>66</v>
      </c>
      <c r="F51" s="1">
        <v>100056</v>
      </c>
      <c r="G51" s="10">
        <f t="shared" si="0"/>
        <v>100.056</v>
      </c>
    </row>
    <row r="52" spans="1:7" x14ac:dyDescent="0.25">
      <c r="A52" s="1">
        <v>2022</v>
      </c>
      <c r="B52" s="1">
        <v>3</v>
      </c>
      <c r="C52" s="1">
        <v>18</v>
      </c>
      <c r="D52" s="1" t="s">
        <v>83</v>
      </c>
      <c r="E52" s="1" t="s">
        <v>66</v>
      </c>
      <c r="F52" s="1">
        <v>17047</v>
      </c>
      <c r="G52" s="10">
        <f t="shared" si="0"/>
        <v>17.047000000000001</v>
      </c>
    </row>
    <row r="53" spans="1:7" x14ac:dyDescent="0.25">
      <c r="A53" s="1">
        <v>2022</v>
      </c>
      <c r="B53" s="1">
        <v>3</v>
      </c>
      <c r="C53" s="1">
        <v>19</v>
      </c>
      <c r="D53" s="1" t="s">
        <v>53</v>
      </c>
      <c r="E53" s="1" t="s">
        <v>66</v>
      </c>
      <c r="F53" s="1">
        <v>37049</v>
      </c>
      <c r="G53" s="10">
        <f t="shared" si="0"/>
        <v>37.048999999999999</v>
      </c>
    </row>
    <row r="54" spans="1:7" x14ac:dyDescent="0.25">
      <c r="A54" s="1">
        <v>2022</v>
      </c>
      <c r="B54" s="1">
        <v>3</v>
      </c>
      <c r="C54" s="1">
        <v>21</v>
      </c>
      <c r="D54" s="1" t="s">
        <v>86</v>
      </c>
      <c r="E54" s="1" t="s">
        <v>84</v>
      </c>
      <c r="F54" s="1">
        <v>3394</v>
      </c>
      <c r="G54" s="10">
        <f t="shared" si="0"/>
        <v>3.3940000000000001</v>
      </c>
    </row>
    <row r="55" spans="1:7" x14ac:dyDescent="0.25">
      <c r="A55" s="1">
        <v>2022</v>
      </c>
      <c r="B55" s="1">
        <v>3</v>
      </c>
      <c r="C55" s="1">
        <v>22</v>
      </c>
      <c r="D55" s="1" t="s">
        <v>83</v>
      </c>
      <c r="E55" s="1" t="s">
        <v>84</v>
      </c>
      <c r="F55" s="1">
        <v>81968</v>
      </c>
      <c r="G55" s="10">
        <f t="shared" si="0"/>
        <v>81.968000000000004</v>
      </c>
    </row>
    <row r="56" spans="1:7" x14ac:dyDescent="0.25">
      <c r="A56" s="1">
        <v>2022</v>
      </c>
      <c r="B56" s="1">
        <v>3</v>
      </c>
      <c r="C56" s="1">
        <v>22</v>
      </c>
      <c r="D56" s="1" t="s">
        <v>83</v>
      </c>
      <c r="E56" s="1" t="s">
        <v>66</v>
      </c>
      <c r="F56" s="1">
        <v>18641</v>
      </c>
      <c r="G56" s="10">
        <f t="shared" si="0"/>
        <v>18.640999999999998</v>
      </c>
    </row>
    <row r="57" spans="1:7" x14ac:dyDescent="0.25">
      <c r="A57" s="1">
        <v>2022</v>
      </c>
      <c r="B57" s="1">
        <v>3</v>
      </c>
      <c r="C57" s="1">
        <v>23</v>
      </c>
      <c r="D57" s="1" t="s">
        <v>33</v>
      </c>
      <c r="E57" s="1" t="s">
        <v>66</v>
      </c>
      <c r="F57" s="1">
        <v>33169</v>
      </c>
      <c r="G57" s="10">
        <f t="shared" si="0"/>
        <v>33.168999999999997</v>
      </c>
    </row>
    <row r="58" spans="1:7" x14ac:dyDescent="0.25">
      <c r="A58" s="1">
        <v>2022</v>
      </c>
      <c r="B58" s="1">
        <v>3</v>
      </c>
      <c r="C58" s="1">
        <v>23</v>
      </c>
      <c r="D58" s="1" t="s">
        <v>14</v>
      </c>
      <c r="E58" s="1" t="s">
        <v>66</v>
      </c>
      <c r="F58" s="1">
        <v>66588</v>
      </c>
      <c r="G58" s="10">
        <f t="shared" si="0"/>
        <v>66.587999999999994</v>
      </c>
    </row>
    <row r="59" spans="1:7" x14ac:dyDescent="0.25">
      <c r="A59" s="1">
        <v>2022</v>
      </c>
      <c r="B59" s="1">
        <v>3</v>
      </c>
      <c r="C59" s="1">
        <v>26</v>
      </c>
      <c r="D59" s="1" t="s">
        <v>83</v>
      </c>
      <c r="E59" s="1" t="s">
        <v>66</v>
      </c>
      <c r="F59" s="1">
        <v>101891</v>
      </c>
      <c r="G59" s="10">
        <f t="shared" si="0"/>
        <v>101.89100000000001</v>
      </c>
    </row>
    <row r="60" spans="1:7" x14ac:dyDescent="0.25">
      <c r="A60" s="1">
        <v>2022</v>
      </c>
      <c r="B60" s="1">
        <v>3</v>
      </c>
      <c r="C60" s="1">
        <v>27</v>
      </c>
      <c r="D60" s="1" t="s">
        <v>83</v>
      </c>
      <c r="E60" s="1" t="s">
        <v>66</v>
      </c>
      <c r="F60" s="1">
        <v>82107</v>
      </c>
      <c r="G60" s="10">
        <f t="shared" si="0"/>
        <v>82.106999999999999</v>
      </c>
    </row>
    <row r="61" spans="1:7" x14ac:dyDescent="0.25">
      <c r="A61" s="1">
        <v>2022</v>
      </c>
      <c r="B61" s="1">
        <v>4</v>
      </c>
      <c r="C61" s="1">
        <v>1</v>
      </c>
      <c r="D61" s="1" t="s">
        <v>20</v>
      </c>
      <c r="E61" s="1" t="s">
        <v>66</v>
      </c>
      <c r="F61" s="1">
        <v>1634</v>
      </c>
      <c r="G61" s="10">
        <f t="shared" si="0"/>
        <v>1.6339999999999999</v>
      </c>
    </row>
    <row r="62" spans="1:7" x14ac:dyDescent="0.25">
      <c r="A62" s="1">
        <v>2022</v>
      </c>
      <c r="B62" s="1">
        <v>4</v>
      </c>
      <c r="C62" s="1">
        <v>1</v>
      </c>
      <c r="D62" s="1" t="s">
        <v>20</v>
      </c>
      <c r="E62" s="1" t="s">
        <v>66</v>
      </c>
      <c r="F62" s="1">
        <v>4904</v>
      </c>
      <c r="G62" s="10">
        <f t="shared" si="0"/>
        <v>4.9039999999999999</v>
      </c>
    </row>
    <row r="63" spans="1:7" x14ac:dyDescent="0.25">
      <c r="A63" s="1">
        <v>2022</v>
      </c>
      <c r="B63" s="1">
        <v>4</v>
      </c>
      <c r="C63" s="1">
        <v>3</v>
      </c>
      <c r="D63" s="1" t="s">
        <v>83</v>
      </c>
      <c r="E63" s="1" t="s">
        <v>66</v>
      </c>
      <c r="F63" s="1">
        <v>12378</v>
      </c>
      <c r="G63" s="10">
        <f t="shared" si="0"/>
        <v>12.378</v>
      </c>
    </row>
    <row r="64" spans="1:7" x14ac:dyDescent="0.25">
      <c r="A64" s="1">
        <v>2022</v>
      </c>
      <c r="B64" s="1">
        <v>4</v>
      </c>
      <c r="C64" s="1">
        <v>4</v>
      </c>
      <c r="D64" s="1" t="s">
        <v>83</v>
      </c>
      <c r="E64" s="1" t="s">
        <v>84</v>
      </c>
      <c r="F64" s="1">
        <v>2905</v>
      </c>
      <c r="G64" s="10">
        <f t="shared" si="0"/>
        <v>2.9049999999999998</v>
      </c>
    </row>
    <row r="65" spans="1:7" x14ac:dyDescent="0.25">
      <c r="A65" s="1">
        <v>2022</v>
      </c>
      <c r="B65" s="1">
        <v>4</v>
      </c>
      <c r="C65" s="1">
        <v>4</v>
      </c>
      <c r="D65" s="1" t="s">
        <v>83</v>
      </c>
      <c r="E65" s="1" t="s">
        <v>84</v>
      </c>
      <c r="F65" s="1">
        <v>3756</v>
      </c>
      <c r="G65" s="10">
        <f t="shared" si="0"/>
        <v>3.7559999999999998</v>
      </c>
    </row>
    <row r="66" spans="1:7" x14ac:dyDescent="0.25">
      <c r="A66" s="1">
        <v>2022</v>
      </c>
      <c r="B66" s="1">
        <v>4</v>
      </c>
      <c r="C66" s="1">
        <v>5</v>
      </c>
      <c r="D66" s="1" t="s">
        <v>83</v>
      </c>
      <c r="E66" s="1" t="s">
        <v>66</v>
      </c>
      <c r="F66" s="1">
        <v>98889</v>
      </c>
      <c r="G66" s="10">
        <f t="shared" si="0"/>
        <v>98.888999999999996</v>
      </c>
    </row>
    <row r="67" spans="1:7" x14ac:dyDescent="0.25">
      <c r="A67" s="1">
        <v>2022</v>
      </c>
      <c r="B67" s="1">
        <v>4</v>
      </c>
      <c r="C67" s="1">
        <v>6</v>
      </c>
      <c r="D67" s="1" t="s">
        <v>83</v>
      </c>
      <c r="E67" s="1" t="s">
        <v>66</v>
      </c>
      <c r="F67" s="1">
        <v>55653</v>
      </c>
      <c r="G67" s="10">
        <f t="shared" ref="G67:G130" si="1">F67/1000</f>
        <v>55.652999999999999</v>
      </c>
    </row>
    <row r="68" spans="1:7" x14ac:dyDescent="0.25">
      <c r="A68" s="1">
        <v>2022</v>
      </c>
      <c r="B68" s="1">
        <v>4</v>
      </c>
      <c r="C68" s="1">
        <v>9</v>
      </c>
      <c r="D68" s="1" t="s">
        <v>83</v>
      </c>
      <c r="E68" s="1" t="s">
        <v>66</v>
      </c>
      <c r="F68" s="1">
        <v>6568</v>
      </c>
      <c r="G68" s="10">
        <f t="shared" si="1"/>
        <v>6.5679999999999996</v>
      </c>
    </row>
    <row r="69" spans="1:7" x14ac:dyDescent="0.25">
      <c r="A69" s="1">
        <v>2022</v>
      </c>
      <c r="B69" s="1">
        <v>4</v>
      </c>
      <c r="C69" s="1">
        <v>11</v>
      </c>
      <c r="D69" s="1" t="s">
        <v>8</v>
      </c>
      <c r="E69" s="1" t="s">
        <v>84</v>
      </c>
      <c r="F69" s="1">
        <v>9006</v>
      </c>
      <c r="G69" s="10">
        <f t="shared" si="1"/>
        <v>9.0060000000000002</v>
      </c>
    </row>
    <row r="70" spans="1:7" x14ac:dyDescent="0.25">
      <c r="A70" s="1">
        <v>2022</v>
      </c>
      <c r="B70" s="1">
        <v>4</v>
      </c>
      <c r="C70" s="1">
        <v>11</v>
      </c>
      <c r="D70" s="1" t="s">
        <v>83</v>
      </c>
      <c r="E70" s="1" t="s">
        <v>66</v>
      </c>
      <c r="F70" s="1">
        <v>31316</v>
      </c>
      <c r="G70" s="10">
        <f t="shared" si="1"/>
        <v>31.315999999999999</v>
      </c>
    </row>
    <row r="71" spans="1:7" x14ac:dyDescent="0.25">
      <c r="A71" s="1">
        <v>2022</v>
      </c>
      <c r="B71" s="1">
        <v>4</v>
      </c>
      <c r="C71" s="1">
        <v>13</v>
      </c>
      <c r="D71" s="1" t="s">
        <v>83</v>
      </c>
      <c r="E71" s="1" t="s">
        <v>66</v>
      </c>
      <c r="F71" s="1">
        <v>4181</v>
      </c>
      <c r="G71" s="10">
        <f t="shared" si="1"/>
        <v>4.181</v>
      </c>
    </row>
    <row r="72" spans="1:7" x14ac:dyDescent="0.25">
      <c r="A72" s="1">
        <v>2022</v>
      </c>
      <c r="B72" s="1">
        <v>4</v>
      </c>
      <c r="C72" s="1">
        <v>17</v>
      </c>
      <c r="D72" s="1" t="s">
        <v>83</v>
      </c>
      <c r="E72" s="1" t="s">
        <v>66</v>
      </c>
      <c r="F72" s="1">
        <v>13582</v>
      </c>
      <c r="G72" s="10">
        <f t="shared" si="1"/>
        <v>13.582000000000001</v>
      </c>
    </row>
    <row r="73" spans="1:7" x14ac:dyDescent="0.25">
      <c r="A73" s="1">
        <v>2022</v>
      </c>
      <c r="B73" s="1">
        <v>4</v>
      </c>
      <c r="C73" s="1">
        <v>17</v>
      </c>
      <c r="D73" s="1" t="s">
        <v>83</v>
      </c>
      <c r="E73" s="1" t="s">
        <v>66</v>
      </c>
      <c r="F73" s="1">
        <v>51675</v>
      </c>
      <c r="G73" s="10">
        <f t="shared" si="1"/>
        <v>51.674999999999997</v>
      </c>
    </row>
    <row r="74" spans="1:7" x14ac:dyDescent="0.25">
      <c r="A74" s="1">
        <v>2022</v>
      </c>
      <c r="B74" s="1">
        <v>4</v>
      </c>
      <c r="C74" s="1">
        <v>19</v>
      </c>
      <c r="D74" s="1" t="s">
        <v>22</v>
      </c>
      <c r="E74" s="1" t="s">
        <v>66</v>
      </c>
      <c r="F74" s="1">
        <v>26362</v>
      </c>
      <c r="G74" s="10">
        <f t="shared" si="1"/>
        <v>26.361999999999998</v>
      </c>
    </row>
    <row r="75" spans="1:7" x14ac:dyDescent="0.25">
      <c r="A75" s="1">
        <v>2022</v>
      </c>
      <c r="B75" s="1">
        <v>4</v>
      </c>
      <c r="C75" s="1">
        <v>19</v>
      </c>
      <c r="D75" s="1" t="s">
        <v>22</v>
      </c>
      <c r="E75" s="1" t="s">
        <v>66</v>
      </c>
      <c r="F75" s="1">
        <v>23131</v>
      </c>
      <c r="G75" s="10">
        <f t="shared" si="1"/>
        <v>23.131</v>
      </c>
    </row>
    <row r="76" spans="1:7" x14ac:dyDescent="0.25">
      <c r="A76" s="1">
        <v>2022</v>
      </c>
      <c r="B76" s="1">
        <v>4</v>
      </c>
      <c r="C76" s="1">
        <v>19</v>
      </c>
      <c r="D76" s="1" t="s">
        <v>83</v>
      </c>
      <c r="E76" s="1" t="s">
        <v>66</v>
      </c>
      <c r="F76" s="1">
        <v>24957</v>
      </c>
      <c r="G76" s="10">
        <f t="shared" si="1"/>
        <v>24.957000000000001</v>
      </c>
    </row>
    <row r="77" spans="1:7" x14ac:dyDescent="0.25">
      <c r="A77" s="1">
        <v>2022</v>
      </c>
      <c r="B77" s="1">
        <v>4</v>
      </c>
      <c r="C77" s="1">
        <v>19</v>
      </c>
      <c r="D77" s="1" t="s">
        <v>83</v>
      </c>
      <c r="E77" s="1" t="s">
        <v>66</v>
      </c>
      <c r="F77" s="1">
        <v>24957</v>
      </c>
      <c r="G77" s="10">
        <f t="shared" si="1"/>
        <v>24.957000000000001</v>
      </c>
    </row>
    <row r="78" spans="1:7" x14ac:dyDescent="0.25">
      <c r="A78" s="1">
        <v>2022</v>
      </c>
      <c r="B78" s="1">
        <v>4</v>
      </c>
      <c r="C78" s="1">
        <v>19</v>
      </c>
      <c r="D78" s="1" t="s">
        <v>83</v>
      </c>
      <c r="E78" s="1" t="s">
        <v>66</v>
      </c>
      <c r="F78" s="1">
        <v>32563</v>
      </c>
      <c r="G78" s="10">
        <f t="shared" si="1"/>
        <v>32.563000000000002</v>
      </c>
    </row>
    <row r="79" spans="1:7" x14ac:dyDescent="0.25">
      <c r="A79" s="1">
        <v>2022</v>
      </c>
      <c r="B79" s="1">
        <v>4</v>
      </c>
      <c r="C79" s="1">
        <v>19</v>
      </c>
      <c r="D79" s="1" t="s">
        <v>83</v>
      </c>
      <c r="E79" s="1" t="s">
        <v>66</v>
      </c>
      <c r="F79" s="1">
        <v>24957</v>
      </c>
      <c r="G79" s="10">
        <f t="shared" si="1"/>
        <v>24.957000000000001</v>
      </c>
    </row>
    <row r="80" spans="1:7" x14ac:dyDescent="0.25">
      <c r="A80" s="1">
        <v>2022</v>
      </c>
      <c r="B80" s="1">
        <v>4</v>
      </c>
      <c r="C80" s="1">
        <v>23</v>
      </c>
      <c r="D80" s="1" t="s">
        <v>83</v>
      </c>
      <c r="E80" s="1" t="s">
        <v>66</v>
      </c>
      <c r="F80" s="1">
        <v>42790</v>
      </c>
      <c r="G80" s="10">
        <f t="shared" si="1"/>
        <v>42.79</v>
      </c>
    </row>
    <row r="81" spans="1:7" x14ac:dyDescent="0.25">
      <c r="A81" s="1">
        <v>2022</v>
      </c>
      <c r="B81" s="1">
        <v>4</v>
      </c>
      <c r="C81" s="1">
        <v>24</v>
      </c>
      <c r="D81" s="1" t="s">
        <v>24</v>
      </c>
      <c r="E81" s="1" t="s">
        <v>66</v>
      </c>
      <c r="F81" s="1">
        <v>31419</v>
      </c>
      <c r="G81" s="10">
        <f t="shared" si="1"/>
        <v>31.419</v>
      </c>
    </row>
    <row r="82" spans="1:7" x14ac:dyDescent="0.25">
      <c r="A82" s="1">
        <v>2022</v>
      </c>
      <c r="B82" s="1">
        <v>4</v>
      </c>
      <c r="C82" s="1">
        <v>24</v>
      </c>
      <c r="D82" s="1" t="s">
        <v>83</v>
      </c>
      <c r="E82" s="1" t="s">
        <v>66</v>
      </c>
      <c r="F82" s="1">
        <v>30322</v>
      </c>
      <c r="G82" s="10">
        <f t="shared" si="1"/>
        <v>30.321999999999999</v>
      </c>
    </row>
    <row r="83" spans="1:7" x14ac:dyDescent="0.25">
      <c r="A83" s="1">
        <v>2022</v>
      </c>
      <c r="B83" s="1">
        <v>4</v>
      </c>
      <c r="C83" s="1">
        <v>25</v>
      </c>
      <c r="D83" s="1" t="s">
        <v>8</v>
      </c>
      <c r="E83" s="1" t="s">
        <v>66</v>
      </c>
      <c r="F83" s="1">
        <v>5258</v>
      </c>
      <c r="G83" s="10">
        <f t="shared" si="1"/>
        <v>5.258</v>
      </c>
    </row>
    <row r="84" spans="1:7" x14ac:dyDescent="0.25">
      <c r="A84" s="1">
        <v>2022</v>
      </c>
      <c r="B84" s="1">
        <v>4</v>
      </c>
      <c r="C84" s="1">
        <v>25</v>
      </c>
      <c r="D84" s="1" t="s">
        <v>83</v>
      </c>
      <c r="E84" s="1" t="s">
        <v>66</v>
      </c>
      <c r="F84" s="1">
        <v>54176</v>
      </c>
      <c r="G84" s="10">
        <f t="shared" si="1"/>
        <v>54.176000000000002</v>
      </c>
    </row>
    <row r="85" spans="1:7" x14ac:dyDescent="0.25">
      <c r="A85" s="1">
        <v>2022</v>
      </c>
      <c r="B85" s="1">
        <v>4</v>
      </c>
      <c r="C85" s="1">
        <v>27</v>
      </c>
      <c r="D85" s="1" t="s">
        <v>12</v>
      </c>
      <c r="E85" s="1" t="s">
        <v>84</v>
      </c>
      <c r="F85" s="1">
        <v>16715</v>
      </c>
      <c r="G85" s="10">
        <f t="shared" si="1"/>
        <v>16.715</v>
      </c>
    </row>
    <row r="86" spans="1:7" x14ac:dyDescent="0.25">
      <c r="A86" s="1">
        <v>2022</v>
      </c>
      <c r="B86" s="1">
        <v>4</v>
      </c>
      <c r="C86" s="1">
        <v>30</v>
      </c>
      <c r="D86" s="1" t="s">
        <v>33</v>
      </c>
      <c r="E86" s="1" t="s">
        <v>66</v>
      </c>
      <c r="F86" s="1">
        <v>34794</v>
      </c>
      <c r="G86" s="10">
        <f t="shared" si="1"/>
        <v>34.793999999999997</v>
      </c>
    </row>
    <row r="87" spans="1:7" x14ac:dyDescent="0.25">
      <c r="A87" s="1">
        <v>2022</v>
      </c>
      <c r="B87" s="1">
        <v>4</v>
      </c>
      <c r="C87" s="1">
        <v>30</v>
      </c>
      <c r="D87" s="1" t="s">
        <v>83</v>
      </c>
      <c r="E87" s="1" t="s">
        <v>66</v>
      </c>
      <c r="F87" s="1">
        <v>25940</v>
      </c>
      <c r="G87" s="10">
        <f t="shared" si="1"/>
        <v>25.94</v>
      </c>
    </row>
    <row r="88" spans="1:7" x14ac:dyDescent="0.25">
      <c r="A88" s="1">
        <v>2022</v>
      </c>
      <c r="B88" s="1">
        <v>5</v>
      </c>
      <c r="C88" s="1">
        <v>1</v>
      </c>
      <c r="D88" s="1" t="s">
        <v>28</v>
      </c>
      <c r="E88" s="1" t="s">
        <v>66</v>
      </c>
      <c r="F88" s="1">
        <v>6750</v>
      </c>
      <c r="G88" s="10">
        <f t="shared" si="1"/>
        <v>6.75</v>
      </c>
    </row>
    <row r="89" spans="1:7" x14ac:dyDescent="0.25">
      <c r="A89" s="1">
        <v>2022</v>
      </c>
      <c r="B89" s="1">
        <v>5</v>
      </c>
      <c r="C89" s="1">
        <v>1</v>
      </c>
      <c r="D89" s="1" t="s">
        <v>83</v>
      </c>
      <c r="E89" s="1" t="s">
        <v>66</v>
      </c>
      <c r="F89" s="1">
        <v>10827</v>
      </c>
      <c r="G89" s="10">
        <f t="shared" si="1"/>
        <v>10.827</v>
      </c>
    </row>
    <row r="90" spans="1:7" x14ac:dyDescent="0.25">
      <c r="A90" s="1">
        <v>2022</v>
      </c>
      <c r="B90" s="1">
        <v>5</v>
      </c>
      <c r="C90" s="1">
        <v>1</v>
      </c>
      <c r="D90" s="1" t="s">
        <v>83</v>
      </c>
      <c r="E90" s="1" t="s">
        <v>66</v>
      </c>
      <c r="F90" s="1">
        <v>31657</v>
      </c>
      <c r="G90" s="10">
        <f t="shared" si="1"/>
        <v>31.657</v>
      </c>
    </row>
    <row r="91" spans="1:7" x14ac:dyDescent="0.25">
      <c r="A91" s="1">
        <v>2022</v>
      </c>
      <c r="B91" s="1">
        <v>5</v>
      </c>
      <c r="C91" s="1">
        <v>1</v>
      </c>
      <c r="D91" s="1" t="s">
        <v>10</v>
      </c>
      <c r="E91" s="1" t="s">
        <v>84</v>
      </c>
      <c r="F91" s="1">
        <v>7675</v>
      </c>
      <c r="G91" s="10">
        <f t="shared" si="1"/>
        <v>7.6749999999999998</v>
      </c>
    </row>
    <row r="92" spans="1:7" x14ac:dyDescent="0.25">
      <c r="A92" s="1">
        <v>2022</v>
      </c>
      <c r="B92" s="1">
        <v>5</v>
      </c>
      <c r="C92" s="1">
        <v>3</v>
      </c>
      <c r="D92" s="1" t="s">
        <v>83</v>
      </c>
      <c r="E92" s="1" t="s">
        <v>66</v>
      </c>
      <c r="F92" s="1">
        <v>19219</v>
      </c>
      <c r="G92" s="10">
        <f t="shared" si="1"/>
        <v>19.219000000000001</v>
      </c>
    </row>
    <row r="93" spans="1:7" x14ac:dyDescent="0.25">
      <c r="A93" s="1">
        <v>2022</v>
      </c>
      <c r="B93" s="1">
        <v>5</v>
      </c>
      <c r="C93" s="1">
        <v>4</v>
      </c>
      <c r="D93" s="1" t="s">
        <v>20</v>
      </c>
      <c r="E93" s="1" t="s">
        <v>66</v>
      </c>
      <c r="F93" s="1">
        <v>9831</v>
      </c>
      <c r="G93" s="10">
        <f t="shared" si="1"/>
        <v>9.8309999999999995</v>
      </c>
    </row>
    <row r="94" spans="1:7" x14ac:dyDescent="0.25">
      <c r="A94" s="1">
        <v>2022</v>
      </c>
      <c r="B94" s="1">
        <v>5</v>
      </c>
      <c r="C94" s="1">
        <v>4</v>
      </c>
      <c r="D94" s="1" t="s">
        <v>83</v>
      </c>
      <c r="E94" s="1" t="s">
        <v>66</v>
      </c>
      <c r="F94" s="1">
        <v>48850</v>
      </c>
      <c r="G94" s="10">
        <f t="shared" si="1"/>
        <v>48.85</v>
      </c>
    </row>
    <row r="95" spans="1:7" x14ac:dyDescent="0.25">
      <c r="A95" s="1">
        <v>2022</v>
      </c>
      <c r="B95" s="1">
        <v>5</v>
      </c>
      <c r="C95" s="1">
        <v>4</v>
      </c>
      <c r="D95" s="1" t="s">
        <v>83</v>
      </c>
      <c r="E95" s="1" t="s">
        <v>66</v>
      </c>
      <c r="F95" s="1">
        <v>51212</v>
      </c>
      <c r="G95" s="10">
        <f t="shared" si="1"/>
        <v>51.212000000000003</v>
      </c>
    </row>
    <row r="96" spans="1:7" x14ac:dyDescent="0.25">
      <c r="A96" s="1">
        <v>2022</v>
      </c>
      <c r="B96" s="1">
        <v>5</v>
      </c>
      <c r="C96" s="1">
        <v>11</v>
      </c>
      <c r="D96" s="1" t="s">
        <v>83</v>
      </c>
      <c r="E96" s="1" t="s">
        <v>66</v>
      </c>
      <c r="F96" s="1">
        <v>31633</v>
      </c>
      <c r="G96" s="10">
        <f t="shared" si="1"/>
        <v>31.632999999999999</v>
      </c>
    </row>
    <row r="97" spans="1:7" x14ac:dyDescent="0.25">
      <c r="A97" s="1">
        <v>2022</v>
      </c>
      <c r="B97" s="1">
        <v>5</v>
      </c>
      <c r="C97" s="1">
        <v>12</v>
      </c>
      <c r="D97" s="1" t="s">
        <v>20</v>
      </c>
      <c r="E97" s="1" t="s">
        <v>66</v>
      </c>
      <c r="F97" s="1">
        <v>10355</v>
      </c>
      <c r="G97" s="10">
        <f t="shared" si="1"/>
        <v>10.355</v>
      </c>
    </row>
    <row r="98" spans="1:7" x14ac:dyDescent="0.25">
      <c r="A98" s="1">
        <v>2022</v>
      </c>
      <c r="B98" s="1">
        <v>5</v>
      </c>
      <c r="C98" s="1">
        <v>12</v>
      </c>
      <c r="D98" s="1" t="s">
        <v>20</v>
      </c>
      <c r="E98" s="1" t="s">
        <v>66</v>
      </c>
      <c r="F98" s="1">
        <v>2179</v>
      </c>
      <c r="G98" s="10">
        <f t="shared" si="1"/>
        <v>2.1789999999999998</v>
      </c>
    </row>
    <row r="99" spans="1:7" x14ac:dyDescent="0.25">
      <c r="A99" s="1">
        <v>2022</v>
      </c>
      <c r="B99" s="1">
        <v>5</v>
      </c>
      <c r="C99" s="1">
        <v>17</v>
      </c>
      <c r="D99" s="1" t="s">
        <v>83</v>
      </c>
      <c r="E99" s="1" t="s">
        <v>66</v>
      </c>
      <c r="F99" s="1">
        <v>30419</v>
      </c>
      <c r="G99" s="10">
        <f t="shared" si="1"/>
        <v>30.419</v>
      </c>
    </row>
    <row r="100" spans="1:7" x14ac:dyDescent="0.25">
      <c r="A100" s="1">
        <v>2022</v>
      </c>
      <c r="B100" s="1">
        <v>5</v>
      </c>
      <c r="C100" s="1">
        <v>19</v>
      </c>
      <c r="D100" s="1" t="s">
        <v>83</v>
      </c>
      <c r="E100" s="1" t="s">
        <v>66</v>
      </c>
      <c r="F100" s="1">
        <v>19987</v>
      </c>
      <c r="G100" s="10">
        <f t="shared" si="1"/>
        <v>19.986999999999998</v>
      </c>
    </row>
    <row r="101" spans="1:7" x14ac:dyDescent="0.25">
      <c r="A101" s="1">
        <v>2022</v>
      </c>
      <c r="B101" s="1">
        <v>5</v>
      </c>
      <c r="C101" s="1">
        <v>19</v>
      </c>
      <c r="D101" s="1" t="s">
        <v>83</v>
      </c>
      <c r="E101" s="1" t="s">
        <v>66</v>
      </c>
      <c r="F101" s="1">
        <v>103419</v>
      </c>
      <c r="G101" s="10">
        <f t="shared" si="1"/>
        <v>103.419</v>
      </c>
    </row>
    <row r="102" spans="1:7" x14ac:dyDescent="0.25">
      <c r="A102" s="1">
        <v>2022</v>
      </c>
      <c r="B102" s="1">
        <v>5</v>
      </c>
      <c r="C102" s="1">
        <v>19</v>
      </c>
      <c r="D102" s="1" t="s">
        <v>83</v>
      </c>
      <c r="E102" s="1" t="s">
        <v>66</v>
      </c>
      <c r="F102" s="1">
        <v>98022</v>
      </c>
      <c r="G102" s="10">
        <f t="shared" si="1"/>
        <v>98.022000000000006</v>
      </c>
    </row>
    <row r="103" spans="1:7" x14ac:dyDescent="0.25">
      <c r="A103" s="1">
        <v>2022</v>
      </c>
      <c r="B103" s="1">
        <v>5</v>
      </c>
      <c r="C103" s="1">
        <v>20</v>
      </c>
      <c r="D103" s="1" t="s">
        <v>5</v>
      </c>
      <c r="E103" s="1" t="s">
        <v>66</v>
      </c>
      <c r="F103" s="1">
        <v>20092</v>
      </c>
      <c r="G103" s="10">
        <f t="shared" si="1"/>
        <v>20.091999999999999</v>
      </c>
    </row>
    <row r="104" spans="1:7" x14ac:dyDescent="0.25">
      <c r="A104" s="1">
        <v>2022</v>
      </c>
      <c r="B104" s="1">
        <v>5</v>
      </c>
      <c r="C104" s="1">
        <v>21</v>
      </c>
      <c r="D104" s="1" t="s">
        <v>31</v>
      </c>
      <c r="E104" s="1" t="s">
        <v>66</v>
      </c>
      <c r="F104" s="1">
        <v>62586</v>
      </c>
      <c r="G104" s="10">
        <f t="shared" si="1"/>
        <v>62.585999999999999</v>
      </c>
    </row>
    <row r="105" spans="1:7" x14ac:dyDescent="0.25">
      <c r="A105" s="1">
        <v>2022</v>
      </c>
      <c r="B105" s="1">
        <v>5</v>
      </c>
      <c r="C105" s="1">
        <v>24</v>
      </c>
      <c r="D105" s="1" t="s">
        <v>33</v>
      </c>
      <c r="E105" s="1" t="s">
        <v>66</v>
      </c>
      <c r="F105" s="1">
        <v>8056</v>
      </c>
      <c r="G105" s="10">
        <f t="shared" si="1"/>
        <v>8.0559999999999992</v>
      </c>
    </row>
    <row r="106" spans="1:7" x14ac:dyDescent="0.25">
      <c r="A106" s="1">
        <v>2022</v>
      </c>
      <c r="B106" s="1">
        <v>5</v>
      </c>
      <c r="C106" s="1">
        <v>24</v>
      </c>
      <c r="D106" s="1" t="s">
        <v>33</v>
      </c>
      <c r="E106" s="1" t="s">
        <v>66</v>
      </c>
      <c r="F106" s="1">
        <v>8056</v>
      </c>
      <c r="G106" s="10">
        <f t="shared" si="1"/>
        <v>8.0559999999999992</v>
      </c>
    </row>
    <row r="107" spans="1:7" x14ac:dyDescent="0.25">
      <c r="A107" s="1">
        <v>2022</v>
      </c>
      <c r="B107" s="1">
        <v>5</v>
      </c>
      <c r="C107" s="1">
        <v>26</v>
      </c>
      <c r="D107" s="1" t="s">
        <v>83</v>
      </c>
      <c r="E107" s="1" t="s">
        <v>66</v>
      </c>
      <c r="F107" s="1">
        <v>31314</v>
      </c>
      <c r="G107" s="10">
        <f t="shared" si="1"/>
        <v>31.314</v>
      </c>
    </row>
    <row r="108" spans="1:7" x14ac:dyDescent="0.25">
      <c r="A108" s="1">
        <v>2022</v>
      </c>
      <c r="B108" s="1">
        <v>5</v>
      </c>
      <c r="C108" s="1">
        <v>27</v>
      </c>
      <c r="D108" s="1" t="s">
        <v>28</v>
      </c>
      <c r="E108" s="1" t="s">
        <v>66</v>
      </c>
      <c r="F108" s="1">
        <v>32895</v>
      </c>
      <c r="G108" s="10">
        <f t="shared" si="1"/>
        <v>32.895000000000003</v>
      </c>
    </row>
    <row r="109" spans="1:7" x14ac:dyDescent="0.25">
      <c r="A109" s="1">
        <v>2022</v>
      </c>
      <c r="B109" s="1">
        <v>5</v>
      </c>
      <c r="C109" s="1">
        <v>29</v>
      </c>
      <c r="D109" s="1" t="s">
        <v>33</v>
      </c>
      <c r="E109" s="1" t="s">
        <v>66</v>
      </c>
      <c r="F109" s="1">
        <v>10528</v>
      </c>
      <c r="G109" s="10">
        <f t="shared" si="1"/>
        <v>10.528</v>
      </c>
    </row>
    <row r="110" spans="1:7" x14ac:dyDescent="0.25">
      <c r="A110" s="1">
        <v>2022</v>
      </c>
      <c r="B110" s="1">
        <v>5</v>
      </c>
      <c r="C110" s="1">
        <v>29</v>
      </c>
      <c r="D110" s="1" t="s">
        <v>33</v>
      </c>
      <c r="E110" s="1" t="s">
        <v>66</v>
      </c>
      <c r="F110" s="1">
        <v>7438</v>
      </c>
      <c r="G110" s="10">
        <f t="shared" si="1"/>
        <v>7.4379999999999997</v>
      </c>
    </row>
    <row r="111" spans="1:7" x14ac:dyDescent="0.25">
      <c r="A111" s="1">
        <v>2022</v>
      </c>
      <c r="B111" s="1">
        <v>5</v>
      </c>
      <c r="C111" s="1">
        <v>30</v>
      </c>
      <c r="D111" s="1" t="s">
        <v>83</v>
      </c>
      <c r="E111" s="1" t="s">
        <v>66</v>
      </c>
      <c r="F111" s="1">
        <v>129163</v>
      </c>
      <c r="G111" s="10">
        <f t="shared" si="1"/>
        <v>129.16300000000001</v>
      </c>
    </row>
    <row r="112" spans="1:7" x14ac:dyDescent="0.25">
      <c r="A112" s="1">
        <v>2022</v>
      </c>
      <c r="B112" s="1">
        <v>6</v>
      </c>
      <c r="C112" s="1">
        <v>4</v>
      </c>
      <c r="D112" s="1" t="s">
        <v>50</v>
      </c>
      <c r="E112" s="1" t="s">
        <v>84</v>
      </c>
      <c r="F112" s="1">
        <v>30407</v>
      </c>
      <c r="G112" s="10">
        <f t="shared" si="1"/>
        <v>30.407</v>
      </c>
    </row>
    <row r="113" spans="1:7" x14ac:dyDescent="0.25">
      <c r="A113" s="1">
        <v>2022</v>
      </c>
      <c r="B113" s="1">
        <v>6</v>
      </c>
      <c r="C113" s="1">
        <v>4</v>
      </c>
      <c r="D113" s="1" t="s">
        <v>12</v>
      </c>
      <c r="E113" s="1" t="s">
        <v>84</v>
      </c>
      <c r="F113" s="1">
        <v>18991</v>
      </c>
      <c r="G113" s="10">
        <f t="shared" si="1"/>
        <v>18.991</v>
      </c>
    </row>
    <row r="114" spans="1:7" x14ac:dyDescent="0.25">
      <c r="A114" s="1">
        <v>2022</v>
      </c>
      <c r="B114" s="1">
        <v>6</v>
      </c>
      <c r="C114" s="1">
        <v>4</v>
      </c>
      <c r="D114" s="1" t="s">
        <v>83</v>
      </c>
      <c r="E114" s="1" t="s">
        <v>66</v>
      </c>
      <c r="F114" s="1">
        <v>15984</v>
      </c>
      <c r="G114" s="10">
        <f t="shared" si="1"/>
        <v>15.984</v>
      </c>
    </row>
    <row r="115" spans="1:7" x14ac:dyDescent="0.25">
      <c r="A115" s="1">
        <v>2022</v>
      </c>
      <c r="B115" s="1">
        <v>6</v>
      </c>
      <c r="C115" s="1">
        <v>4</v>
      </c>
      <c r="D115" s="1" t="s">
        <v>83</v>
      </c>
      <c r="E115" s="1" t="s">
        <v>66</v>
      </c>
      <c r="F115" s="1">
        <v>75947</v>
      </c>
      <c r="G115" s="10">
        <f t="shared" si="1"/>
        <v>75.947000000000003</v>
      </c>
    </row>
    <row r="116" spans="1:7" x14ac:dyDescent="0.25">
      <c r="A116" s="1">
        <v>2022</v>
      </c>
      <c r="B116" s="1">
        <v>6</v>
      </c>
      <c r="C116" s="1">
        <v>7</v>
      </c>
      <c r="D116" s="1" t="s">
        <v>12</v>
      </c>
      <c r="E116" s="1" t="s">
        <v>84</v>
      </c>
      <c r="F116" s="1">
        <v>18991</v>
      </c>
      <c r="G116" s="10">
        <f t="shared" si="1"/>
        <v>18.991</v>
      </c>
    </row>
    <row r="117" spans="1:7" x14ac:dyDescent="0.25">
      <c r="A117" s="1">
        <v>2022</v>
      </c>
      <c r="B117" s="1">
        <v>6</v>
      </c>
      <c r="C117" s="1">
        <v>9</v>
      </c>
      <c r="D117" s="1" t="s">
        <v>5</v>
      </c>
      <c r="E117" s="1" t="s">
        <v>66</v>
      </c>
      <c r="F117" s="1">
        <v>30553</v>
      </c>
      <c r="G117" s="10">
        <f t="shared" si="1"/>
        <v>30.553000000000001</v>
      </c>
    </row>
    <row r="118" spans="1:7" x14ac:dyDescent="0.25">
      <c r="A118" s="1">
        <v>2022</v>
      </c>
      <c r="B118" s="1">
        <v>6</v>
      </c>
      <c r="C118" s="1">
        <v>10</v>
      </c>
      <c r="D118" s="1" t="s">
        <v>83</v>
      </c>
      <c r="E118" s="1" t="s">
        <v>66</v>
      </c>
      <c r="F118" s="1">
        <v>48366</v>
      </c>
      <c r="G118" s="10">
        <f t="shared" si="1"/>
        <v>48.366</v>
      </c>
    </row>
    <row r="119" spans="1:7" x14ac:dyDescent="0.25">
      <c r="A119" s="1">
        <v>2022</v>
      </c>
      <c r="B119" s="1">
        <v>6</v>
      </c>
      <c r="C119" s="1">
        <v>13</v>
      </c>
      <c r="D119" s="1" t="s">
        <v>83</v>
      </c>
      <c r="E119" s="1" t="s">
        <v>66</v>
      </c>
      <c r="F119" s="1">
        <v>31023</v>
      </c>
      <c r="G119" s="10">
        <f t="shared" si="1"/>
        <v>31.023</v>
      </c>
    </row>
    <row r="120" spans="1:7" x14ac:dyDescent="0.25">
      <c r="A120" s="1">
        <v>2022</v>
      </c>
      <c r="B120" s="1">
        <v>6</v>
      </c>
      <c r="C120" s="1">
        <v>17</v>
      </c>
      <c r="D120" s="1" t="s">
        <v>12</v>
      </c>
      <c r="E120" s="1" t="s">
        <v>84</v>
      </c>
      <c r="F120" s="1">
        <v>18227</v>
      </c>
      <c r="G120" s="10">
        <f t="shared" si="1"/>
        <v>18.227</v>
      </c>
    </row>
    <row r="121" spans="1:7" x14ac:dyDescent="0.25">
      <c r="A121" s="1">
        <v>2022</v>
      </c>
      <c r="B121" s="1">
        <v>6</v>
      </c>
      <c r="C121" s="1">
        <v>22</v>
      </c>
      <c r="D121" s="1" t="s">
        <v>83</v>
      </c>
      <c r="E121" s="1" t="s">
        <v>66</v>
      </c>
      <c r="F121" s="1">
        <v>30988</v>
      </c>
      <c r="G121" s="10">
        <f t="shared" si="1"/>
        <v>30.988</v>
      </c>
    </row>
    <row r="122" spans="1:7" x14ac:dyDescent="0.25">
      <c r="A122" s="1">
        <v>2022</v>
      </c>
      <c r="B122" s="1">
        <v>6</v>
      </c>
      <c r="C122" s="1">
        <v>23</v>
      </c>
      <c r="D122" s="1" t="s">
        <v>85</v>
      </c>
      <c r="E122" s="1" t="s">
        <v>66</v>
      </c>
      <c r="F122" s="1">
        <v>13641</v>
      </c>
      <c r="G122" s="10">
        <f t="shared" si="1"/>
        <v>13.641</v>
      </c>
    </row>
    <row r="123" spans="1:7" x14ac:dyDescent="0.25">
      <c r="A123" s="1">
        <v>2022</v>
      </c>
      <c r="B123" s="1">
        <v>6</v>
      </c>
      <c r="C123" s="1">
        <v>23</v>
      </c>
      <c r="D123" s="1" t="s">
        <v>85</v>
      </c>
      <c r="E123" s="1" t="s">
        <v>66</v>
      </c>
      <c r="F123" s="1">
        <v>7607</v>
      </c>
      <c r="G123" s="10">
        <f t="shared" si="1"/>
        <v>7.6070000000000002</v>
      </c>
    </row>
    <row r="124" spans="1:7" x14ac:dyDescent="0.25">
      <c r="A124" s="1">
        <v>2022</v>
      </c>
      <c r="B124" s="1">
        <v>6</v>
      </c>
      <c r="C124" s="1">
        <v>26</v>
      </c>
      <c r="D124" s="1" t="s">
        <v>12</v>
      </c>
      <c r="E124" s="1" t="s">
        <v>66</v>
      </c>
      <c r="F124" s="1">
        <v>18998</v>
      </c>
      <c r="G124" s="10">
        <f t="shared" si="1"/>
        <v>18.998000000000001</v>
      </c>
    </row>
    <row r="125" spans="1:7" x14ac:dyDescent="0.25">
      <c r="A125" s="1">
        <v>2022</v>
      </c>
      <c r="B125" s="1">
        <v>6</v>
      </c>
      <c r="C125" s="1">
        <v>29</v>
      </c>
      <c r="D125" s="1" t="s">
        <v>83</v>
      </c>
      <c r="E125" s="1" t="s">
        <v>66</v>
      </c>
      <c r="F125" s="1">
        <v>84118</v>
      </c>
      <c r="G125" s="10">
        <f t="shared" si="1"/>
        <v>84.117999999999995</v>
      </c>
    </row>
    <row r="126" spans="1:7" x14ac:dyDescent="0.25">
      <c r="A126" s="1">
        <v>2022</v>
      </c>
      <c r="B126" s="1">
        <v>7</v>
      </c>
      <c r="C126" s="1">
        <v>1</v>
      </c>
      <c r="D126" s="1" t="s">
        <v>83</v>
      </c>
      <c r="E126" s="1" t="s">
        <v>66</v>
      </c>
      <c r="F126" s="1">
        <v>70098</v>
      </c>
      <c r="G126" s="10">
        <f t="shared" si="1"/>
        <v>70.097999999999999</v>
      </c>
    </row>
    <row r="127" spans="1:7" x14ac:dyDescent="0.25">
      <c r="A127" s="1">
        <v>2022</v>
      </c>
      <c r="B127" s="1">
        <v>7</v>
      </c>
      <c r="C127" s="1">
        <v>5</v>
      </c>
      <c r="D127" s="1" t="s">
        <v>33</v>
      </c>
      <c r="E127" s="1" t="s">
        <v>66</v>
      </c>
      <c r="F127" s="1">
        <v>19529</v>
      </c>
      <c r="G127" s="10">
        <f t="shared" si="1"/>
        <v>19.529</v>
      </c>
    </row>
    <row r="128" spans="1:7" x14ac:dyDescent="0.25">
      <c r="A128" s="1">
        <v>2022</v>
      </c>
      <c r="B128" s="1">
        <v>7</v>
      </c>
      <c r="C128" s="1">
        <v>5</v>
      </c>
      <c r="D128" s="1" t="s">
        <v>20</v>
      </c>
      <c r="E128" s="1" t="s">
        <v>66</v>
      </c>
      <c r="F128" s="1">
        <v>33631</v>
      </c>
      <c r="G128" s="10">
        <f t="shared" si="1"/>
        <v>33.631</v>
      </c>
    </row>
    <row r="129" spans="1:7" x14ac:dyDescent="0.25">
      <c r="A129" s="1">
        <v>2022</v>
      </c>
      <c r="B129" s="1">
        <v>7</v>
      </c>
      <c r="C129" s="1">
        <v>6</v>
      </c>
      <c r="D129" s="1" t="s">
        <v>54</v>
      </c>
      <c r="E129" s="1" t="s">
        <v>66</v>
      </c>
      <c r="F129" s="1">
        <v>53917</v>
      </c>
      <c r="G129" s="10">
        <f t="shared" si="1"/>
        <v>53.917000000000002</v>
      </c>
    </row>
    <row r="130" spans="1:7" x14ac:dyDescent="0.25">
      <c r="A130" s="1">
        <v>2022</v>
      </c>
      <c r="B130" s="1">
        <v>7</v>
      </c>
      <c r="C130" s="1">
        <v>6</v>
      </c>
      <c r="D130" s="1" t="s">
        <v>85</v>
      </c>
      <c r="E130" s="1" t="s">
        <v>66</v>
      </c>
      <c r="F130" s="1">
        <v>33124</v>
      </c>
      <c r="G130" s="10">
        <f t="shared" si="1"/>
        <v>33.124000000000002</v>
      </c>
    </row>
    <row r="131" spans="1:7" x14ac:dyDescent="0.25">
      <c r="A131" s="1">
        <v>2022</v>
      </c>
      <c r="B131" s="1">
        <v>7</v>
      </c>
      <c r="C131" s="1">
        <v>8</v>
      </c>
      <c r="D131" s="1" t="s">
        <v>20</v>
      </c>
      <c r="E131" s="1" t="s">
        <v>66</v>
      </c>
      <c r="F131" s="1">
        <v>2071</v>
      </c>
      <c r="G131" s="10">
        <f t="shared" ref="G131:G194" si="2">F131/1000</f>
        <v>2.0710000000000002</v>
      </c>
    </row>
    <row r="132" spans="1:7" x14ac:dyDescent="0.25">
      <c r="A132" s="1">
        <v>2022</v>
      </c>
      <c r="B132" s="1">
        <v>7</v>
      </c>
      <c r="C132" s="1">
        <v>10</v>
      </c>
      <c r="D132" s="1" t="s">
        <v>83</v>
      </c>
      <c r="E132" s="1" t="s">
        <v>66</v>
      </c>
      <c r="F132" s="1">
        <v>107515</v>
      </c>
      <c r="G132" s="10">
        <f t="shared" si="2"/>
        <v>107.515</v>
      </c>
    </row>
    <row r="133" spans="1:7" x14ac:dyDescent="0.25">
      <c r="A133" s="1">
        <v>2022</v>
      </c>
      <c r="B133" s="1">
        <v>7</v>
      </c>
      <c r="C133" s="1">
        <v>11</v>
      </c>
      <c r="D133" s="1" t="s">
        <v>54</v>
      </c>
      <c r="E133" s="1" t="s">
        <v>66</v>
      </c>
      <c r="F133" s="1">
        <v>42319</v>
      </c>
      <c r="G133" s="10">
        <f t="shared" si="2"/>
        <v>42.319000000000003</v>
      </c>
    </row>
    <row r="134" spans="1:7" x14ac:dyDescent="0.25">
      <c r="A134" s="1">
        <v>2022</v>
      </c>
      <c r="B134" s="1">
        <v>7</v>
      </c>
      <c r="C134" s="1">
        <v>11</v>
      </c>
      <c r="D134" s="1" t="s">
        <v>83</v>
      </c>
      <c r="E134" s="1" t="s">
        <v>84</v>
      </c>
      <c r="F134" s="1">
        <v>17614</v>
      </c>
      <c r="G134" s="10">
        <f t="shared" si="2"/>
        <v>17.614000000000001</v>
      </c>
    </row>
    <row r="135" spans="1:7" x14ac:dyDescent="0.25">
      <c r="A135" s="1">
        <v>2022</v>
      </c>
      <c r="B135" s="1">
        <v>7</v>
      </c>
      <c r="C135" s="1">
        <v>11</v>
      </c>
      <c r="D135" s="1" t="s">
        <v>83</v>
      </c>
      <c r="E135" s="1" t="s">
        <v>66</v>
      </c>
      <c r="F135" s="1">
        <v>29216</v>
      </c>
      <c r="G135" s="10">
        <f t="shared" si="2"/>
        <v>29.216000000000001</v>
      </c>
    </row>
    <row r="136" spans="1:7" x14ac:dyDescent="0.25">
      <c r="A136" s="1">
        <v>2022</v>
      </c>
      <c r="B136" s="1">
        <v>7</v>
      </c>
      <c r="C136" s="1">
        <v>12</v>
      </c>
      <c r="D136" s="1" t="s">
        <v>12</v>
      </c>
      <c r="E136" s="1" t="s">
        <v>66</v>
      </c>
      <c r="F136" s="1">
        <v>18849</v>
      </c>
      <c r="G136" s="10">
        <f t="shared" si="2"/>
        <v>18.849</v>
      </c>
    </row>
    <row r="137" spans="1:7" x14ac:dyDescent="0.25">
      <c r="A137" s="1">
        <v>2022</v>
      </c>
      <c r="B137" s="1">
        <v>7</v>
      </c>
      <c r="C137" s="1">
        <v>13</v>
      </c>
      <c r="D137" s="1" t="s">
        <v>28</v>
      </c>
      <c r="E137" s="1" t="s">
        <v>84</v>
      </c>
      <c r="F137" s="1">
        <v>3685</v>
      </c>
      <c r="G137" s="10">
        <f t="shared" si="2"/>
        <v>3.6850000000000001</v>
      </c>
    </row>
    <row r="138" spans="1:7" x14ac:dyDescent="0.25">
      <c r="A138" s="1">
        <v>2022</v>
      </c>
      <c r="B138" s="1">
        <v>7</v>
      </c>
      <c r="C138" s="1">
        <v>13</v>
      </c>
      <c r="D138" s="1" t="s">
        <v>14</v>
      </c>
      <c r="E138" s="1" t="s">
        <v>84</v>
      </c>
      <c r="F138" s="1">
        <v>5895</v>
      </c>
      <c r="G138" s="10">
        <f t="shared" si="2"/>
        <v>5.8949999999999996</v>
      </c>
    </row>
    <row r="139" spans="1:7" x14ac:dyDescent="0.25">
      <c r="A139" s="1">
        <v>2022</v>
      </c>
      <c r="B139" s="1">
        <v>7</v>
      </c>
      <c r="C139" s="1">
        <v>14</v>
      </c>
      <c r="D139" s="1" t="s">
        <v>5</v>
      </c>
      <c r="E139" s="1" t="s">
        <v>84</v>
      </c>
      <c r="F139" s="1">
        <v>37530</v>
      </c>
      <c r="G139" s="10">
        <f t="shared" si="2"/>
        <v>37.53</v>
      </c>
    </row>
    <row r="140" spans="1:7" x14ac:dyDescent="0.25">
      <c r="A140" s="1">
        <v>2022</v>
      </c>
      <c r="B140" s="1">
        <v>7</v>
      </c>
      <c r="C140" s="1">
        <v>15</v>
      </c>
      <c r="D140" s="1" t="s">
        <v>83</v>
      </c>
      <c r="E140" s="1" t="s">
        <v>66</v>
      </c>
      <c r="F140" s="1">
        <v>19770</v>
      </c>
      <c r="G140" s="10">
        <f t="shared" si="2"/>
        <v>19.77</v>
      </c>
    </row>
    <row r="141" spans="1:7" x14ac:dyDescent="0.25">
      <c r="A141" s="1">
        <v>2022</v>
      </c>
      <c r="B141" s="1">
        <v>7</v>
      </c>
      <c r="C141" s="1">
        <v>15</v>
      </c>
      <c r="D141" s="1" t="s">
        <v>83</v>
      </c>
      <c r="E141" s="1" t="s">
        <v>66</v>
      </c>
      <c r="F141" s="1">
        <v>37386</v>
      </c>
      <c r="G141" s="10">
        <f t="shared" si="2"/>
        <v>37.386000000000003</v>
      </c>
    </row>
    <row r="142" spans="1:7" x14ac:dyDescent="0.25">
      <c r="A142" s="1">
        <v>2022</v>
      </c>
      <c r="B142" s="1">
        <v>7</v>
      </c>
      <c r="C142" s="1">
        <v>16</v>
      </c>
      <c r="D142" s="1" t="s">
        <v>12</v>
      </c>
      <c r="E142" s="1" t="s">
        <v>66</v>
      </c>
      <c r="F142" s="1">
        <v>14813</v>
      </c>
      <c r="G142" s="10">
        <f t="shared" si="2"/>
        <v>14.813000000000001</v>
      </c>
    </row>
    <row r="143" spans="1:7" x14ac:dyDescent="0.25">
      <c r="A143" s="1">
        <v>2022</v>
      </c>
      <c r="B143" s="1">
        <v>7</v>
      </c>
      <c r="C143" s="1">
        <v>21</v>
      </c>
      <c r="D143" s="1" t="s">
        <v>28</v>
      </c>
      <c r="E143" s="1" t="s">
        <v>66</v>
      </c>
      <c r="F143" s="1">
        <v>8903</v>
      </c>
      <c r="G143" s="10">
        <f t="shared" si="2"/>
        <v>8.9030000000000005</v>
      </c>
    </row>
    <row r="144" spans="1:7" x14ac:dyDescent="0.25">
      <c r="A144" s="1">
        <v>2022</v>
      </c>
      <c r="B144" s="1">
        <v>7</v>
      </c>
      <c r="C144" s="1">
        <v>23</v>
      </c>
      <c r="D144" s="1" t="s">
        <v>31</v>
      </c>
      <c r="E144" s="1" t="s">
        <v>66</v>
      </c>
      <c r="F144" s="1">
        <v>82187</v>
      </c>
      <c r="G144" s="10">
        <f t="shared" si="2"/>
        <v>82.186999999999998</v>
      </c>
    </row>
    <row r="145" spans="1:7" x14ac:dyDescent="0.25">
      <c r="A145" s="1">
        <v>2022</v>
      </c>
      <c r="B145" s="1">
        <v>7</v>
      </c>
      <c r="C145" s="1">
        <v>25</v>
      </c>
      <c r="D145" s="1" t="s">
        <v>83</v>
      </c>
      <c r="E145" s="1" t="s">
        <v>66</v>
      </c>
      <c r="F145" s="1">
        <v>140752</v>
      </c>
      <c r="G145" s="10">
        <f t="shared" si="2"/>
        <v>140.75200000000001</v>
      </c>
    </row>
    <row r="146" spans="1:7" x14ac:dyDescent="0.25">
      <c r="A146" s="1">
        <v>2022</v>
      </c>
      <c r="B146" s="1">
        <v>7</v>
      </c>
      <c r="C146" s="1">
        <v>28</v>
      </c>
      <c r="D146" s="1" t="s">
        <v>83</v>
      </c>
      <c r="E146" s="1" t="s">
        <v>66</v>
      </c>
      <c r="F146" s="1">
        <v>36567</v>
      </c>
      <c r="G146" s="10">
        <f t="shared" si="2"/>
        <v>36.567</v>
      </c>
    </row>
    <row r="147" spans="1:7" x14ac:dyDescent="0.25">
      <c r="A147" s="1">
        <v>2022</v>
      </c>
      <c r="B147" s="1">
        <v>7</v>
      </c>
      <c r="C147" s="1">
        <v>30</v>
      </c>
      <c r="D147" s="1" t="s">
        <v>83</v>
      </c>
      <c r="E147" s="1" t="s">
        <v>66</v>
      </c>
      <c r="F147" s="1">
        <v>6194</v>
      </c>
      <c r="G147" s="10">
        <f t="shared" si="2"/>
        <v>6.194</v>
      </c>
    </row>
    <row r="148" spans="1:7" x14ac:dyDescent="0.25">
      <c r="A148" s="1">
        <v>2022</v>
      </c>
      <c r="B148" s="1">
        <v>7</v>
      </c>
      <c r="C148" s="1">
        <v>30</v>
      </c>
      <c r="D148" s="1" t="s">
        <v>83</v>
      </c>
      <c r="E148" s="1" t="s">
        <v>66</v>
      </c>
      <c r="F148" s="1">
        <v>6047</v>
      </c>
      <c r="G148" s="10">
        <f t="shared" si="2"/>
        <v>6.0469999999999997</v>
      </c>
    </row>
    <row r="149" spans="1:7" x14ac:dyDescent="0.25">
      <c r="A149" s="1">
        <v>2022</v>
      </c>
      <c r="B149" s="1">
        <v>7</v>
      </c>
      <c r="C149" s="1">
        <v>31</v>
      </c>
      <c r="D149" s="1" t="s">
        <v>12</v>
      </c>
      <c r="E149" s="1" t="s">
        <v>66</v>
      </c>
      <c r="F149" s="1">
        <v>17590</v>
      </c>
      <c r="G149" s="10">
        <f t="shared" si="2"/>
        <v>17.59</v>
      </c>
    </row>
    <row r="150" spans="1:7" x14ac:dyDescent="0.25">
      <c r="A150" s="1">
        <v>2022</v>
      </c>
      <c r="B150" s="1">
        <v>8</v>
      </c>
      <c r="C150" s="1">
        <v>1</v>
      </c>
      <c r="D150" s="1" t="s">
        <v>12</v>
      </c>
      <c r="E150" s="1" t="s">
        <v>66</v>
      </c>
      <c r="F150" s="1">
        <v>8469</v>
      </c>
      <c r="G150" s="10">
        <f t="shared" si="2"/>
        <v>8.4689999999999994</v>
      </c>
    </row>
    <row r="151" spans="1:7" x14ac:dyDescent="0.25">
      <c r="A151" s="1">
        <v>2022</v>
      </c>
      <c r="B151" s="1">
        <v>8</v>
      </c>
      <c r="C151" s="1">
        <v>3</v>
      </c>
      <c r="D151" s="1" t="s">
        <v>20</v>
      </c>
      <c r="E151" s="1" t="s">
        <v>66</v>
      </c>
      <c r="F151" s="1">
        <v>17068</v>
      </c>
      <c r="G151" s="10">
        <f t="shared" si="2"/>
        <v>17.068000000000001</v>
      </c>
    </row>
    <row r="152" spans="1:7" x14ac:dyDescent="0.25">
      <c r="A152" s="1">
        <v>2022</v>
      </c>
      <c r="B152" s="1">
        <v>8</v>
      </c>
      <c r="C152" s="1">
        <v>3</v>
      </c>
      <c r="D152" s="1" t="s">
        <v>54</v>
      </c>
      <c r="E152" s="1" t="s">
        <v>66</v>
      </c>
      <c r="F152" s="1">
        <v>17068</v>
      </c>
      <c r="G152" s="10">
        <f t="shared" si="2"/>
        <v>17.068000000000001</v>
      </c>
    </row>
    <row r="153" spans="1:7" x14ac:dyDescent="0.25">
      <c r="A153" s="1">
        <v>2022</v>
      </c>
      <c r="B153" s="1">
        <v>8</v>
      </c>
      <c r="C153" s="1">
        <v>4</v>
      </c>
      <c r="D153" s="1" t="s">
        <v>5</v>
      </c>
      <c r="E153" s="1" t="s">
        <v>66</v>
      </c>
      <c r="F153" s="1">
        <v>81600</v>
      </c>
      <c r="G153" s="10">
        <f t="shared" si="2"/>
        <v>81.599999999999994</v>
      </c>
    </row>
    <row r="154" spans="1:7" x14ac:dyDescent="0.25">
      <c r="A154" s="1">
        <v>2022</v>
      </c>
      <c r="B154" s="1">
        <v>8</v>
      </c>
      <c r="C154" s="1">
        <v>4</v>
      </c>
      <c r="D154" s="1" t="s">
        <v>53</v>
      </c>
      <c r="E154" s="1" t="s">
        <v>84</v>
      </c>
      <c r="F154" s="1">
        <v>9038</v>
      </c>
      <c r="G154" s="10">
        <f t="shared" si="2"/>
        <v>9.0380000000000003</v>
      </c>
    </row>
    <row r="155" spans="1:7" x14ac:dyDescent="0.25">
      <c r="A155" s="1">
        <v>2022</v>
      </c>
      <c r="B155" s="1">
        <v>8</v>
      </c>
      <c r="C155" s="1">
        <v>12</v>
      </c>
      <c r="D155" s="1" t="s">
        <v>12</v>
      </c>
      <c r="E155" s="1" t="s">
        <v>66</v>
      </c>
      <c r="F155" s="1">
        <v>13083</v>
      </c>
      <c r="G155" s="10">
        <f t="shared" si="2"/>
        <v>13.083</v>
      </c>
    </row>
    <row r="156" spans="1:7" x14ac:dyDescent="0.25">
      <c r="A156" s="1">
        <v>2022</v>
      </c>
      <c r="B156" s="1">
        <v>8</v>
      </c>
      <c r="C156" s="1">
        <v>14</v>
      </c>
      <c r="D156" s="1" t="s">
        <v>20</v>
      </c>
      <c r="E156" s="1" t="s">
        <v>66</v>
      </c>
      <c r="F156" s="1">
        <v>4359</v>
      </c>
      <c r="G156" s="10">
        <f t="shared" si="2"/>
        <v>4.359</v>
      </c>
    </row>
    <row r="157" spans="1:7" x14ac:dyDescent="0.25">
      <c r="A157" s="1">
        <v>2022</v>
      </c>
      <c r="B157" s="1">
        <v>8</v>
      </c>
      <c r="C157" s="1">
        <v>19</v>
      </c>
      <c r="D157" s="1" t="s">
        <v>8</v>
      </c>
      <c r="E157" s="1" t="s">
        <v>66</v>
      </c>
      <c r="F157" s="1">
        <v>4985</v>
      </c>
      <c r="G157" s="10">
        <f t="shared" si="2"/>
        <v>4.9850000000000003</v>
      </c>
    </row>
    <row r="158" spans="1:7" x14ac:dyDescent="0.25">
      <c r="A158" s="1">
        <v>2022</v>
      </c>
      <c r="B158" s="1">
        <v>8</v>
      </c>
      <c r="C158" s="1">
        <v>23</v>
      </c>
      <c r="D158" s="1" t="s">
        <v>12</v>
      </c>
      <c r="E158" s="1" t="s">
        <v>84</v>
      </c>
      <c r="F158" s="1">
        <v>13669</v>
      </c>
      <c r="G158" s="10">
        <f t="shared" si="2"/>
        <v>13.669</v>
      </c>
    </row>
    <row r="159" spans="1:7" x14ac:dyDescent="0.25">
      <c r="A159" s="1">
        <v>2022</v>
      </c>
      <c r="B159" s="1">
        <v>8</v>
      </c>
      <c r="C159" s="1">
        <v>31</v>
      </c>
      <c r="D159" s="1" t="s">
        <v>31</v>
      </c>
      <c r="E159" s="1" t="s">
        <v>66</v>
      </c>
      <c r="F159" s="1">
        <v>25844</v>
      </c>
      <c r="G159" s="10">
        <f t="shared" si="2"/>
        <v>25.844000000000001</v>
      </c>
    </row>
    <row r="160" spans="1:7" x14ac:dyDescent="0.25">
      <c r="A160" s="1">
        <v>2022</v>
      </c>
      <c r="B160" s="1">
        <v>8</v>
      </c>
      <c r="C160" s="1">
        <v>31</v>
      </c>
      <c r="D160" s="1" t="s">
        <v>10</v>
      </c>
      <c r="E160" s="1" t="s">
        <v>66</v>
      </c>
      <c r="F160" s="1">
        <v>16594</v>
      </c>
      <c r="G160" s="10">
        <f t="shared" si="2"/>
        <v>16.594000000000001</v>
      </c>
    </row>
    <row r="161" spans="1:7" x14ac:dyDescent="0.25">
      <c r="A161" s="1">
        <v>2022</v>
      </c>
      <c r="B161" s="1">
        <v>9</v>
      </c>
      <c r="C161" s="1">
        <v>1</v>
      </c>
      <c r="D161" s="1" t="s">
        <v>8</v>
      </c>
      <c r="E161" s="1" t="s">
        <v>66</v>
      </c>
      <c r="F161" s="1">
        <v>12273</v>
      </c>
      <c r="G161" s="10">
        <f t="shared" si="2"/>
        <v>12.273</v>
      </c>
    </row>
    <row r="162" spans="1:7" x14ac:dyDescent="0.25">
      <c r="A162" s="1">
        <v>2022</v>
      </c>
      <c r="B162" s="1">
        <v>9</v>
      </c>
      <c r="C162" s="1">
        <v>1</v>
      </c>
      <c r="D162" s="1" t="s">
        <v>5</v>
      </c>
      <c r="E162" s="1" t="s">
        <v>66</v>
      </c>
      <c r="F162" s="1">
        <v>108299</v>
      </c>
      <c r="G162" s="10">
        <f t="shared" si="2"/>
        <v>108.29900000000001</v>
      </c>
    </row>
    <row r="163" spans="1:7" x14ac:dyDescent="0.25">
      <c r="A163" s="1">
        <v>2022</v>
      </c>
      <c r="B163" s="1">
        <v>9</v>
      </c>
      <c r="C163" s="1">
        <v>5</v>
      </c>
      <c r="D163" s="1" t="s">
        <v>24</v>
      </c>
      <c r="E163" s="1" t="s">
        <v>66</v>
      </c>
      <c r="F163" s="1">
        <v>99742</v>
      </c>
      <c r="G163" s="10">
        <f t="shared" si="2"/>
        <v>99.742000000000004</v>
      </c>
    </row>
    <row r="164" spans="1:7" x14ac:dyDescent="0.25">
      <c r="A164" s="1">
        <v>2022</v>
      </c>
      <c r="B164" s="1">
        <v>9</v>
      </c>
      <c r="C164" s="1">
        <v>9</v>
      </c>
      <c r="D164" s="1" t="s">
        <v>28</v>
      </c>
      <c r="E164" s="1" t="s">
        <v>66</v>
      </c>
      <c r="F164" s="1">
        <v>11146</v>
      </c>
      <c r="G164" s="10">
        <f t="shared" si="2"/>
        <v>11.146000000000001</v>
      </c>
    </row>
    <row r="165" spans="1:7" x14ac:dyDescent="0.25">
      <c r="A165" s="1">
        <v>2022</v>
      </c>
      <c r="B165" s="1">
        <v>9</v>
      </c>
      <c r="C165" s="1">
        <v>10</v>
      </c>
      <c r="D165" s="1" t="s">
        <v>31</v>
      </c>
      <c r="E165" s="1" t="s">
        <v>66</v>
      </c>
      <c r="F165" s="1">
        <v>86607</v>
      </c>
      <c r="G165" s="10">
        <f t="shared" si="2"/>
        <v>86.606999999999999</v>
      </c>
    </row>
    <row r="166" spans="1:7" x14ac:dyDescent="0.25">
      <c r="A166" s="1">
        <v>2022</v>
      </c>
      <c r="B166" s="1">
        <v>9</v>
      </c>
      <c r="C166" s="1">
        <v>11</v>
      </c>
      <c r="D166" s="1" t="s">
        <v>28</v>
      </c>
      <c r="E166" s="1" t="s">
        <v>66</v>
      </c>
      <c r="F166" s="1">
        <v>3980</v>
      </c>
      <c r="G166" s="10">
        <f t="shared" si="2"/>
        <v>3.98</v>
      </c>
    </row>
    <row r="167" spans="1:7" x14ac:dyDescent="0.25">
      <c r="A167" s="1">
        <v>2022</v>
      </c>
      <c r="B167" s="1">
        <v>9</v>
      </c>
      <c r="C167" s="1">
        <v>17</v>
      </c>
      <c r="D167" s="1" t="s">
        <v>54</v>
      </c>
      <c r="E167" s="1" t="s">
        <v>66</v>
      </c>
      <c r="F167" s="1">
        <v>38684</v>
      </c>
      <c r="G167" s="10">
        <f t="shared" si="2"/>
        <v>38.683999999999997</v>
      </c>
    </row>
    <row r="168" spans="1:7" x14ac:dyDescent="0.25">
      <c r="A168" s="1">
        <v>2022</v>
      </c>
      <c r="B168" s="1">
        <v>9</v>
      </c>
      <c r="C168" s="1">
        <v>20</v>
      </c>
      <c r="D168" s="1" t="s">
        <v>12</v>
      </c>
      <c r="E168" s="1" t="s">
        <v>66</v>
      </c>
      <c r="F168" s="1">
        <v>17412</v>
      </c>
      <c r="G168" s="10">
        <f t="shared" si="2"/>
        <v>17.411999999999999</v>
      </c>
    </row>
    <row r="169" spans="1:7" x14ac:dyDescent="0.25">
      <c r="A169" s="1">
        <v>2022</v>
      </c>
      <c r="B169" s="1">
        <v>9</v>
      </c>
      <c r="C169" s="1">
        <v>23</v>
      </c>
      <c r="D169" s="1" t="s">
        <v>31</v>
      </c>
      <c r="E169" s="1" t="s">
        <v>66</v>
      </c>
      <c r="F169" s="1">
        <v>73703</v>
      </c>
      <c r="G169" s="10">
        <f t="shared" si="2"/>
        <v>73.703000000000003</v>
      </c>
    </row>
    <row r="170" spans="1:7" x14ac:dyDescent="0.25">
      <c r="A170" s="1">
        <v>2022</v>
      </c>
      <c r="B170" s="1">
        <v>9</v>
      </c>
      <c r="C170" s="1">
        <v>25</v>
      </c>
      <c r="D170" s="1" t="s">
        <v>12</v>
      </c>
      <c r="E170" s="1" t="s">
        <v>66</v>
      </c>
      <c r="F170" s="1">
        <v>16722</v>
      </c>
      <c r="G170" s="10">
        <f t="shared" si="2"/>
        <v>16.722000000000001</v>
      </c>
    </row>
    <row r="171" spans="1:7" x14ac:dyDescent="0.25">
      <c r="A171" s="1">
        <v>2022</v>
      </c>
      <c r="B171" s="1">
        <v>9</v>
      </c>
      <c r="C171" s="1">
        <v>28</v>
      </c>
      <c r="D171" s="1" t="s">
        <v>22</v>
      </c>
      <c r="E171" s="1" t="s">
        <v>66</v>
      </c>
      <c r="F171" s="1">
        <v>33984</v>
      </c>
      <c r="G171" s="10">
        <f t="shared" si="2"/>
        <v>33.984000000000002</v>
      </c>
    </row>
    <row r="172" spans="1:7" x14ac:dyDescent="0.25">
      <c r="A172" s="1">
        <v>2022</v>
      </c>
      <c r="B172" s="1">
        <v>9</v>
      </c>
      <c r="C172" s="1">
        <v>28</v>
      </c>
      <c r="D172" s="1" t="s">
        <v>22</v>
      </c>
      <c r="E172" s="1" t="s">
        <v>66</v>
      </c>
      <c r="F172" s="1">
        <v>6618</v>
      </c>
      <c r="G172" s="10">
        <f t="shared" si="2"/>
        <v>6.6180000000000003</v>
      </c>
    </row>
    <row r="173" spans="1:7" x14ac:dyDescent="0.25">
      <c r="A173" s="1">
        <v>2022</v>
      </c>
      <c r="B173" s="1">
        <v>9</v>
      </c>
      <c r="C173" s="1">
        <v>28</v>
      </c>
      <c r="D173" s="1" t="s">
        <v>22</v>
      </c>
      <c r="E173" s="1" t="s">
        <v>66</v>
      </c>
      <c r="F173" s="1">
        <v>33461</v>
      </c>
      <c r="G173" s="10">
        <f t="shared" si="2"/>
        <v>33.460999999999999</v>
      </c>
    </row>
    <row r="174" spans="1:7" x14ac:dyDescent="0.25">
      <c r="A174" s="1">
        <v>2022</v>
      </c>
      <c r="B174" s="1">
        <v>9</v>
      </c>
      <c r="C174" s="1">
        <v>28</v>
      </c>
      <c r="D174" s="1" t="s">
        <v>22</v>
      </c>
      <c r="E174" s="1" t="s">
        <v>66</v>
      </c>
      <c r="F174" s="1">
        <v>17061</v>
      </c>
      <c r="G174" s="10">
        <f t="shared" si="2"/>
        <v>17.061</v>
      </c>
    </row>
    <row r="175" spans="1:7" x14ac:dyDescent="0.25">
      <c r="A175" s="1">
        <v>2022</v>
      </c>
      <c r="B175" s="1">
        <v>9</v>
      </c>
      <c r="C175" s="1">
        <v>28</v>
      </c>
      <c r="D175" s="1" t="s">
        <v>14</v>
      </c>
      <c r="E175" s="1" t="s">
        <v>66</v>
      </c>
      <c r="F175" s="1">
        <v>35559</v>
      </c>
      <c r="G175" s="10">
        <f t="shared" si="2"/>
        <v>35.558999999999997</v>
      </c>
    </row>
    <row r="176" spans="1:7" x14ac:dyDescent="0.25">
      <c r="A176" s="1">
        <v>2022</v>
      </c>
      <c r="B176" s="1">
        <v>9</v>
      </c>
      <c r="C176" s="1">
        <v>30</v>
      </c>
      <c r="D176" s="1" t="s">
        <v>12</v>
      </c>
      <c r="E176" s="1" t="s">
        <v>66</v>
      </c>
      <c r="F176" s="1">
        <v>9205</v>
      </c>
      <c r="G176" s="10">
        <f t="shared" si="2"/>
        <v>9.2050000000000001</v>
      </c>
    </row>
    <row r="177" spans="1:7" x14ac:dyDescent="0.25">
      <c r="A177" s="1">
        <v>2022</v>
      </c>
      <c r="B177" s="1">
        <v>10</v>
      </c>
      <c r="C177" s="1">
        <v>1</v>
      </c>
      <c r="D177" s="1" t="s">
        <v>12</v>
      </c>
      <c r="E177" s="1" t="s">
        <v>66</v>
      </c>
      <c r="F177" s="1">
        <v>9786</v>
      </c>
      <c r="G177" s="10">
        <f t="shared" si="2"/>
        <v>9.7859999999999996</v>
      </c>
    </row>
    <row r="178" spans="1:7" x14ac:dyDescent="0.25">
      <c r="A178" s="1">
        <v>2022</v>
      </c>
      <c r="B178" s="1">
        <v>10</v>
      </c>
      <c r="C178" s="1">
        <v>1</v>
      </c>
      <c r="D178" s="1" t="s">
        <v>38</v>
      </c>
      <c r="E178" s="1" t="s">
        <v>66</v>
      </c>
      <c r="F178" s="1">
        <v>29991</v>
      </c>
      <c r="G178" s="10">
        <f t="shared" si="2"/>
        <v>29.991</v>
      </c>
    </row>
    <row r="179" spans="1:7" x14ac:dyDescent="0.25">
      <c r="A179" s="1">
        <v>2022</v>
      </c>
      <c r="B179" s="1">
        <v>10</v>
      </c>
      <c r="C179" s="1">
        <v>1</v>
      </c>
      <c r="D179" s="1" t="s">
        <v>38</v>
      </c>
      <c r="E179" s="1" t="s">
        <v>66</v>
      </c>
      <c r="F179" s="1">
        <v>55697</v>
      </c>
      <c r="G179" s="10">
        <f t="shared" si="2"/>
        <v>55.697000000000003</v>
      </c>
    </row>
    <row r="180" spans="1:7" x14ac:dyDescent="0.25">
      <c r="A180" s="1">
        <v>2022</v>
      </c>
      <c r="B180" s="1">
        <v>10</v>
      </c>
      <c r="C180" s="1">
        <v>2</v>
      </c>
      <c r="D180" s="1" t="s">
        <v>31</v>
      </c>
      <c r="E180" s="1" t="s">
        <v>66</v>
      </c>
      <c r="F180" s="1">
        <v>36558</v>
      </c>
      <c r="G180" s="10">
        <f t="shared" si="2"/>
        <v>36.558</v>
      </c>
    </row>
    <row r="181" spans="1:7" x14ac:dyDescent="0.25">
      <c r="A181" s="1">
        <v>2022</v>
      </c>
      <c r="B181" s="1">
        <v>10</v>
      </c>
      <c r="C181" s="1">
        <v>3</v>
      </c>
      <c r="D181" s="1" t="s">
        <v>5</v>
      </c>
      <c r="E181" s="1" t="s">
        <v>66</v>
      </c>
      <c r="F181" s="1">
        <v>75606</v>
      </c>
      <c r="G181" s="10">
        <f t="shared" si="2"/>
        <v>75.605999999999995</v>
      </c>
    </row>
    <row r="182" spans="1:7" x14ac:dyDescent="0.25">
      <c r="A182" s="1">
        <v>2022</v>
      </c>
      <c r="B182" s="1">
        <v>10</v>
      </c>
      <c r="C182" s="1">
        <v>5</v>
      </c>
      <c r="D182" s="1" t="s">
        <v>31</v>
      </c>
      <c r="E182" s="1" t="s">
        <v>66</v>
      </c>
      <c r="F182" s="1">
        <v>35703</v>
      </c>
      <c r="G182" s="10">
        <f t="shared" si="2"/>
        <v>35.703000000000003</v>
      </c>
    </row>
    <row r="183" spans="1:7" x14ac:dyDescent="0.25">
      <c r="A183" s="1">
        <v>2022</v>
      </c>
      <c r="B183" s="1">
        <v>10</v>
      </c>
      <c r="C183" s="1">
        <v>7</v>
      </c>
      <c r="D183" s="1" t="s">
        <v>33</v>
      </c>
      <c r="E183" s="1" t="s">
        <v>66</v>
      </c>
      <c r="F183" s="1">
        <v>34370</v>
      </c>
      <c r="G183" s="10">
        <f t="shared" si="2"/>
        <v>34.369999999999997</v>
      </c>
    </row>
    <row r="184" spans="1:7" x14ac:dyDescent="0.25">
      <c r="A184" s="1">
        <v>2022</v>
      </c>
      <c r="B184" s="1">
        <v>10</v>
      </c>
      <c r="C184" s="1">
        <v>8</v>
      </c>
      <c r="D184" s="1" t="s">
        <v>24</v>
      </c>
      <c r="E184" s="1" t="s">
        <v>66</v>
      </c>
      <c r="F184" s="1">
        <v>83951</v>
      </c>
      <c r="G184" s="10">
        <f t="shared" si="2"/>
        <v>83.950999999999993</v>
      </c>
    </row>
    <row r="185" spans="1:7" x14ac:dyDescent="0.25">
      <c r="A185" s="1">
        <v>2022</v>
      </c>
      <c r="B185" s="1">
        <v>10</v>
      </c>
      <c r="C185" s="1">
        <v>8</v>
      </c>
      <c r="D185" s="1" t="s">
        <v>12</v>
      </c>
      <c r="E185" s="1" t="s">
        <v>66</v>
      </c>
      <c r="F185" s="1">
        <v>6071</v>
      </c>
      <c r="G185" s="10">
        <f t="shared" si="2"/>
        <v>6.0709999999999997</v>
      </c>
    </row>
    <row r="186" spans="1:7" x14ac:dyDescent="0.25">
      <c r="A186" s="1">
        <v>2022</v>
      </c>
      <c r="B186" s="1">
        <v>10</v>
      </c>
      <c r="C186" s="1">
        <v>9</v>
      </c>
      <c r="D186" s="1" t="s">
        <v>22</v>
      </c>
      <c r="E186" s="1" t="s">
        <v>66</v>
      </c>
      <c r="F186" s="1">
        <v>71966</v>
      </c>
      <c r="G186" s="10">
        <f t="shared" si="2"/>
        <v>71.965999999999994</v>
      </c>
    </row>
    <row r="187" spans="1:7" x14ac:dyDescent="0.25">
      <c r="A187" s="1">
        <v>2022</v>
      </c>
      <c r="B187" s="1">
        <v>10</v>
      </c>
      <c r="C187" s="1">
        <v>9</v>
      </c>
      <c r="D187" s="1" t="s">
        <v>12</v>
      </c>
      <c r="E187" s="1" t="s">
        <v>66</v>
      </c>
      <c r="F187" s="1">
        <v>6227</v>
      </c>
      <c r="G187" s="10">
        <f t="shared" si="2"/>
        <v>6.2270000000000003</v>
      </c>
    </row>
    <row r="188" spans="1:7" x14ac:dyDescent="0.25">
      <c r="A188" s="1">
        <v>2022</v>
      </c>
      <c r="B188" s="1">
        <v>10</v>
      </c>
      <c r="C188" s="1">
        <v>9</v>
      </c>
      <c r="D188" s="1" t="s">
        <v>31</v>
      </c>
      <c r="E188" s="1" t="s">
        <v>66</v>
      </c>
      <c r="F188" s="1">
        <v>36558</v>
      </c>
      <c r="G188" s="10">
        <f t="shared" si="2"/>
        <v>36.558</v>
      </c>
    </row>
    <row r="189" spans="1:7" x14ac:dyDescent="0.25">
      <c r="A189" s="1">
        <v>2022</v>
      </c>
      <c r="B189" s="1">
        <v>10</v>
      </c>
      <c r="C189" s="1">
        <v>10</v>
      </c>
      <c r="D189" s="1" t="s">
        <v>88</v>
      </c>
      <c r="E189" s="1" t="s">
        <v>66</v>
      </c>
      <c r="F189" s="1">
        <v>84425</v>
      </c>
      <c r="G189" s="10">
        <f t="shared" si="2"/>
        <v>84.424999999999997</v>
      </c>
    </row>
    <row r="190" spans="1:7" x14ac:dyDescent="0.25">
      <c r="A190" s="1">
        <v>2022</v>
      </c>
      <c r="B190" s="1">
        <v>10</v>
      </c>
      <c r="C190" s="1">
        <v>10</v>
      </c>
      <c r="D190" s="1" t="s">
        <v>36</v>
      </c>
      <c r="E190" s="1" t="s">
        <v>66</v>
      </c>
      <c r="F190" s="1">
        <v>22951</v>
      </c>
      <c r="G190" s="10">
        <f t="shared" si="2"/>
        <v>22.951000000000001</v>
      </c>
    </row>
    <row r="191" spans="1:7" x14ac:dyDescent="0.25">
      <c r="A191" s="1">
        <v>2022</v>
      </c>
      <c r="B191" s="1">
        <v>10</v>
      </c>
      <c r="C191" s="1">
        <v>11</v>
      </c>
      <c r="D191" s="1" t="s">
        <v>12</v>
      </c>
      <c r="E191" s="1" t="s">
        <v>66</v>
      </c>
      <c r="F191" s="1">
        <v>6693</v>
      </c>
      <c r="G191" s="10">
        <f t="shared" si="2"/>
        <v>6.6929999999999996</v>
      </c>
    </row>
    <row r="192" spans="1:7" x14ac:dyDescent="0.25">
      <c r="A192" s="1">
        <v>2022</v>
      </c>
      <c r="B192" s="1">
        <v>10</v>
      </c>
      <c r="C192" s="1">
        <v>14</v>
      </c>
      <c r="D192" s="1" t="s">
        <v>31</v>
      </c>
      <c r="E192" s="1" t="s">
        <v>66</v>
      </c>
      <c r="F192" s="1">
        <v>53112</v>
      </c>
      <c r="G192" s="10">
        <f t="shared" si="2"/>
        <v>53.112000000000002</v>
      </c>
    </row>
    <row r="193" spans="1:7" x14ac:dyDescent="0.25">
      <c r="A193" s="1">
        <v>2022</v>
      </c>
      <c r="B193" s="1">
        <v>10</v>
      </c>
      <c r="C193" s="1">
        <v>15</v>
      </c>
      <c r="D193" s="1" t="s">
        <v>33</v>
      </c>
      <c r="E193" s="1" t="s">
        <v>66</v>
      </c>
      <c r="F193" s="1">
        <v>30880</v>
      </c>
      <c r="G193" s="10">
        <f t="shared" si="2"/>
        <v>30.88</v>
      </c>
    </row>
    <row r="194" spans="1:7" x14ac:dyDescent="0.25">
      <c r="A194" s="1">
        <v>2022</v>
      </c>
      <c r="B194" s="1">
        <v>10</v>
      </c>
      <c r="C194" s="1">
        <v>17</v>
      </c>
      <c r="D194" s="1" t="s">
        <v>54</v>
      </c>
      <c r="E194" s="1" t="s">
        <v>66</v>
      </c>
      <c r="F194" s="1">
        <v>102092</v>
      </c>
      <c r="G194" s="10">
        <f t="shared" si="2"/>
        <v>102.092</v>
      </c>
    </row>
    <row r="195" spans="1:7" x14ac:dyDescent="0.25">
      <c r="A195" s="1">
        <v>2022</v>
      </c>
      <c r="B195" s="1">
        <v>10</v>
      </c>
      <c r="C195" s="1">
        <v>20</v>
      </c>
      <c r="D195" s="1" t="s">
        <v>31</v>
      </c>
      <c r="E195" s="1" t="s">
        <v>66</v>
      </c>
      <c r="F195" s="1">
        <v>47220</v>
      </c>
      <c r="G195" s="10">
        <f t="shared" ref="G195:G258" si="3">F195/1000</f>
        <v>47.22</v>
      </c>
    </row>
    <row r="196" spans="1:7" x14ac:dyDescent="0.25">
      <c r="A196" s="1">
        <v>2022</v>
      </c>
      <c r="B196" s="1">
        <v>10</v>
      </c>
      <c r="C196" s="1">
        <v>21</v>
      </c>
      <c r="D196" s="1" t="s">
        <v>12</v>
      </c>
      <c r="E196" s="1" t="s">
        <v>66</v>
      </c>
      <c r="F196" s="1">
        <v>18724</v>
      </c>
      <c r="G196" s="10">
        <f t="shared" si="3"/>
        <v>18.724</v>
      </c>
    </row>
    <row r="197" spans="1:7" x14ac:dyDescent="0.25">
      <c r="A197" s="1">
        <v>2022</v>
      </c>
      <c r="B197" s="1">
        <v>10</v>
      </c>
      <c r="C197" s="1">
        <v>29</v>
      </c>
      <c r="D197" s="1" t="s">
        <v>89</v>
      </c>
      <c r="E197" s="1" t="s">
        <v>66</v>
      </c>
      <c r="F197" s="1">
        <v>80882</v>
      </c>
      <c r="G197" s="10">
        <f t="shared" si="3"/>
        <v>80.882000000000005</v>
      </c>
    </row>
    <row r="198" spans="1:7" x14ac:dyDescent="0.25">
      <c r="A198" s="1">
        <v>2022</v>
      </c>
      <c r="B198" s="1">
        <v>10</v>
      </c>
      <c r="C198" s="1">
        <v>29</v>
      </c>
      <c r="D198" s="1" t="s">
        <v>12</v>
      </c>
      <c r="E198" s="1" t="s">
        <v>66</v>
      </c>
      <c r="F198" s="1">
        <v>16722</v>
      </c>
      <c r="G198" s="10">
        <f t="shared" si="3"/>
        <v>16.722000000000001</v>
      </c>
    </row>
    <row r="199" spans="1:7" x14ac:dyDescent="0.25">
      <c r="A199" s="1">
        <v>2022</v>
      </c>
      <c r="B199" s="1">
        <v>10</v>
      </c>
      <c r="C199" s="1">
        <v>29</v>
      </c>
      <c r="D199" s="1" t="s">
        <v>31</v>
      </c>
      <c r="E199" s="1" t="s">
        <v>66</v>
      </c>
      <c r="F199" s="1">
        <v>81422</v>
      </c>
      <c r="G199" s="10">
        <f t="shared" si="3"/>
        <v>81.421999999999997</v>
      </c>
    </row>
    <row r="200" spans="1:7" x14ac:dyDescent="0.25">
      <c r="A200" s="1">
        <v>2022</v>
      </c>
      <c r="B200" s="1">
        <v>11</v>
      </c>
      <c r="C200" s="1">
        <v>7</v>
      </c>
      <c r="D200" s="1" t="s">
        <v>20</v>
      </c>
      <c r="E200" s="1" t="s">
        <v>66</v>
      </c>
      <c r="F200" s="1">
        <v>1635</v>
      </c>
      <c r="G200" s="10">
        <f t="shared" si="3"/>
        <v>1.635</v>
      </c>
    </row>
    <row r="201" spans="1:7" x14ac:dyDescent="0.25">
      <c r="A201" s="1">
        <v>2022</v>
      </c>
      <c r="B201" s="1">
        <v>11</v>
      </c>
      <c r="C201" s="1">
        <v>7</v>
      </c>
      <c r="D201" s="1" t="s">
        <v>20</v>
      </c>
      <c r="E201" s="1" t="s">
        <v>66</v>
      </c>
      <c r="F201" s="1">
        <v>8175</v>
      </c>
      <c r="G201" s="10">
        <f t="shared" si="3"/>
        <v>8.1750000000000007</v>
      </c>
    </row>
    <row r="202" spans="1:7" x14ac:dyDescent="0.25">
      <c r="A202" s="1">
        <v>2022</v>
      </c>
      <c r="B202" s="1">
        <v>11</v>
      </c>
      <c r="C202" s="1">
        <v>8</v>
      </c>
      <c r="D202" s="1" t="s">
        <v>12</v>
      </c>
      <c r="E202" s="1" t="s">
        <v>66</v>
      </c>
      <c r="F202" s="1">
        <v>16722</v>
      </c>
      <c r="G202" s="10">
        <f t="shared" si="3"/>
        <v>16.722000000000001</v>
      </c>
    </row>
    <row r="203" spans="1:7" x14ac:dyDescent="0.25">
      <c r="A203" s="1">
        <v>2022</v>
      </c>
      <c r="B203" s="1">
        <v>11</v>
      </c>
      <c r="C203" s="1">
        <v>9</v>
      </c>
      <c r="D203" s="1" t="s">
        <v>5</v>
      </c>
      <c r="E203" s="1" t="s">
        <v>66</v>
      </c>
      <c r="F203" s="1">
        <v>75412</v>
      </c>
      <c r="G203" s="10">
        <f t="shared" si="3"/>
        <v>75.412000000000006</v>
      </c>
    </row>
    <row r="204" spans="1:7" x14ac:dyDescent="0.25">
      <c r="A204" s="1">
        <v>2022</v>
      </c>
      <c r="B204" s="1">
        <v>11</v>
      </c>
      <c r="C204" s="1">
        <v>14</v>
      </c>
      <c r="D204" s="1" t="s">
        <v>12</v>
      </c>
      <c r="E204" s="1" t="s">
        <v>66</v>
      </c>
      <c r="F204" s="1">
        <v>18998</v>
      </c>
      <c r="G204" s="10">
        <f t="shared" si="3"/>
        <v>18.998000000000001</v>
      </c>
    </row>
    <row r="205" spans="1:7" x14ac:dyDescent="0.25">
      <c r="A205" s="1">
        <v>2022</v>
      </c>
      <c r="B205" s="1">
        <v>11</v>
      </c>
      <c r="C205" s="1">
        <v>15</v>
      </c>
      <c r="D205" s="1" t="s">
        <v>3</v>
      </c>
      <c r="E205" s="1" t="s">
        <v>66</v>
      </c>
      <c r="F205" s="1">
        <v>104376</v>
      </c>
      <c r="G205" s="10">
        <f t="shared" si="3"/>
        <v>104.376</v>
      </c>
    </row>
    <row r="206" spans="1:7" x14ac:dyDescent="0.25">
      <c r="A206" s="1">
        <v>2022</v>
      </c>
      <c r="B206" s="1">
        <v>11</v>
      </c>
      <c r="C206" s="1">
        <v>15</v>
      </c>
      <c r="D206" s="1" t="s">
        <v>90</v>
      </c>
      <c r="E206" s="1" t="s">
        <v>66</v>
      </c>
      <c r="F206" s="1">
        <v>8142</v>
      </c>
      <c r="G206" s="10">
        <f t="shared" si="3"/>
        <v>8.1419999999999995</v>
      </c>
    </row>
    <row r="207" spans="1:7" x14ac:dyDescent="0.25">
      <c r="A207" s="1">
        <v>2022</v>
      </c>
      <c r="B207" s="1">
        <v>11</v>
      </c>
      <c r="C207" s="1">
        <v>15</v>
      </c>
      <c r="D207" s="1" t="s">
        <v>38</v>
      </c>
      <c r="E207" s="1" t="s">
        <v>66</v>
      </c>
      <c r="F207" s="1">
        <v>29211</v>
      </c>
      <c r="G207" s="10">
        <f t="shared" si="3"/>
        <v>29.210999999999999</v>
      </c>
    </row>
    <row r="208" spans="1:7" x14ac:dyDescent="0.25">
      <c r="A208" s="1">
        <v>2022</v>
      </c>
      <c r="B208" s="1">
        <v>11</v>
      </c>
      <c r="C208" s="1">
        <v>18</v>
      </c>
      <c r="D208" s="1" t="s">
        <v>12</v>
      </c>
      <c r="E208" s="1" t="s">
        <v>66</v>
      </c>
      <c r="F208" s="1">
        <v>16722</v>
      </c>
      <c r="G208" s="10">
        <f t="shared" si="3"/>
        <v>16.722000000000001</v>
      </c>
    </row>
    <row r="209" spans="1:7" x14ac:dyDescent="0.25">
      <c r="A209" s="1">
        <v>2022</v>
      </c>
      <c r="B209" s="1">
        <v>11</v>
      </c>
      <c r="C209" s="1">
        <v>18</v>
      </c>
      <c r="D209" s="1" t="s">
        <v>31</v>
      </c>
      <c r="E209" s="1" t="s">
        <v>66</v>
      </c>
      <c r="F209" s="1">
        <v>84595</v>
      </c>
      <c r="G209" s="10">
        <f t="shared" si="3"/>
        <v>84.594999999999999</v>
      </c>
    </row>
    <row r="210" spans="1:7" x14ac:dyDescent="0.25">
      <c r="A210" s="1">
        <v>2022</v>
      </c>
      <c r="B210" s="1">
        <v>11</v>
      </c>
      <c r="C210" s="1">
        <v>21</v>
      </c>
      <c r="D210" s="1" t="s">
        <v>54</v>
      </c>
      <c r="E210" s="1" t="s">
        <v>66</v>
      </c>
      <c r="F210" s="1">
        <v>17770</v>
      </c>
      <c r="G210" s="10">
        <f t="shared" si="3"/>
        <v>17.77</v>
      </c>
    </row>
    <row r="211" spans="1:7" x14ac:dyDescent="0.25">
      <c r="A211" s="1">
        <v>2022</v>
      </c>
      <c r="B211" s="1">
        <v>11</v>
      </c>
      <c r="C211" s="1">
        <v>22</v>
      </c>
      <c r="D211" s="1" t="s">
        <v>12</v>
      </c>
      <c r="E211" s="1" t="s">
        <v>66</v>
      </c>
      <c r="F211" s="1">
        <v>18998</v>
      </c>
      <c r="G211" s="10">
        <f t="shared" si="3"/>
        <v>18.998000000000001</v>
      </c>
    </row>
    <row r="212" spans="1:7" x14ac:dyDescent="0.25">
      <c r="A212" s="1">
        <v>2022</v>
      </c>
      <c r="B212" s="1">
        <v>11</v>
      </c>
      <c r="C212" s="1">
        <v>23</v>
      </c>
      <c r="D212" s="1" t="s">
        <v>54</v>
      </c>
      <c r="E212" s="1" t="s">
        <v>66</v>
      </c>
      <c r="F212" s="1">
        <v>26467</v>
      </c>
      <c r="G212" s="10">
        <f t="shared" si="3"/>
        <v>26.466999999999999</v>
      </c>
    </row>
    <row r="213" spans="1:7" x14ac:dyDescent="0.25">
      <c r="A213" s="1">
        <v>2022</v>
      </c>
      <c r="B213" s="1">
        <v>11</v>
      </c>
      <c r="C213" s="1">
        <v>26</v>
      </c>
      <c r="D213" s="1" t="s">
        <v>36</v>
      </c>
      <c r="E213" s="1" t="s">
        <v>84</v>
      </c>
      <c r="F213" s="1">
        <v>35702</v>
      </c>
      <c r="G213" s="10">
        <f t="shared" si="3"/>
        <v>35.701999999999998</v>
      </c>
    </row>
    <row r="214" spans="1:7" x14ac:dyDescent="0.25">
      <c r="A214" s="1">
        <v>2022</v>
      </c>
      <c r="B214" s="1">
        <v>11</v>
      </c>
      <c r="C214" s="1">
        <v>28</v>
      </c>
      <c r="D214" s="1" t="s">
        <v>12</v>
      </c>
      <c r="E214" s="1" t="s">
        <v>66</v>
      </c>
      <c r="F214" s="1">
        <v>16722</v>
      </c>
      <c r="G214" s="10">
        <f t="shared" si="3"/>
        <v>16.722000000000001</v>
      </c>
    </row>
    <row r="215" spans="1:7" x14ac:dyDescent="0.25">
      <c r="A215" s="1">
        <v>2022</v>
      </c>
      <c r="B215" s="1">
        <v>11</v>
      </c>
      <c r="C215" s="1">
        <v>30</v>
      </c>
      <c r="D215" s="1" t="s">
        <v>24</v>
      </c>
      <c r="E215" s="1" t="s">
        <v>66</v>
      </c>
      <c r="F215" s="1">
        <v>30029</v>
      </c>
      <c r="G215" s="10">
        <f t="shared" si="3"/>
        <v>30.029</v>
      </c>
    </row>
    <row r="216" spans="1:7" x14ac:dyDescent="0.25">
      <c r="A216" s="1">
        <v>2022</v>
      </c>
      <c r="B216" s="1">
        <v>11</v>
      </c>
      <c r="C216" s="1">
        <v>30</v>
      </c>
      <c r="D216" s="1" t="s">
        <v>12</v>
      </c>
      <c r="E216" s="1" t="s">
        <v>66</v>
      </c>
      <c r="F216" s="1">
        <v>18991</v>
      </c>
      <c r="G216" s="10">
        <f t="shared" si="3"/>
        <v>18.991</v>
      </c>
    </row>
    <row r="217" spans="1:7" x14ac:dyDescent="0.25">
      <c r="A217" s="1">
        <v>2022</v>
      </c>
      <c r="B217" s="1">
        <v>12</v>
      </c>
      <c r="C217" s="1">
        <v>3</v>
      </c>
      <c r="D217" s="1" t="s">
        <v>8</v>
      </c>
      <c r="E217" s="1" t="s">
        <v>66</v>
      </c>
      <c r="F217" s="1">
        <v>8498</v>
      </c>
      <c r="G217" s="10">
        <f t="shared" si="3"/>
        <v>8.4979999999999993</v>
      </c>
    </row>
    <row r="218" spans="1:7" x14ac:dyDescent="0.25">
      <c r="A218" s="1">
        <v>2022</v>
      </c>
      <c r="B218" s="1">
        <v>12</v>
      </c>
      <c r="C218" s="1">
        <v>4</v>
      </c>
      <c r="D218" s="1" t="s">
        <v>91</v>
      </c>
      <c r="E218" s="1" t="s">
        <v>66</v>
      </c>
      <c r="F218" s="1">
        <v>69502</v>
      </c>
      <c r="G218" s="10">
        <f t="shared" si="3"/>
        <v>69.501999999999995</v>
      </c>
    </row>
    <row r="219" spans="1:7" x14ac:dyDescent="0.25">
      <c r="A219" s="1">
        <v>2022</v>
      </c>
      <c r="B219" s="1">
        <v>12</v>
      </c>
      <c r="C219" s="1">
        <v>6</v>
      </c>
      <c r="D219" s="1" t="s">
        <v>12</v>
      </c>
      <c r="E219" s="1" t="s">
        <v>66</v>
      </c>
      <c r="F219" s="1">
        <v>16661</v>
      </c>
      <c r="G219" s="10">
        <f t="shared" si="3"/>
        <v>16.661000000000001</v>
      </c>
    </row>
    <row r="220" spans="1:7" x14ac:dyDescent="0.25">
      <c r="A220" s="1">
        <v>2022</v>
      </c>
      <c r="B220" s="1">
        <v>12</v>
      </c>
      <c r="C220" s="1">
        <v>10</v>
      </c>
      <c r="D220" s="1" t="s">
        <v>12</v>
      </c>
      <c r="E220" s="1" t="s">
        <v>66</v>
      </c>
      <c r="F220" s="1">
        <v>3068</v>
      </c>
      <c r="G220" s="10">
        <f t="shared" si="3"/>
        <v>3.0680000000000001</v>
      </c>
    </row>
    <row r="221" spans="1:7" x14ac:dyDescent="0.25">
      <c r="A221" s="1">
        <v>2022</v>
      </c>
      <c r="B221" s="1">
        <v>12</v>
      </c>
      <c r="C221" s="1">
        <v>10</v>
      </c>
      <c r="D221" s="1" t="s">
        <v>12</v>
      </c>
      <c r="E221" s="1" t="s">
        <v>66</v>
      </c>
      <c r="F221" s="1">
        <v>7586</v>
      </c>
      <c r="G221" s="10">
        <f t="shared" si="3"/>
        <v>7.5860000000000003</v>
      </c>
    </row>
    <row r="222" spans="1:7" x14ac:dyDescent="0.25">
      <c r="A222" s="1">
        <v>2022</v>
      </c>
      <c r="B222" s="1">
        <v>12</v>
      </c>
      <c r="C222" s="1">
        <v>11</v>
      </c>
      <c r="D222" s="1" t="s">
        <v>5</v>
      </c>
      <c r="E222" s="1" t="s">
        <v>66</v>
      </c>
      <c r="F222" s="1">
        <v>65664</v>
      </c>
      <c r="G222" s="10">
        <f t="shared" si="3"/>
        <v>65.664000000000001</v>
      </c>
    </row>
    <row r="223" spans="1:7" x14ac:dyDescent="0.25">
      <c r="A223" s="1">
        <v>2022</v>
      </c>
      <c r="B223" s="1">
        <v>12</v>
      </c>
      <c r="C223" s="1">
        <v>12</v>
      </c>
      <c r="D223" s="1" t="s">
        <v>12</v>
      </c>
      <c r="E223" s="1" t="s">
        <v>66</v>
      </c>
      <c r="F223" s="1">
        <v>17665</v>
      </c>
      <c r="G223" s="10">
        <f t="shared" si="3"/>
        <v>17.664999999999999</v>
      </c>
    </row>
    <row r="224" spans="1:7" x14ac:dyDescent="0.25">
      <c r="A224" s="1">
        <v>2022</v>
      </c>
      <c r="B224" s="1">
        <v>12</v>
      </c>
      <c r="C224" s="1">
        <v>17</v>
      </c>
      <c r="D224" s="1" t="s">
        <v>12</v>
      </c>
      <c r="E224" s="1" t="s">
        <v>66</v>
      </c>
      <c r="F224" s="1">
        <v>16722</v>
      </c>
      <c r="G224" s="10">
        <f t="shared" si="3"/>
        <v>16.722000000000001</v>
      </c>
    </row>
    <row r="225" spans="1:7" x14ac:dyDescent="0.25">
      <c r="A225" s="1">
        <v>2022</v>
      </c>
      <c r="B225" s="1">
        <v>12</v>
      </c>
      <c r="C225" s="1">
        <v>19</v>
      </c>
      <c r="D225" s="1" t="s">
        <v>20</v>
      </c>
      <c r="E225" s="1" t="s">
        <v>66</v>
      </c>
      <c r="F225" s="1">
        <v>7629</v>
      </c>
      <c r="G225" s="10">
        <f t="shared" si="3"/>
        <v>7.6289999999999996</v>
      </c>
    </row>
    <row r="226" spans="1:7" x14ac:dyDescent="0.25">
      <c r="A226" s="1">
        <v>2022</v>
      </c>
      <c r="B226" s="1">
        <v>12</v>
      </c>
      <c r="C226" s="1">
        <v>19</v>
      </c>
      <c r="D226" s="1" t="s">
        <v>47</v>
      </c>
      <c r="E226" s="1" t="s">
        <v>66</v>
      </c>
      <c r="F226" s="1">
        <v>32520</v>
      </c>
      <c r="G226" s="10">
        <f t="shared" si="3"/>
        <v>32.520000000000003</v>
      </c>
    </row>
    <row r="227" spans="1:7" x14ac:dyDescent="0.25">
      <c r="A227" s="1">
        <v>2022</v>
      </c>
      <c r="B227" s="1">
        <v>12</v>
      </c>
      <c r="C227" s="1">
        <v>22</v>
      </c>
      <c r="D227" s="1" t="s">
        <v>12</v>
      </c>
      <c r="E227" s="1" t="s">
        <v>66</v>
      </c>
      <c r="F227" s="1">
        <v>16750</v>
      </c>
      <c r="G227" s="10">
        <f t="shared" si="3"/>
        <v>16.75</v>
      </c>
    </row>
    <row r="228" spans="1:7" x14ac:dyDescent="0.25">
      <c r="A228" s="1">
        <v>2022</v>
      </c>
      <c r="B228" s="1">
        <v>12</v>
      </c>
      <c r="C228" s="1">
        <v>25</v>
      </c>
      <c r="D228" s="1" t="s">
        <v>12</v>
      </c>
      <c r="E228" s="1" t="s">
        <v>66</v>
      </c>
      <c r="F228" s="1">
        <v>13118</v>
      </c>
      <c r="G228" s="10">
        <f t="shared" si="3"/>
        <v>13.118</v>
      </c>
    </row>
    <row r="229" spans="1:7" x14ac:dyDescent="0.25">
      <c r="A229" s="1">
        <v>2022</v>
      </c>
      <c r="B229" s="1">
        <v>12</v>
      </c>
      <c r="C229" s="1">
        <v>27</v>
      </c>
      <c r="D229" s="1" t="s">
        <v>92</v>
      </c>
      <c r="E229" s="1" t="s">
        <v>84</v>
      </c>
      <c r="F229" s="1">
        <v>904</v>
      </c>
      <c r="G229" s="10">
        <f t="shared" si="3"/>
        <v>0.90400000000000003</v>
      </c>
    </row>
    <row r="230" spans="1:7" x14ac:dyDescent="0.25">
      <c r="A230" s="1">
        <v>2022</v>
      </c>
      <c r="B230" s="1">
        <v>12</v>
      </c>
      <c r="C230" s="1">
        <v>28</v>
      </c>
      <c r="D230" s="1" t="s">
        <v>93</v>
      </c>
      <c r="E230" s="1" t="s">
        <v>84</v>
      </c>
      <c r="F230" s="1">
        <v>32861</v>
      </c>
      <c r="G230" s="10">
        <f t="shared" si="3"/>
        <v>32.860999999999997</v>
      </c>
    </row>
    <row r="231" spans="1:7" x14ac:dyDescent="0.25">
      <c r="A231" s="1">
        <v>2022</v>
      </c>
      <c r="B231" s="1">
        <v>12</v>
      </c>
      <c r="C231" s="1">
        <v>30</v>
      </c>
      <c r="D231" s="1" t="s">
        <v>12</v>
      </c>
      <c r="E231" s="1" t="s">
        <v>66</v>
      </c>
      <c r="F231" s="1">
        <v>2165</v>
      </c>
      <c r="G231" s="10">
        <f t="shared" si="3"/>
        <v>2.165</v>
      </c>
    </row>
    <row r="232" spans="1:7" x14ac:dyDescent="0.25">
      <c r="A232" s="1">
        <v>2022</v>
      </c>
      <c r="B232" s="1">
        <v>12</v>
      </c>
      <c r="C232" s="1">
        <v>30</v>
      </c>
      <c r="D232" s="1" t="s">
        <v>12</v>
      </c>
      <c r="E232" s="1" t="s">
        <v>66</v>
      </c>
      <c r="F232" s="1">
        <v>10225</v>
      </c>
      <c r="G232" s="10">
        <f t="shared" si="3"/>
        <v>10.225</v>
      </c>
    </row>
    <row r="233" spans="1:7" x14ac:dyDescent="0.25">
      <c r="A233" s="1">
        <v>2023</v>
      </c>
      <c r="B233" s="1">
        <v>1</v>
      </c>
      <c r="C233" s="1">
        <v>1</v>
      </c>
      <c r="D233" s="1" t="s">
        <v>12</v>
      </c>
      <c r="E233" s="1" t="s">
        <v>66</v>
      </c>
      <c r="F233" s="1">
        <v>18227</v>
      </c>
      <c r="G233" s="10">
        <f t="shared" si="3"/>
        <v>18.227</v>
      </c>
    </row>
    <row r="234" spans="1:7" x14ac:dyDescent="0.25">
      <c r="A234" s="1">
        <v>2023</v>
      </c>
      <c r="B234" s="1">
        <v>1</v>
      </c>
      <c r="C234" s="1">
        <v>2</v>
      </c>
      <c r="D234" s="1" t="s">
        <v>83</v>
      </c>
      <c r="E234" s="1" t="s">
        <v>66</v>
      </c>
      <c r="F234" s="1">
        <v>4753</v>
      </c>
      <c r="G234" s="10">
        <f t="shared" si="3"/>
        <v>4.7530000000000001</v>
      </c>
    </row>
    <row r="235" spans="1:7" x14ac:dyDescent="0.25">
      <c r="A235" s="1">
        <v>2023</v>
      </c>
      <c r="B235" s="1">
        <v>1</v>
      </c>
      <c r="C235" s="1">
        <v>3</v>
      </c>
      <c r="D235" s="1" t="s">
        <v>5</v>
      </c>
      <c r="E235" s="1" t="s">
        <v>66</v>
      </c>
      <c r="F235" s="1">
        <v>76931</v>
      </c>
      <c r="G235" s="10">
        <f t="shared" si="3"/>
        <v>76.930999999999997</v>
      </c>
    </row>
    <row r="236" spans="1:7" x14ac:dyDescent="0.25">
      <c r="A236" s="1">
        <v>2023</v>
      </c>
      <c r="B236" s="1">
        <v>1</v>
      </c>
      <c r="C236" s="1">
        <v>4</v>
      </c>
      <c r="D236" s="1" t="s">
        <v>12</v>
      </c>
      <c r="E236" s="1" t="s">
        <v>66</v>
      </c>
      <c r="F236" s="1">
        <v>18193</v>
      </c>
      <c r="G236" s="10">
        <f t="shared" si="3"/>
        <v>18.193000000000001</v>
      </c>
    </row>
    <row r="237" spans="1:7" x14ac:dyDescent="0.25">
      <c r="A237" s="1">
        <v>2023</v>
      </c>
      <c r="B237" s="1">
        <v>1</v>
      </c>
      <c r="C237" s="1">
        <v>6</v>
      </c>
      <c r="D237" s="1" t="s">
        <v>12</v>
      </c>
      <c r="E237" s="1" t="s">
        <v>66</v>
      </c>
      <c r="F237" s="1">
        <v>10910</v>
      </c>
      <c r="G237" s="10">
        <f t="shared" si="3"/>
        <v>10.91</v>
      </c>
    </row>
    <row r="238" spans="1:7" x14ac:dyDescent="0.25">
      <c r="A238" s="1">
        <v>2023</v>
      </c>
      <c r="B238" s="1">
        <v>1</v>
      </c>
      <c r="C238" s="1">
        <v>9</v>
      </c>
      <c r="D238" s="1" t="s">
        <v>12</v>
      </c>
      <c r="E238" s="1" t="s">
        <v>66</v>
      </c>
      <c r="F238" s="1">
        <v>16675</v>
      </c>
      <c r="G238" s="10">
        <f t="shared" si="3"/>
        <v>16.675000000000001</v>
      </c>
    </row>
    <row r="239" spans="1:7" x14ac:dyDescent="0.25">
      <c r="A239" s="1">
        <v>2023</v>
      </c>
      <c r="B239" s="1">
        <v>1</v>
      </c>
      <c r="C239" s="1">
        <v>14</v>
      </c>
      <c r="D239" s="1" t="s">
        <v>31</v>
      </c>
      <c r="E239" s="1" t="s">
        <v>66</v>
      </c>
      <c r="F239" s="1">
        <v>87322</v>
      </c>
      <c r="G239" s="10">
        <f t="shared" si="3"/>
        <v>87.322000000000003</v>
      </c>
    </row>
    <row r="240" spans="1:7" x14ac:dyDescent="0.25">
      <c r="A240" s="1">
        <v>2023</v>
      </c>
      <c r="B240" s="1">
        <v>1</v>
      </c>
      <c r="C240" s="1">
        <v>16</v>
      </c>
      <c r="D240" s="1" t="s">
        <v>12</v>
      </c>
      <c r="E240" s="1" t="s">
        <v>66</v>
      </c>
      <c r="F240" s="1">
        <v>8964</v>
      </c>
      <c r="G240" s="10">
        <f t="shared" si="3"/>
        <v>8.9640000000000004</v>
      </c>
    </row>
    <row r="241" spans="1:7" x14ac:dyDescent="0.25">
      <c r="A241" s="1">
        <v>2023</v>
      </c>
      <c r="B241" s="1">
        <v>1</v>
      </c>
      <c r="C241" s="1">
        <v>19</v>
      </c>
      <c r="D241" s="1" t="s">
        <v>12</v>
      </c>
      <c r="E241" s="1" t="s">
        <v>66</v>
      </c>
      <c r="F241" s="1">
        <v>17928</v>
      </c>
      <c r="G241" s="10">
        <f t="shared" si="3"/>
        <v>17.928000000000001</v>
      </c>
    </row>
    <row r="242" spans="1:7" x14ac:dyDescent="0.25">
      <c r="A242" s="1">
        <v>2023</v>
      </c>
      <c r="B242" s="1">
        <v>1</v>
      </c>
      <c r="C242" s="1">
        <v>20</v>
      </c>
      <c r="D242" s="1" t="s">
        <v>12</v>
      </c>
      <c r="E242" s="1" t="s">
        <v>66</v>
      </c>
      <c r="F242" s="1">
        <v>16715</v>
      </c>
      <c r="G242" s="10">
        <f t="shared" si="3"/>
        <v>16.715</v>
      </c>
    </row>
    <row r="243" spans="1:7" x14ac:dyDescent="0.25">
      <c r="A243" s="1">
        <v>2023</v>
      </c>
      <c r="B243" s="1">
        <v>1</v>
      </c>
      <c r="C243" s="1">
        <v>25</v>
      </c>
      <c r="D243" s="1" t="s">
        <v>12</v>
      </c>
      <c r="E243" s="1" t="s">
        <v>66</v>
      </c>
      <c r="F243" s="1">
        <v>16129</v>
      </c>
      <c r="G243" s="10">
        <f t="shared" si="3"/>
        <v>16.129000000000001</v>
      </c>
    </row>
    <row r="244" spans="1:7" x14ac:dyDescent="0.25">
      <c r="A244" s="1">
        <v>2023</v>
      </c>
      <c r="B244" s="1">
        <v>1</v>
      </c>
      <c r="C244" s="1">
        <v>28</v>
      </c>
      <c r="D244" s="1" t="s">
        <v>54</v>
      </c>
      <c r="E244" s="1" t="s">
        <v>66</v>
      </c>
      <c r="F244" s="1">
        <v>17997</v>
      </c>
      <c r="G244" s="10">
        <f t="shared" si="3"/>
        <v>17.997</v>
      </c>
    </row>
    <row r="245" spans="1:7" x14ac:dyDescent="0.25">
      <c r="A245" s="1">
        <v>2023</v>
      </c>
      <c r="B245" s="1">
        <v>1</v>
      </c>
      <c r="C245" s="1">
        <v>28</v>
      </c>
      <c r="D245" s="1" t="s">
        <v>54</v>
      </c>
      <c r="E245" s="1" t="s">
        <v>66</v>
      </c>
      <c r="F245" s="1">
        <v>62991</v>
      </c>
      <c r="G245" s="10">
        <f t="shared" si="3"/>
        <v>62.991</v>
      </c>
    </row>
    <row r="246" spans="1:7" x14ac:dyDescent="0.25">
      <c r="A246" s="1">
        <v>2023</v>
      </c>
      <c r="B246" s="1">
        <v>1</v>
      </c>
      <c r="C246" s="1">
        <v>30</v>
      </c>
      <c r="D246" s="1" t="s">
        <v>20</v>
      </c>
      <c r="E246" s="1" t="s">
        <v>66</v>
      </c>
      <c r="F246" s="1">
        <v>7085</v>
      </c>
      <c r="G246" s="10">
        <f t="shared" si="3"/>
        <v>7.085</v>
      </c>
    </row>
    <row r="247" spans="1:7" x14ac:dyDescent="0.25">
      <c r="A247" s="1">
        <v>2023</v>
      </c>
      <c r="B247" s="1">
        <v>1</v>
      </c>
      <c r="C247" s="1">
        <v>30</v>
      </c>
      <c r="D247" s="1" t="s">
        <v>12</v>
      </c>
      <c r="E247" s="1" t="s">
        <v>66</v>
      </c>
      <c r="F247" s="1">
        <v>8277</v>
      </c>
      <c r="G247" s="10">
        <f t="shared" si="3"/>
        <v>8.2769999999999992</v>
      </c>
    </row>
    <row r="248" spans="1:7" x14ac:dyDescent="0.25">
      <c r="A248" s="1">
        <v>2023</v>
      </c>
      <c r="B248" s="1">
        <v>1</v>
      </c>
      <c r="C248" s="1">
        <v>31</v>
      </c>
      <c r="D248" s="1" t="s">
        <v>33</v>
      </c>
      <c r="E248" s="1" t="s">
        <v>66</v>
      </c>
      <c r="F248" s="1">
        <v>40048</v>
      </c>
      <c r="G248" s="10">
        <f t="shared" si="3"/>
        <v>40.048000000000002</v>
      </c>
    </row>
    <row r="249" spans="1:7" x14ac:dyDescent="0.25">
      <c r="A249" s="1">
        <v>2023</v>
      </c>
      <c r="B249" s="1">
        <v>1</v>
      </c>
      <c r="C249" s="1">
        <v>31</v>
      </c>
      <c r="D249" s="1" t="s">
        <v>12</v>
      </c>
      <c r="E249" s="1" t="s">
        <v>66</v>
      </c>
      <c r="F249" s="1">
        <v>7502</v>
      </c>
      <c r="G249" s="10">
        <f t="shared" si="3"/>
        <v>7.5019999999999998</v>
      </c>
    </row>
    <row r="250" spans="1:7" x14ac:dyDescent="0.25">
      <c r="A250" s="1">
        <v>2023</v>
      </c>
      <c r="B250" s="1">
        <v>2</v>
      </c>
      <c r="C250" s="1">
        <v>2</v>
      </c>
      <c r="D250" s="1" t="s">
        <v>3</v>
      </c>
      <c r="E250" s="1" t="s">
        <v>66</v>
      </c>
      <c r="F250" s="1">
        <v>17878</v>
      </c>
      <c r="G250" s="10">
        <f t="shared" si="3"/>
        <v>17.878</v>
      </c>
    </row>
    <row r="251" spans="1:7" x14ac:dyDescent="0.25">
      <c r="A251" s="1">
        <v>2023</v>
      </c>
      <c r="B251" s="1">
        <v>2</v>
      </c>
      <c r="C251" s="1">
        <v>2</v>
      </c>
      <c r="D251" s="1" t="s">
        <v>5</v>
      </c>
      <c r="E251" s="1" t="s">
        <v>66</v>
      </c>
      <c r="F251" s="1">
        <v>101809</v>
      </c>
      <c r="G251" s="10">
        <f t="shared" si="3"/>
        <v>101.809</v>
      </c>
    </row>
    <row r="252" spans="1:7" x14ac:dyDescent="0.25">
      <c r="A252" s="1">
        <v>2023</v>
      </c>
      <c r="B252" s="1">
        <v>2</v>
      </c>
      <c r="C252" s="1">
        <v>4</v>
      </c>
      <c r="D252" s="1" t="s">
        <v>54</v>
      </c>
      <c r="E252" s="1" t="s">
        <v>66</v>
      </c>
      <c r="F252" s="1">
        <v>8999</v>
      </c>
      <c r="G252" s="10">
        <f t="shared" si="3"/>
        <v>8.9990000000000006</v>
      </c>
    </row>
    <row r="253" spans="1:7" x14ac:dyDescent="0.25">
      <c r="A253" s="1">
        <v>2023</v>
      </c>
      <c r="B253" s="1">
        <v>2</v>
      </c>
      <c r="C253" s="1">
        <v>4</v>
      </c>
      <c r="D253" s="1" t="s">
        <v>12</v>
      </c>
      <c r="E253" s="1" t="s">
        <v>66</v>
      </c>
      <c r="F253" s="1">
        <v>17736</v>
      </c>
      <c r="G253" s="10">
        <f t="shared" si="3"/>
        <v>17.736000000000001</v>
      </c>
    </row>
    <row r="254" spans="1:7" x14ac:dyDescent="0.25">
      <c r="A254" s="1">
        <v>2023</v>
      </c>
      <c r="B254" s="1">
        <v>2</v>
      </c>
      <c r="C254" s="1">
        <v>9</v>
      </c>
      <c r="D254" s="1" t="s">
        <v>12</v>
      </c>
      <c r="E254" s="1" t="s">
        <v>84</v>
      </c>
      <c r="F254" s="1">
        <v>16715</v>
      </c>
      <c r="G254" s="10">
        <f t="shared" si="3"/>
        <v>16.715</v>
      </c>
    </row>
    <row r="255" spans="1:7" x14ac:dyDescent="0.25">
      <c r="A255" s="1">
        <v>2023</v>
      </c>
      <c r="B255" s="1">
        <v>2</v>
      </c>
      <c r="C255" s="1">
        <v>10</v>
      </c>
      <c r="D255" s="1" t="s">
        <v>12</v>
      </c>
      <c r="E255" s="1" t="s">
        <v>66</v>
      </c>
      <c r="F255" s="1">
        <v>16561</v>
      </c>
      <c r="G255" s="10">
        <f t="shared" si="3"/>
        <v>16.561</v>
      </c>
    </row>
    <row r="256" spans="1:7" x14ac:dyDescent="0.25">
      <c r="A256" s="1">
        <v>2023</v>
      </c>
      <c r="B256" s="1">
        <v>2</v>
      </c>
      <c r="C256" s="1">
        <v>11</v>
      </c>
      <c r="D256" s="1" t="s">
        <v>24</v>
      </c>
      <c r="E256" s="1" t="s">
        <v>66</v>
      </c>
      <c r="F256" s="1">
        <v>29128</v>
      </c>
      <c r="G256" s="10">
        <f t="shared" si="3"/>
        <v>29.128</v>
      </c>
    </row>
    <row r="257" spans="1:7" x14ac:dyDescent="0.25">
      <c r="A257" s="1">
        <v>2023</v>
      </c>
      <c r="B257" s="1">
        <v>2</v>
      </c>
      <c r="C257" s="1">
        <v>11</v>
      </c>
      <c r="D257" s="1" t="s">
        <v>24</v>
      </c>
      <c r="E257" s="1" t="s">
        <v>66</v>
      </c>
      <c r="F257" s="1">
        <v>8266</v>
      </c>
      <c r="G257" s="10">
        <f t="shared" si="3"/>
        <v>8.266</v>
      </c>
    </row>
    <row r="258" spans="1:7" x14ac:dyDescent="0.25">
      <c r="A258" s="1">
        <v>2023</v>
      </c>
      <c r="B258" s="1">
        <v>2</v>
      </c>
      <c r="C258" s="1">
        <v>11</v>
      </c>
      <c r="D258" s="1"/>
      <c r="E258" s="1" t="s">
        <v>66</v>
      </c>
      <c r="F258" s="1">
        <v>29128</v>
      </c>
      <c r="G258" s="10">
        <f t="shared" si="3"/>
        <v>29.128</v>
      </c>
    </row>
    <row r="259" spans="1:7" x14ac:dyDescent="0.25">
      <c r="A259" s="1">
        <v>2023</v>
      </c>
      <c r="B259" s="1">
        <v>2</v>
      </c>
      <c r="C259" s="1">
        <v>13</v>
      </c>
      <c r="D259" s="1" t="s">
        <v>12</v>
      </c>
      <c r="E259" s="1" t="s">
        <v>66</v>
      </c>
      <c r="F259" s="1">
        <v>13549</v>
      </c>
      <c r="G259" s="10">
        <f t="shared" ref="G259:G322" si="4">F259/1000</f>
        <v>13.548999999999999</v>
      </c>
    </row>
    <row r="260" spans="1:7" x14ac:dyDescent="0.25">
      <c r="A260" s="1">
        <v>2023</v>
      </c>
      <c r="B260" s="1">
        <v>2</v>
      </c>
      <c r="C260" s="1">
        <v>17</v>
      </c>
      <c r="D260" s="1" t="s">
        <v>12</v>
      </c>
      <c r="E260" s="1" t="s">
        <v>66</v>
      </c>
      <c r="F260" s="1">
        <v>18991</v>
      </c>
      <c r="G260" s="10">
        <f t="shared" si="4"/>
        <v>18.991</v>
      </c>
    </row>
    <row r="261" spans="1:7" x14ac:dyDescent="0.25">
      <c r="A261" s="1">
        <v>2023</v>
      </c>
      <c r="B261" s="1">
        <v>2</v>
      </c>
      <c r="C261" s="1">
        <v>18</v>
      </c>
      <c r="D261" s="1" t="s">
        <v>24</v>
      </c>
      <c r="E261" s="1" t="s">
        <v>66</v>
      </c>
      <c r="F261" s="1">
        <v>67875</v>
      </c>
      <c r="G261" s="10">
        <f t="shared" si="4"/>
        <v>67.875</v>
      </c>
    </row>
    <row r="262" spans="1:7" x14ac:dyDescent="0.25">
      <c r="A262" s="1">
        <v>2023</v>
      </c>
      <c r="B262" s="1">
        <v>2</v>
      </c>
      <c r="C262" s="1">
        <v>18</v>
      </c>
      <c r="D262" s="1" t="s">
        <v>36</v>
      </c>
      <c r="E262" s="1" t="s">
        <v>66</v>
      </c>
      <c r="F262" s="1">
        <v>16661</v>
      </c>
      <c r="G262" s="10">
        <f t="shared" si="4"/>
        <v>16.661000000000001</v>
      </c>
    </row>
    <row r="263" spans="1:7" x14ac:dyDescent="0.25">
      <c r="A263" s="1">
        <v>2023</v>
      </c>
      <c r="B263" s="1">
        <v>2</v>
      </c>
      <c r="C263" s="1">
        <v>20</v>
      </c>
      <c r="D263" s="1" t="s">
        <v>12</v>
      </c>
      <c r="E263" s="1" t="s">
        <v>66</v>
      </c>
      <c r="F263" s="1">
        <v>18998</v>
      </c>
      <c r="G263" s="10">
        <f t="shared" si="4"/>
        <v>18.998000000000001</v>
      </c>
    </row>
    <row r="264" spans="1:7" x14ac:dyDescent="0.25">
      <c r="A264" s="1">
        <v>2023</v>
      </c>
      <c r="B264" s="1">
        <v>2</v>
      </c>
      <c r="C264" s="1">
        <v>25</v>
      </c>
      <c r="D264" s="1" t="s">
        <v>12</v>
      </c>
      <c r="E264" s="1" t="s">
        <v>66</v>
      </c>
      <c r="F264" s="1">
        <v>18991</v>
      </c>
      <c r="G264" s="10">
        <f t="shared" si="4"/>
        <v>18.991</v>
      </c>
    </row>
    <row r="265" spans="1:7" x14ac:dyDescent="0.25">
      <c r="A265" s="1">
        <v>2023</v>
      </c>
      <c r="B265" s="1">
        <v>2</v>
      </c>
      <c r="C265" s="1">
        <v>27</v>
      </c>
      <c r="D265" s="1" t="s">
        <v>12</v>
      </c>
      <c r="E265" s="1" t="s">
        <v>66</v>
      </c>
      <c r="F265" s="1">
        <v>8276</v>
      </c>
      <c r="G265" s="10">
        <f t="shared" si="4"/>
        <v>8.2759999999999998</v>
      </c>
    </row>
    <row r="266" spans="1:7" x14ac:dyDescent="0.25">
      <c r="A266" s="1">
        <v>2023</v>
      </c>
      <c r="B266" s="1">
        <v>3</v>
      </c>
      <c r="C266" s="1">
        <v>1</v>
      </c>
      <c r="D266" s="1" t="s">
        <v>12</v>
      </c>
      <c r="E266" s="1" t="s">
        <v>66</v>
      </c>
      <c r="F266" s="1">
        <v>18991</v>
      </c>
      <c r="G266" s="10">
        <f t="shared" si="4"/>
        <v>18.991</v>
      </c>
    </row>
    <row r="267" spans="1:7" x14ac:dyDescent="0.25">
      <c r="A267" s="1">
        <v>2023</v>
      </c>
      <c r="B267" s="1">
        <v>3</v>
      </c>
      <c r="C267" s="1">
        <v>1</v>
      </c>
      <c r="D267" s="1" t="s">
        <v>36</v>
      </c>
      <c r="E267" s="1" t="s">
        <v>66</v>
      </c>
      <c r="F267" s="1">
        <v>23960</v>
      </c>
      <c r="G267" s="10">
        <f t="shared" si="4"/>
        <v>23.96</v>
      </c>
    </row>
    <row r="268" spans="1:7" x14ac:dyDescent="0.25">
      <c r="A268" s="1">
        <v>2023</v>
      </c>
      <c r="B268" s="1">
        <v>3</v>
      </c>
      <c r="C268" s="1">
        <v>4</v>
      </c>
      <c r="D268" s="1" t="s">
        <v>5</v>
      </c>
      <c r="E268" s="1" t="s">
        <v>66</v>
      </c>
      <c r="F268" s="1">
        <v>72669</v>
      </c>
      <c r="G268" s="10">
        <f t="shared" si="4"/>
        <v>72.668999999999997</v>
      </c>
    </row>
    <row r="269" spans="1:7" x14ac:dyDescent="0.25">
      <c r="A269" s="1">
        <v>2023</v>
      </c>
      <c r="B269" s="1">
        <v>3</v>
      </c>
      <c r="C269" s="1">
        <v>5</v>
      </c>
      <c r="D269" s="1" t="s">
        <v>12</v>
      </c>
      <c r="E269" s="1" t="s">
        <v>66</v>
      </c>
      <c r="F269" s="1">
        <v>16722</v>
      </c>
      <c r="G269" s="10">
        <f t="shared" si="4"/>
        <v>16.722000000000001</v>
      </c>
    </row>
    <row r="270" spans="1:7" x14ac:dyDescent="0.25">
      <c r="A270" s="1">
        <v>2023</v>
      </c>
      <c r="B270" s="1">
        <v>3</v>
      </c>
      <c r="C270" s="1">
        <v>7</v>
      </c>
      <c r="D270" s="1" t="s">
        <v>12</v>
      </c>
      <c r="E270" s="1" t="s">
        <v>66</v>
      </c>
      <c r="F270" s="1">
        <v>16933</v>
      </c>
      <c r="G270" s="10">
        <f t="shared" si="4"/>
        <v>16.933</v>
      </c>
    </row>
    <row r="271" spans="1:7" x14ac:dyDescent="0.25">
      <c r="A271" s="1">
        <v>2023</v>
      </c>
      <c r="B271" s="1">
        <v>3</v>
      </c>
      <c r="C271" s="1">
        <v>9</v>
      </c>
      <c r="D271" s="1" t="s">
        <v>31</v>
      </c>
      <c r="E271" s="1" t="s">
        <v>66</v>
      </c>
      <c r="F271" s="1">
        <v>66502</v>
      </c>
      <c r="G271" s="10">
        <f t="shared" si="4"/>
        <v>66.501999999999995</v>
      </c>
    </row>
    <row r="272" spans="1:7" x14ac:dyDescent="0.25">
      <c r="A272" s="1">
        <v>2023</v>
      </c>
      <c r="B272" s="1">
        <v>3</v>
      </c>
      <c r="C272" s="1">
        <v>12</v>
      </c>
      <c r="D272" s="1" t="s">
        <v>20</v>
      </c>
      <c r="E272" s="1" t="s">
        <v>66</v>
      </c>
      <c r="F272" s="1">
        <v>8992</v>
      </c>
      <c r="G272" s="10">
        <f t="shared" si="4"/>
        <v>8.9920000000000009</v>
      </c>
    </row>
    <row r="273" spans="1:7" x14ac:dyDescent="0.25">
      <c r="A273" s="1">
        <v>2023</v>
      </c>
      <c r="B273" s="1">
        <v>3</v>
      </c>
      <c r="C273" s="1">
        <v>12</v>
      </c>
      <c r="D273" s="1" t="s">
        <v>31</v>
      </c>
      <c r="E273" s="1" t="s">
        <v>66</v>
      </c>
      <c r="F273" s="1">
        <v>19000</v>
      </c>
      <c r="G273" s="10">
        <f t="shared" si="4"/>
        <v>19</v>
      </c>
    </row>
    <row r="274" spans="1:7" x14ac:dyDescent="0.25">
      <c r="A274" s="1">
        <v>2023</v>
      </c>
      <c r="B274" s="1">
        <v>3</v>
      </c>
      <c r="C274" s="1">
        <v>12</v>
      </c>
      <c r="D274" s="1" t="s">
        <v>10</v>
      </c>
      <c r="E274" s="1" t="s">
        <v>66</v>
      </c>
      <c r="F274" s="1">
        <v>8288</v>
      </c>
      <c r="G274" s="10">
        <f t="shared" si="4"/>
        <v>8.2880000000000003</v>
      </c>
    </row>
    <row r="275" spans="1:7" x14ac:dyDescent="0.25">
      <c r="A275" s="1">
        <v>2023</v>
      </c>
      <c r="B275" s="1">
        <v>3</v>
      </c>
      <c r="C275" s="1">
        <v>15</v>
      </c>
      <c r="D275" s="1" t="s">
        <v>22</v>
      </c>
      <c r="E275" s="1" t="s">
        <v>66</v>
      </c>
      <c r="F275" s="1">
        <v>35136</v>
      </c>
      <c r="G275" s="10">
        <f t="shared" si="4"/>
        <v>35.136000000000003</v>
      </c>
    </row>
    <row r="276" spans="1:7" x14ac:dyDescent="0.25">
      <c r="A276" s="1">
        <v>2023</v>
      </c>
      <c r="B276" s="1">
        <v>3</v>
      </c>
      <c r="C276" s="1">
        <v>15</v>
      </c>
      <c r="D276" s="1" t="s">
        <v>12</v>
      </c>
      <c r="E276" s="1" t="s">
        <v>66</v>
      </c>
      <c r="F276" s="1">
        <v>18991</v>
      </c>
      <c r="G276" s="10">
        <f t="shared" si="4"/>
        <v>18.991</v>
      </c>
    </row>
    <row r="277" spans="1:7" x14ac:dyDescent="0.25">
      <c r="A277" s="1">
        <v>2023</v>
      </c>
      <c r="B277" s="1">
        <v>3</v>
      </c>
      <c r="C277" s="1">
        <v>15</v>
      </c>
      <c r="D277" s="1" t="s">
        <v>10</v>
      </c>
      <c r="E277" s="1" t="s">
        <v>66</v>
      </c>
      <c r="F277" s="1">
        <v>35136</v>
      </c>
      <c r="G277" s="10">
        <f t="shared" si="4"/>
        <v>35.136000000000003</v>
      </c>
    </row>
    <row r="278" spans="1:7" x14ac:dyDescent="0.25">
      <c r="A278" s="1">
        <v>2023</v>
      </c>
      <c r="B278" s="1">
        <v>3</v>
      </c>
      <c r="C278" s="1">
        <v>16</v>
      </c>
      <c r="D278" s="1" t="s">
        <v>24</v>
      </c>
      <c r="E278" s="1" t="s">
        <v>66</v>
      </c>
      <c r="F278" s="1">
        <v>36368</v>
      </c>
      <c r="G278" s="10">
        <f t="shared" si="4"/>
        <v>36.368000000000002</v>
      </c>
    </row>
    <row r="279" spans="1:7" x14ac:dyDescent="0.25">
      <c r="A279" s="1">
        <v>2023</v>
      </c>
      <c r="B279" s="1">
        <v>3</v>
      </c>
      <c r="C279" s="1">
        <v>16</v>
      </c>
      <c r="D279" s="1" t="s">
        <v>14</v>
      </c>
      <c r="E279" s="1" t="s">
        <v>66</v>
      </c>
      <c r="F279" s="1">
        <v>21215</v>
      </c>
      <c r="G279" s="10">
        <f t="shared" si="4"/>
        <v>21.215</v>
      </c>
    </row>
    <row r="280" spans="1:7" x14ac:dyDescent="0.25">
      <c r="A280" s="1">
        <v>2023</v>
      </c>
      <c r="B280" s="1">
        <v>3</v>
      </c>
      <c r="C280" s="1">
        <v>16</v>
      </c>
      <c r="D280" s="1" t="s">
        <v>14</v>
      </c>
      <c r="E280" s="1" t="s">
        <v>66</v>
      </c>
      <c r="F280" s="1">
        <v>21791</v>
      </c>
      <c r="G280" s="10">
        <f t="shared" si="4"/>
        <v>21.791</v>
      </c>
    </row>
    <row r="281" spans="1:7" x14ac:dyDescent="0.25">
      <c r="A281" s="1">
        <v>2023</v>
      </c>
      <c r="B281" s="1">
        <v>3</v>
      </c>
      <c r="C281" s="1">
        <v>18</v>
      </c>
      <c r="D281" s="1" t="s">
        <v>22</v>
      </c>
      <c r="E281" s="1" t="s">
        <v>66</v>
      </c>
      <c r="F281" s="1">
        <v>15984</v>
      </c>
      <c r="G281" s="10">
        <f t="shared" si="4"/>
        <v>15.984</v>
      </c>
    </row>
    <row r="282" spans="1:7" x14ac:dyDescent="0.25">
      <c r="A282" s="1">
        <v>2023</v>
      </c>
      <c r="B282" s="1">
        <v>3</v>
      </c>
      <c r="C282" s="1">
        <v>20</v>
      </c>
      <c r="D282" s="1" t="s">
        <v>12</v>
      </c>
      <c r="E282" s="1" t="s">
        <v>66</v>
      </c>
      <c r="F282" s="1">
        <v>7053</v>
      </c>
      <c r="G282" s="10">
        <f t="shared" si="4"/>
        <v>7.0529999999999999</v>
      </c>
    </row>
    <row r="283" spans="1:7" x14ac:dyDescent="0.25">
      <c r="A283" s="1">
        <v>2023</v>
      </c>
      <c r="B283" s="1">
        <v>3</v>
      </c>
      <c r="C283" s="1">
        <v>20</v>
      </c>
      <c r="D283" s="1" t="s">
        <v>12</v>
      </c>
      <c r="E283" s="1" t="s">
        <v>66</v>
      </c>
      <c r="F283" s="1">
        <v>5554</v>
      </c>
      <c r="G283" s="10">
        <f t="shared" si="4"/>
        <v>5.5540000000000003</v>
      </c>
    </row>
    <row r="284" spans="1:7" x14ac:dyDescent="0.25">
      <c r="A284" s="1">
        <v>2023</v>
      </c>
      <c r="B284" s="1">
        <v>3</v>
      </c>
      <c r="C284" s="1">
        <v>20</v>
      </c>
      <c r="D284" s="1" t="s">
        <v>12</v>
      </c>
      <c r="E284" s="1" t="s">
        <v>66</v>
      </c>
      <c r="F284" s="1">
        <v>16722</v>
      </c>
      <c r="G284" s="10">
        <f t="shared" si="4"/>
        <v>16.722000000000001</v>
      </c>
    </row>
    <row r="285" spans="1:7" x14ac:dyDescent="0.25">
      <c r="A285" s="1">
        <v>2023</v>
      </c>
      <c r="B285" s="1">
        <v>3</v>
      </c>
      <c r="C285" s="1">
        <v>20</v>
      </c>
      <c r="D285" s="1" t="s">
        <v>12</v>
      </c>
      <c r="E285" s="1" t="s">
        <v>66</v>
      </c>
      <c r="F285" s="1">
        <v>4054</v>
      </c>
      <c r="G285" s="10">
        <f t="shared" si="4"/>
        <v>4.0540000000000003</v>
      </c>
    </row>
    <row r="286" spans="1:7" x14ac:dyDescent="0.25">
      <c r="A286" s="1">
        <v>2023</v>
      </c>
      <c r="B286" s="1">
        <v>3</v>
      </c>
      <c r="C286" s="1">
        <v>23</v>
      </c>
      <c r="D286" s="1" t="s">
        <v>3</v>
      </c>
      <c r="E286" s="1" t="s">
        <v>66</v>
      </c>
      <c r="F286" s="1">
        <v>18095</v>
      </c>
      <c r="G286" s="10">
        <f t="shared" si="4"/>
        <v>18.094999999999999</v>
      </c>
    </row>
    <row r="287" spans="1:7" x14ac:dyDescent="0.25">
      <c r="A287" s="1">
        <v>2023</v>
      </c>
      <c r="B287" s="1">
        <v>3</v>
      </c>
      <c r="C287" s="1">
        <v>23</v>
      </c>
      <c r="D287" s="1" t="s">
        <v>3</v>
      </c>
      <c r="E287" s="1" t="s">
        <v>66</v>
      </c>
      <c r="F287" s="1">
        <v>11480</v>
      </c>
      <c r="G287" s="10">
        <f t="shared" si="4"/>
        <v>11.48</v>
      </c>
    </row>
    <row r="288" spans="1:7" x14ac:dyDescent="0.25">
      <c r="A288" s="1">
        <v>2023</v>
      </c>
      <c r="B288" s="1">
        <v>3</v>
      </c>
      <c r="C288" s="1">
        <v>23</v>
      </c>
      <c r="D288" s="1" t="s">
        <v>3</v>
      </c>
      <c r="E288" s="1" t="s">
        <v>66</v>
      </c>
      <c r="F288" s="1">
        <v>18095</v>
      </c>
      <c r="G288" s="10">
        <f t="shared" si="4"/>
        <v>18.094999999999999</v>
      </c>
    </row>
    <row r="289" spans="1:7" x14ac:dyDescent="0.25">
      <c r="A289" s="1">
        <v>2023</v>
      </c>
      <c r="B289" s="1">
        <v>3</v>
      </c>
      <c r="C289" s="1">
        <v>23</v>
      </c>
      <c r="D289" s="1" t="s">
        <v>3</v>
      </c>
      <c r="E289" s="1" t="s">
        <v>66</v>
      </c>
      <c r="F289" s="1">
        <v>9510</v>
      </c>
      <c r="G289" s="10">
        <f t="shared" si="4"/>
        <v>9.51</v>
      </c>
    </row>
    <row r="290" spans="1:7" x14ac:dyDescent="0.25">
      <c r="A290" s="1">
        <v>2023</v>
      </c>
      <c r="B290" s="1">
        <v>3</v>
      </c>
      <c r="C290" s="1">
        <v>23</v>
      </c>
      <c r="D290" s="1" t="s">
        <v>3</v>
      </c>
      <c r="E290" s="1" t="s">
        <v>66</v>
      </c>
      <c r="F290" s="1">
        <v>8585</v>
      </c>
      <c r="G290" s="10">
        <f t="shared" si="4"/>
        <v>8.5850000000000009</v>
      </c>
    </row>
    <row r="291" spans="1:7" x14ac:dyDescent="0.25">
      <c r="A291" s="1">
        <v>2023</v>
      </c>
      <c r="B291" s="1">
        <v>3</v>
      </c>
      <c r="C291" s="1">
        <v>23</v>
      </c>
      <c r="D291" s="1" t="s">
        <v>12</v>
      </c>
      <c r="E291" s="1" t="s">
        <v>66</v>
      </c>
      <c r="F291" s="1">
        <v>16707</v>
      </c>
      <c r="G291" s="10">
        <f t="shared" si="4"/>
        <v>16.707000000000001</v>
      </c>
    </row>
    <row r="292" spans="1:7" x14ac:dyDescent="0.25">
      <c r="A292" s="1">
        <v>2023</v>
      </c>
      <c r="B292" s="1">
        <v>3</v>
      </c>
      <c r="C292" s="1">
        <v>23</v>
      </c>
      <c r="D292" s="1" t="s">
        <v>31</v>
      </c>
      <c r="E292" s="1" t="s">
        <v>66</v>
      </c>
      <c r="F292" s="1">
        <v>75498</v>
      </c>
      <c r="G292" s="10">
        <f t="shared" si="4"/>
        <v>75.498000000000005</v>
      </c>
    </row>
    <row r="293" spans="1:7" x14ac:dyDescent="0.25">
      <c r="A293" s="1">
        <v>2023</v>
      </c>
      <c r="B293" s="1">
        <v>3</v>
      </c>
      <c r="C293" s="1">
        <v>26</v>
      </c>
      <c r="D293" s="1" t="s">
        <v>12</v>
      </c>
      <c r="E293" s="1" t="s">
        <v>66</v>
      </c>
      <c r="F293" s="1">
        <v>8375</v>
      </c>
      <c r="G293" s="10">
        <f t="shared" si="4"/>
        <v>8.375</v>
      </c>
    </row>
    <row r="294" spans="1:7" x14ac:dyDescent="0.25">
      <c r="A294" s="1">
        <v>2023</v>
      </c>
      <c r="B294" s="1">
        <v>3</v>
      </c>
      <c r="C294" s="1">
        <v>26</v>
      </c>
      <c r="D294" s="1" t="s">
        <v>12</v>
      </c>
      <c r="E294" s="1" t="s">
        <v>66</v>
      </c>
      <c r="F294" s="1">
        <v>10616</v>
      </c>
      <c r="G294" s="10">
        <f t="shared" si="4"/>
        <v>10.616</v>
      </c>
    </row>
    <row r="295" spans="1:7" x14ac:dyDescent="0.25">
      <c r="A295" s="1">
        <v>2023</v>
      </c>
      <c r="B295" s="1">
        <v>3</v>
      </c>
      <c r="C295" s="1">
        <v>27</v>
      </c>
      <c r="D295" s="1" t="s">
        <v>12</v>
      </c>
      <c r="E295" s="1" t="s">
        <v>84</v>
      </c>
      <c r="F295" s="1">
        <v>16553</v>
      </c>
      <c r="G295" s="10">
        <f t="shared" si="4"/>
        <v>16.553000000000001</v>
      </c>
    </row>
    <row r="296" spans="1:7" x14ac:dyDescent="0.25">
      <c r="A296" s="1">
        <v>2023</v>
      </c>
      <c r="B296" s="1">
        <v>3</v>
      </c>
      <c r="C296" s="1">
        <v>31</v>
      </c>
      <c r="D296" s="1" t="s">
        <v>28</v>
      </c>
      <c r="E296" s="1" t="s">
        <v>84</v>
      </c>
      <c r="F296" s="1">
        <v>28458</v>
      </c>
      <c r="G296" s="10">
        <f t="shared" si="4"/>
        <v>28.457999999999998</v>
      </c>
    </row>
    <row r="297" spans="1:7" x14ac:dyDescent="0.25">
      <c r="A297" s="1">
        <v>2023</v>
      </c>
      <c r="B297" s="1">
        <v>3</v>
      </c>
      <c r="C297" s="1">
        <v>31</v>
      </c>
      <c r="D297" s="1" t="s">
        <v>10</v>
      </c>
      <c r="E297" s="1" t="s">
        <v>66</v>
      </c>
      <c r="F297" s="1">
        <v>46887</v>
      </c>
      <c r="G297" s="10">
        <f t="shared" si="4"/>
        <v>46.887</v>
      </c>
    </row>
    <row r="298" spans="1:7" x14ac:dyDescent="0.25">
      <c r="A298" s="1">
        <v>2023</v>
      </c>
      <c r="B298" s="1">
        <v>4</v>
      </c>
      <c r="C298" s="1">
        <v>2</v>
      </c>
      <c r="D298" s="1" t="s">
        <v>12</v>
      </c>
      <c r="E298" s="1" t="s">
        <v>66</v>
      </c>
      <c r="F298" s="1">
        <v>5273</v>
      </c>
      <c r="G298" s="10">
        <f t="shared" si="4"/>
        <v>5.2729999999999997</v>
      </c>
    </row>
    <row r="299" spans="1:7" x14ac:dyDescent="0.25">
      <c r="A299" s="1">
        <v>2023</v>
      </c>
      <c r="B299" s="1">
        <v>4</v>
      </c>
      <c r="C299" s="1">
        <v>2</v>
      </c>
      <c r="D299" s="1" t="s">
        <v>12</v>
      </c>
      <c r="E299" s="1" t="s">
        <v>66</v>
      </c>
      <c r="F299" s="1">
        <v>11274</v>
      </c>
      <c r="G299" s="10">
        <f t="shared" si="4"/>
        <v>11.273999999999999</v>
      </c>
    </row>
    <row r="300" spans="1:7" x14ac:dyDescent="0.25">
      <c r="A300" s="1">
        <v>2023</v>
      </c>
      <c r="B300" s="1">
        <v>4</v>
      </c>
      <c r="C300" s="1">
        <v>5</v>
      </c>
      <c r="D300" s="1" t="s">
        <v>22</v>
      </c>
      <c r="E300" s="1" t="s">
        <v>66</v>
      </c>
      <c r="F300" s="1">
        <v>3927</v>
      </c>
      <c r="G300" s="10">
        <f t="shared" si="4"/>
        <v>3.927</v>
      </c>
    </row>
    <row r="301" spans="1:7" x14ac:dyDescent="0.25">
      <c r="A301" s="1">
        <v>2023</v>
      </c>
      <c r="B301" s="1">
        <v>4</v>
      </c>
      <c r="C301" s="1">
        <v>5</v>
      </c>
      <c r="D301" s="1" t="s">
        <v>22</v>
      </c>
      <c r="E301" s="1" t="s">
        <v>66</v>
      </c>
      <c r="F301" s="1">
        <v>46136</v>
      </c>
      <c r="G301" s="10">
        <f t="shared" si="4"/>
        <v>46.136000000000003</v>
      </c>
    </row>
    <row r="302" spans="1:7" x14ac:dyDescent="0.25">
      <c r="A302" s="1">
        <v>2023</v>
      </c>
      <c r="B302" s="1">
        <v>4</v>
      </c>
      <c r="C302" s="1">
        <v>7</v>
      </c>
      <c r="D302" s="1" t="s">
        <v>12</v>
      </c>
      <c r="E302" s="1" t="s">
        <v>66</v>
      </c>
      <c r="F302" s="1">
        <v>16707</v>
      </c>
      <c r="G302" s="10">
        <f t="shared" si="4"/>
        <v>16.707000000000001</v>
      </c>
    </row>
    <row r="303" spans="1:7" x14ac:dyDescent="0.25">
      <c r="A303" s="1">
        <v>2023</v>
      </c>
      <c r="B303" s="1">
        <v>4</v>
      </c>
      <c r="C303" s="1">
        <v>9</v>
      </c>
      <c r="D303" s="1" t="s">
        <v>12</v>
      </c>
      <c r="E303" s="1" t="s">
        <v>66</v>
      </c>
      <c r="F303" s="1">
        <v>16722</v>
      </c>
      <c r="G303" s="10">
        <f t="shared" si="4"/>
        <v>16.722000000000001</v>
      </c>
    </row>
    <row r="304" spans="1:7" x14ac:dyDescent="0.25">
      <c r="A304" s="1">
        <v>2023</v>
      </c>
      <c r="B304" s="1">
        <v>4</v>
      </c>
      <c r="C304" s="1">
        <v>9</v>
      </c>
      <c r="D304" s="1" t="s">
        <v>12</v>
      </c>
      <c r="E304" s="1" t="s">
        <v>66</v>
      </c>
      <c r="F304" s="1">
        <v>18998</v>
      </c>
      <c r="G304" s="10">
        <f t="shared" si="4"/>
        <v>18.998000000000001</v>
      </c>
    </row>
    <row r="305" spans="1:7" x14ac:dyDescent="0.25">
      <c r="A305" s="1">
        <v>2023</v>
      </c>
      <c r="B305" s="1">
        <v>4</v>
      </c>
      <c r="C305" s="1">
        <v>13</v>
      </c>
      <c r="D305" s="1" t="s">
        <v>12</v>
      </c>
      <c r="E305" s="1" t="s">
        <v>66</v>
      </c>
      <c r="F305" s="1">
        <v>16562</v>
      </c>
      <c r="G305" s="10">
        <f t="shared" si="4"/>
        <v>16.562000000000001</v>
      </c>
    </row>
    <row r="306" spans="1:7" x14ac:dyDescent="0.25">
      <c r="A306" s="1">
        <v>2023</v>
      </c>
      <c r="B306" s="1">
        <v>4</v>
      </c>
      <c r="C306" s="1">
        <v>13</v>
      </c>
      <c r="D306" s="1" t="s">
        <v>14</v>
      </c>
      <c r="E306" s="1" t="s">
        <v>66</v>
      </c>
      <c r="F306" s="1">
        <v>43550</v>
      </c>
      <c r="G306" s="10">
        <f t="shared" si="4"/>
        <v>43.55</v>
      </c>
    </row>
    <row r="307" spans="1:7" x14ac:dyDescent="0.25">
      <c r="A307" s="1">
        <v>2023</v>
      </c>
      <c r="B307" s="1">
        <v>4</v>
      </c>
      <c r="C307" s="1">
        <v>15</v>
      </c>
      <c r="D307" s="1" t="s">
        <v>12</v>
      </c>
      <c r="E307" s="1" t="s">
        <v>66</v>
      </c>
      <c r="F307" s="1">
        <v>16707</v>
      </c>
      <c r="G307" s="10">
        <f t="shared" si="4"/>
        <v>16.707000000000001</v>
      </c>
    </row>
    <row r="308" spans="1:7" x14ac:dyDescent="0.25">
      <c r="A308" s="1">
        <v>2023</v>
      </c>
      <c r="B308" s="1">
        <v>4</v>
      </c>
      <c r="C308" s="1">
        <v>16</v>
      </c>
      <c r="D308" s="1" t="s">
        <v>5</v>
      </c>
      <c r="E308" s="1" t="s">
        <v>84</v>
      </c>
      <c r="F308" s="1">
        <v>23487</v>
      </c>
      <c r="G308" s="10">
        <f t="shared" si="4"/>
        <v>23.486999999999998</v>
      </c>
    </row>
    <row r="309" spans="1:7" x14ac:dyDescent="0.25">
      <c r="A309" s="1">
        <v>2023</v>
      </c>
      <c r="B309" s="1">
        <v>4</v>
      </c>
      <c r="C309" s="1">
        <v>16</v>
      </c>
      <c r="D309" s="1" t="s">
        <v>5</v>
      </c>
      <c r="E309" s="1" t="s">
        <v>66</v>
      </c>
      <c r="F309" s="1">
        <v>92345</v>
      </c>
      <c r="G309" s="10">
        <f t="shared" si="4"/>
        <v>92.344999999999999</v>
      </c>
    </row>
    <row r="310" spans="1:7" x14ac:dyDescent="0.25">
      <c r="A310" s="1">
        <v>2023</v>
      </c>
      <c r="B310" s="1">
        <v>4</v>
      </c>
      <c r="C310" s="1">
        <v>18</v>
      </c>
      <c r="D310" s="1" t="s">
        <v>94</v>
      </c>
      <c r="E310" s="1" t="s">
        <v>66</v>
      </c>
      <c r="F310" s="1">
        <v>13272</v>
      </c>
      <c r="G310" s="10">
        <f t="shared" si="4"/>
        <v>13.272</v>
      </c>
    </row>
    <row r="311" spans="1:7" x14ac:dyDescent="0.25">
      <c r="A311" s="1">
        <v>2023</v>
      </c>
      <c r="B311" s="1">
        <v>4</v>
      </c>
      <c r="C311" s="1">
        <v>19</v>
      </c>
      <c r="D311" s="1" t="s">
        <v>10</v>
      </c>
      <c r="E311" s="1" t="s">
        <v>66</v>
      </c>
      <c r="F311" s="1">
        <v>57263</v>
      </c>
      <c r="G311" s="10">
        <f t="shared" si="4"/>
        <v>57.262999999999998</v>
      </c>
    </row>
    <row r="312" spans="1:7" x14ac:dyDescent="0.25">
      <c r="A312" s="1">
        <v>2023</v>
      </c>
      <c r="B312" s="1">
        <v>4</v>
      </c>
      <c r="C312" s="1">
        <v>23</v>
      </c>
      <c r="D312" s="1" t="s">
        <v>3</v>
      </c>
      <c r="E312" s="1" t="s">
        <v>66</v>
      </c>
      <c r="F312" s="1">
        <v>15433</v>
      </c>
      <c r="G312" s="10">
        <f t="shared" si="4"/>
        <v>15.433</v>
      </c>
    </row>
    <row r="313" spans="1:7" x14ac:dyDescent="0.25">
      <c r="A313" s="1">
        <v>2023</v>
      </c>
      <c r="B313" s="1">
        <v>4</v>
      </c>
      <c r="C313" s="1">
        <v>23</v>
      </c>
      <c r="D313" s="1" t="s">
        <v>38</v>
      </c>
      <c r="E313" s="1" t="s">
        <v>66</v>
      </c>
      <c r="F313" s="1">
        <v>114631</v>
      </c>
      <c r="G313" s="10">
        <f t="shared" si="4"/>
        <v>114.631</v>
      </c>
    </row>
    <row r="314" spans="1:7" x14ac:dyDescent="0.25">
      <c r="A314" s="1">
        <v>2023</v>
      </c>
      <c r="B314" s="1">
        <v>4</v>
      </c>
      <c r="C314" s="1">
        <v>24</v>
      </c>
      <c r="D314" s="1" t="s">
        <v>24</v>
      </c>
      <c r="E314" s="1" t="s">
        <v>66</v>
      </c>
      <c r="F314" s="1">
        <v>8526</v>
      </c>
      <c r="G314" s="10">
        <f t="shared" si="4"/>
        <v>8.5259999999999998</v>
      </c>
    </row>
    <row r="315" spans="1:7" x14ac:dyDescent="0.25">
      <c r="A315" s="1">
        <v>2023</v>
      </c>
      <c r="B315" s="1">
        <v>4</v>
      </c>
      <c r="C315" s="1">
        <v>24</v>
      </c>
      <c r="D315" s="1" t="s">
        <v>28</v>
      </c>
      <c r="E315" s="1" t="s">
        <v>66</v>
      </c>
      <c r="F315" s="1">
        <v>8526</v>
      </c>
      <c r="G315" s="10">
        <f t="shared" si="4"/>
        <v>8.5259999999999998</v>
      </c>
    </row>
    <row r="316" spans="1:7" x14ac:dyDescent="0.25">
      <c r="A316" s="1">
        <v>2023</v>
      </c>
      <c r="B316" s="1">
        <v>4</v>
      </c>
      <c r="C316" s="1">
        <v>24</v>
      </c>
      <c r="D316" s="1" t="s">
        <v>12</v>
      </c>
      <c r="E316" s="1" t="s">
        <v>66</v>
      </c>
      <c r="F316" s="1">
        <v>14879</v>
      </c>
      <c r="G316" s="10">
        <f t="shared" si="4"/>
        <v>14.879</v>
      </c>
    </row>
    <row r="317" spans="1:7" x14ac:dyDescent="0.25">
      <c r="A317" s="1">
        <v>2023</v>
      </c>
      <c r="B317" s="1">
        <v>4</v>
      </c>
      <c r="C317" s="1">
        <v>24</v>
      </c>
      <c r="D317" s="1" t="s">
        <v>12</v>
      </c>
      <c r="E317" s="1" t="s">
        <v>66</v>
      </c>
      <c r="F317" s="1">
        <v>16707</v>
      </c>
      <c r="G317" s="10">
        <f t="shared" si="4"/>
        <v>16.707000000000001</v>
      </c>
    </row>
    <row r="318" spans="1:7" x14ac:dyDescent="0.25">
      <c r="A318" s="1">
        <v>2023</v>
      </c>
      <c r="B318" s="1">
        <v>4</v>
      </c>
      <c r="C318" s="1">
        <v>24</v>
      </c>
      <c r="D318" s="1" t="s">
        <v>31</v>
      </c>
      <c r="E318" s="1" t="s">
        <v>66</v>
      </c>
      <c r="F318" s="1">
        <v>46669</v>
      </c>
      <c r="G318" s="10">
        <f t="shared" si="4"/>
        <v>46.668999999999997</v>
      </c>
    </row>
    <row r="319" spans="1:7" x14ac:dyDescent="0.25">
      <c r="A319" s="1">
        <v>2023</v>
      </c>
      <c r="B319" s="1">
        <v>4</v>
      </c>
      <c r="C319" s="1">
        <v>29</v>
      </c>
      <c r="D319" s="1" t="s">
        <v>12</v>
      </c>
      <c r="E319" s="1" t="s">
        <v>66</v>
      </c>
      <c r="F319" s="1">
        <v>16722</v>
      </c>
      <c r="G319" s="10">
        <f t="shared" si="4"/>
        <v>16.722000000000001</v>
      </c>
    </row>
    <row r="320" spans="1:7" x14ac:dyDescent="0.25">
      <c r="A320" s="1">
        <v>2023</v>
      </c>
      <c r="B320" s="1">
        <v>5</v>
      </c>
      <c r="C320" s="1">
        <v>2</v>
      </c>
      <c r="D320" s="1" t="s">
        <v>12</v>
      </c>
      <c r="E320" s="1" t="s">
        <v>66</v>
      </c>
      <c r="F320" s="1">
        <v>17645</v>
      </c>
      <c r="G320" s="10">
        <f t="shared" si="4"/>
        <v>17.645</v>
      </c>
    </row>
    <row r="321" spans="1:7" x14ac:dyDescent="0.25">
      <c r="A321" s="1">
        <v>2023</v>
      </c>
      <c r="B321" s="1">
        <v>5</v>
      </c>
      <c r="C321" s="1">
        <v>4</v>
      </c>
      <c r="D321" s="1" t="s">
        <v>12</v>
      </c>
      <c r="E321" s="1" t="s">
        <v>66</v>
      </c>
      <c r="F321" s="1">
        <v>16707</v>
      </c>
      <c r="G321" s="10">
        <f t="shared" si="4"/>
        <v>16.707000000000001</v>
      </c>
    </row>
    <row r="322" spans="1:7" x14ac:dyDescent="0.25">
      <c r="A322" s="1">
        <v>2023</v>
      </c>
      <c r="B322" s="1">
        <v>5</v>
      </c>
      <c r="C322" s="1">
        <v>6</v>
      </c>
      <c r="D322" s="1" t="s">
        <v>5</v>
      </c>
      <c r="E322" s="1" t="s">
        <v>66</v>
      </c>
      <c r="F322" s="1">
        <v>6080</v>
      </c>
      <c r="G322" s="10">
        <f t="shared" si="4"/>
        <v>6.08</v>
      </c>
    </row>
    <row r="323" spans="1:7" x14ac:dyDescent="0.25">
      <c r="A323" s="1">
        <v>2023</v>
      </c>
      <c r="B323" s="1">
        <v>5</v>
      </c>
      <c r="C323" s="1">
        <v>12</v>
      </c>
      <c r="D323" s="1" t="s">
        <v>31</v>
      </c>
      <c r="E323" s="1" t="s">
        <v>66</v>
      </c>
      <c r="F323" s="1">
        <v>61284</v>
      </c>
      <c r="G323" s="10">
        <f t="shared" ref="G323:G386" si="5">F323/1000</f>
        <v>61.283999999999999</v>
      </c>
    </row>
    <row r="324" spans="1:7" x14ac:dyDescent="0.25">
      <c r="A324" s="1">
        <v>2023</v>
      </c>
      <c r="B324" s="1">
        <v>5</v>
      </c>
      <c r="C324" s="1">
        <v>12</v>
      </c>
      <c r="D324" s="1" t="s">
        <v>10</v>
      </c>
      <c r="E324" s="1" t="s">
        <v>66</v>
      </c>
      <c r="F324" s="1">
        <v>52643</v>
      </c>
      <c r="G324" s="10">
        <f t="shared" si="5"/>
        <v>52.643000000000001</v>
      </c>
    </row>
    <row r="325" spans="1:7" x14ac:dyDescent="0.25">
      <c r="A325" s="1">
        <v>2023</v>
      </c>
      <c r="B325" s="1">
        <v>5</v>
      </c>
      <c r="C325" s="1">
        <v>13</v>
      </c>
      <c r="D325" s="1" t="s">
        <v>20</v>
      </c>
      <c r="E325" s="1" t="s">
        <v>66</v>
      </c>
      <c r="F325" s="1">
        <v>2179</v>
      </c>
      <c r="G325" s="10">
        <f t="shared" si="5"/>
        <v>2.1789999999999998</v>
      </c>
    </row>
    <row r="326" spans="1:7" x14ac:dyDescent="0.25">
      <c r="A326" s="1">
        <v>2023</v>
      </c>
      <c r="B326" s="1">
        <v>5</v>
      </c>
      <c r="C326" s="1">
        <v>13</v>
      </c>
      <c r="D326" s="1" t="s">
        <v>20</v>
      </c>
      <c r="E326" s="1" t="s">
        <v>66</v>
      </c>
      <c r="F326" s="1">
        <v>7085</v>
      </c>
      <c r="G326" s="10">
        <f t="shared" si="5"/>
        <v>7.085</v>
      </c>
    </row>
    <row r="327" spans="1:7" x14ac:dyDescent="0.25">
      <c r="A327" s="1">
        <v>2023</v>
      </c>
      <c r="B327" s="1">
        <v>5</v>
      </c>
      <c r="C327" s="1">
        <v>16</v>
      </c>
      <c r="D327" s="1" t="s">
        <v>12</v>
      </c>
      <c r="E327" s="1" t="s">
        <v>84</v>
      </c>
      <c r="F327" s="1">
        <v>18991</v>
      </c>
      <c r="G327" s="10">
        <f t="shared" si="5"/>
        <v>18.991</v>
      </c>
    </row>
    <row r="328" spans="1:7" x14ac:dyDescent="0.25">
      <c r="A328" s="1">
        <v>2023</v>
      </c>
      <c r="B328" s="1">
        <v>5</v>
      </c>
      <c r="C328" s="1">
        <v>16</v>
      </c>
      <c r="D328" s="1" t="s">
        <v>12</v>
      </c>
      <c r="E328" s="1" t="s">
        <v>66</v>
      </c>
      <c r="F328" s="1">
        <v>16715</v>
      </c>
      <c r="G328" s="10">
        <f t="shared" si="5"/>
        <v>16.715</v>
      </c>
    </row>
    <row r="329" spans="1:7" x14ac:dyDescent="0.25">
      <c r="A329" s="1">
        <v>2023</v>
      </c>
      <c r="B329" s="1">
        <v>5</v>
      </c>
      <c r="C329" s="1">
        <v>17</v>
      </c>
      <c r="D329" s="1" t="s">
        <v>10</v>
      </c>
      <c r="E329" s="1" t="s">
        <v>66</v>
      </c>
      <c r="F329" s="1">
        <v>42073</v>
      </c>
      <c r="G329" s="10">
        <f t="shared" si="5"/>
        <v>42.073</v>
      </c>
    </row>
    <row r="330" spans="1:7" x14ac:dyDescent="0.25">
      <c r="A330" s="1">
        <v>2023</v>
      </c>
      <c r="B330" s="1">
        <v>5</v>
      </c>
      <c r="C330" s="1">
        <v>18</v>
      </c>
      <c r="D330" s="1" t="s">
        <v>12</v>
      </c>
      <c r="E330" s="1" t="s">
        <v>66</v>
      </c>
      <c r="F330" s="1">
        <v>15706</v>
      </c>
      <c r="G330" s="10">
        <f t="shared" si="5"/>
        <v>15.706</v>
      </c>
    </row>
    <row r="331" spans="1:7" x14ac:dyDescent="0.25">
      <c r="A331" s="1">
        <v>2023</v>
      </c>
      <c r="B331" s="1">
        <v>5</v>
      </c>
      <c r="C331" s="1">
        <v>20</v>
      </c>
      <c r="D331" s="1" t="s">
        <v>28</v>
      </c>
      <c r="E331" s="1" t="s">
        <v>66</v>
      </c>
      <c r="F331" s="1">
        <v>18542</v>
      </c>
      <c r="G331" s="10">
        <f t="shared" si="5"/>
        <v>18.542000000000002</v>
      </c>
    </row>
    <row r="332" spans="1:7" x14ac:dyDescent="0.25">
      <c r="A332" s="1">
        <v>2023</v>
      </c>
      <c r="B332" s="1">
        <v>5</v>
      </c>
      <c r="C332" s="1">
        <v>22</v>
      </c>
      <c r="D332" s="1" t="s">
        <v>12</v>
      </c>
      <c r="E332" s="1" t="s">
        <v>66</v>
      </c>
      <c r="F332" s="1">
        <v>16722</v>
      </c>
      <c r="G332" s="10">
        <f t="shared" si="5"/>
        <v>16.722000000000001</v>
      </c>
    </row>
    <row r="333" spans="1:7" x14ac:dyDescent="0.25">
      <c r="A333" s="1">
        <v>2023</v>
      </c>
      <c r="B333" s="1">
        <v>5</v>
      </c>
      <c r="C333" s="1">
        <v>23</v>
      </c>
      <c r="D333" s="1" t="s">
        <v>22</v>
      </c>
      <c r="E333" s="1" t="s">
        <v>66</v>
      </c>
      <c r="F333" s="1">
        <v>7297</v>
      </c>
      <c r="G333" s="10">
        <f t="shared" si="5"/>
        <v>7.2969999999999997</v>
      </c>
    </row>
    <row r="334" spans="1:7" x14ac:dyDescent="0.25">
      <c r="A334" s="1">
        <v>2023</v>
      </c>
      <c r="B334" s="1">
        <v>5</v>
      </c>
      <c r="C334" s="1">
        <v>23</v>
      </c>
      <c r="D334" s="1" t="s">
        <v>22</v>
      </c>
      <c r="E334" s="1" t="s">
        <v>66</v>
      </c>
      <c r="F334" s="1">
        <v>52743</v>
      </c>
      <c r="G334" s="10">
        <f t="shared" si="5"/>
        <v>52.743000000000002</v>
      </c>
    </row>
    <row r="335" spans="1:7" x14ac:dyDescent="0.25">
      <c r="A335" s="1">
        <v>2023</v>
      </c>
      <c r="B335" s="1">
        <v>5</v>
      </c>
      <c r="C335" s="1">
        <v>25</v>
      </c>
      <c r="D335" s="1" t="s">
        <v>12</v>
      </c>
      <c r="E335" s="1" t="s">
        <v>84</v>
      </c>
      <c r="F335" s="1">
        <v>1433</v>
      </c>
      <c r="G335" s="10">
        <f t="shared" si="5"/>
        <v>1.4330000000000001</v>
      </c>
    </row>
    <row r="336" spans="1:7" x14ac:dyDescent="0.25">
      <c r="A336" s="1">
        <v>2023</v>
      </c>
      <c r="B336" s="1">
        <v>5</v>
      </c>
      <c r="C336" s="1">
        <v>25</v>
      </c>
      <c r="D336" s="1" t="s">
        <v>53</v>
      </c>
      <c r="E336" s="1" t="s">
        <v>84</v>
      </c>
      <c r="F336" s="1">
        <v>3266</v>
      </c>
      <c r="G336" s="10">
        <f t="shared" si="5"/>
        <v>3.266</v>
      </c>
    </row>
    <row r="337" spans="1:7" x14ac:dyDescent="0.25">
      <c r="A337" s="1">
        <v>2023</v>
      </c>
      <c r="B337" s="1">
        <v>5</v>
      </c>
      <c r="C337" s="1">
        <v>28</v>
      </c>
      <c r="D337" s="1" t="s">
        <v>8</v>
      </c>
      <c r="E337" s="1" t="s">
        <v>66</v>
      </c>
      <c r="F337" s="1">
        <v>9647</v>
      </c>
      <c r="G337" s="10">
        <f t="shared" si="5"/>
        <v>9.6470000000000002</v>
      </c>
    </row>
    <row r="338" spans="1:7" x14ac:dyDescent="0.25">
      <c r="A338" s="1">
        <v>2023</v>
      </c>
      <c r="B338" s="1">
        <v>6</v>
      </c>
      <c r="C338" s="1">
        <v>6</v>
      </c>
      <c r="D338" s="1" t="s">
        <v>22</v>
      </c>
      <c r="E338" s="1" t="s">
        <v>66</v>
      </c>
      <c r="F338" s="1">
        <v>45146</v>
      </c>
      <c r="G338" s="10">
        <f t="shared" si="5"/>
        <v>45.146000000000001</v>
      </c>
    </row>
    <row r="339" spans="1:7" x14ac:dyDescent="0.25">
      <c r="A339" s="1">
        <v>2023</v>
      </c>
      <c r="B339" s="1">
        <v>6</v>
      </c>
      <c r="C339" s="1">
        <v>6</v>
      </c>
      <c r="D339" s="1" t="s">
        <v>22</v>
      </c>
      <c r="E339" s="1" t="s">
        <v>66</v>
      </c>
      <c r="F339" s="1">
        <v>7365</v>
      </c>
      <c r="G339" s="10">
        <f t="shared" si="5"/>
        <v>7.3650000000000002</v>
      </c>
    </row>
    <row r="340" spans="1:7" x14ac:dyDescent="0.25">
      <c r="A340" s="1">
        <v>2023</v>
      </c>
      <c r="B340" s="1">
        <v>6</v>
      </c>
      <c r="C340" s="1">
        <v>6</v>
      </c>
      <c r="D340" s="1" t="s">
        <v>87</v>
      </c>
      <c r="E340" s="1" t="s">
        <v>66</v>
      </c>
      <c r="F340" s="1">
        <v>27742</v>
      </c>
      <c r="G340" s="10">
        <f t="shared" si="5"/>
        <v>27.742000000000001</v>
      </c>
    </row>
    <row r="341" spans="1:7" x14ac:dyDescent="0.25">
      <c r="A341" s="1">
        <v>2023</v>
      </c>
      <c r="B341" s="1">
        <v>6</v>
      </c>
      <c r="C341" s="1">
        <v>12</v>
      </c>
      <c r="D341" s="1" t="s">
        <v>12</v>
      </c>
      <c r="E341" s="1" t="s">
        <v>66</v>
      </c>
      <c r="F341" s="1">
        <v>7943</v>
      </c>
      <c r="G341" s="10">
        <f t="shared" si="5"/>
        <v>7.9429999999999996</v>
      </c>
    </row>
    <row r="342" spans="1:7" x14ac:dyDescent="0.25">
      <c r="A342" s="1">
        <v>2023</v>
      </c>
      <c r="B342" s="1">
        <v>6</v>
      </c>
      <c r="C342" s="1">
        <v>13</v>
      </c>
      <c r="D342" s="1" t="s">
        <v>31</v>
      </c>
      <c r="E342" s="1" t="s">
        <v>66</v>
      </c>
      <c r="F342" s="1">
        <v>2991</v>
      </c>
      <c r="G342" s="10">
        <f t="shared" si="5"/>
        <v>2.9910000000000001</v>
      </c>
    </row>
    <row r="343" spans="1:7" x14ac:dyDescent="0.25">
      <c r="A343" s="1">
        <v>2023</v>
      </c>
      <c r="B343" s="1">
        <v>6</v>
      </c>
      <c r="C343" s="1">
        <v>15</v>
      </c>
      <c r="D343" s="1" t="s">
        <v>5</v>
      </c>
      <c r="E343" s="1" t="s">
        <v>66</v>
      </c>
      <c r="F343" s="1">
        <v>54092</v>
      </c>
      <c r="G343" s="10">
        <f t="shared" si="5"/>
        <v>54.091999999999999</v>
      </c>
    </row>
    <row r="344" spans="1:7" x14ac:dyDescent="0.25">
      <c r="A344" s="1">
        <v>2023</v>
      </c>
      <c r="B344" s="1">
        <v>6</v>
      </c>
      <c r="C344" s="1">
        <v>16</v>
      </c>
      <c r="D344" s="1" t="s">
        <v>5</v>
      </c>
      <c r="E344" s="1" t="s">
        <v>66</v>
      </c>
      <c r="F344" s="1">
        <v>53303</v>
      </c>
      <c r="G344" s="10">
        <f t="shared" si="5"/>
        <v>53.302999999999997</v>
      </c>
    </row>
    <row r="345" spans="1:7" x14ac:dyDescent="0.25">
      <c r="A345" s="1">
        <v>2023</v>
      </c>
      <c r="B345" s="1">
        <v>6</v>
      </c>
      <c r="C345" s="1">
        <v>18</v>
      </c>
      <c r="D345" s="1" t="s">
        <v>28</v>
      </c>
      <c r="E345" s="1" t="s">
        <v>66</v>
      </c>
      <c r="F345" s="1">
        <v>32502</v>
      </c>
      <c r="G345" s="10">
        <f t="shared" si="5"/>
        <v>32.502000000000002</v>
      </c>
    </row>
    <row r="346" spans="1:7" x14ac:dyDescent="0.25">
      <c r="A346" s="1">
        <v>2023</v>
      </c>
      <c r="B346" s="1">
        <v>6</v>
      </c>
      <c r="C346" s="1">
        <v>19</v>
      </c>
      <c r="D346" s="1" t="s">
        <v>54</v>
      </c>
      <c r="E346" s="1" t="s">
        <v>66</v>
      </c>
      <c r="F346" s="1">
        <v>4102</v>
      </c>
      <c r="G346" s="10">
        <f t="shared" si="5"/>
        <v>4.1020000000000003</v>
      </c>
    </row>
    <row r="347" spans="1:7" x14ac:dyDescent="0.25">
      <c r="A347" s="1">
        <v>2023</v>
      </c>
      <c r="B347" s="1">
        <v>6</v>
      </c>
      <c r="C347" s="1">
        <v>19</v>
      </c>
      <c r="D347" s="1" t="s">
        <v>54</v>
      </c>
      <c r="E347" s="1" t="s">
        <v>66</v>
      </c>
      <c r="F347" s="1">
        <v>9406</v>
      </c>
      <c r="G347" s="10">
        <f t="shared" si="5"/>
        <v>9.4060000000000006</v>
      </c>
    </row>
    <row r="348" spans="1:7" x14ac:dyDescent="0.25">
      <c r="A348" s="1">
        <v>2023</v>
      </c>
      <c r="B348" s="1">
        <v>6</v>
      </c>
      <c r="C348" s="1">
        <v>19</v>
      </c>
      <c r="D348" s="1" t="s">
        <v>54</v>
      </c>
      <c r="E348" s="1" t="s">
        <v>66</v>
      </c>
      <c r="F348" s="1">
        <v>9406</v>
      </c>
      <c r="G348" s="10">
        <f t="shared" si="5"/>
        <v>9.4060000000000006</v>
      </c>
    </row>
    <row r="349" spans="1:7" x14ac:dyDescent="0.25">
      <c r="A349" s="1">
        <v>2023</v>
      </c>
      <c r="B349" s="1">
        <v>6</v>
      </c>
      <c r="C349" s="1">
        <v>21</v>
      </c>
      <c r="D349" s="1" t="s">
        <v>54</v>
      </c>
      <c r="E349" s="1" t="s">
        <v>66</v>
      </c>
      <c r="F349" s="1">
        <v>2387</v>
      </c>
      <c r="G349" s="10">
        <f t="shared" si="5"/>
        <v>2.387</v>
      </c>
    </row>
    <row r="350" spans="1:7" x14ac:dyDescent="0.25">
      <c r="A350" s="1">
        <v>2023</v>
      </c>
      <c r="B350" s="1">
        <v>6</v>
      </c>
      <c r="C350" s="1">
        <v>21</v>
      </c>
      <c r="D350" s="1" t="s">
        <v>54</v>
      </c>
      <c r="E350" s="1" t="s">
        <v>66</v>
      </c>
      <c r="F350" s="1">
        <v>9481</v>
      </c>
      <c r="G350" s="10">
        <f t="shared" si="5"/>
        <v>9.4809999999999999</v>
      </c>
    </row>
    <row r="351" spans="1:7" x14ac:dyDescent="0.25">
      <c r="A351" s="1">
        <v>2023</v>
      </c>
      <c r="B351" s="1">
        <v>6</v>
      </c>
      <c r="C351" s="1">
        <v>21</v>
      </c>
      <c r="D351" s="1" t="s">
        <v>54</v>
      </c>
      <c r="E351" s="1" t="s">
        <v>66</v>
      </c>
      <c r="F351" s="1">
        <v>5473</v>
      </c>
      <c r="G351" s="10">
        <f t="shared" si="5"/>
        <v>5.4729999999999999</v>
      </c>
    </row>
    <row r="352" spans="1:7" x14ac:dyDescent="0.25">
      <c r="A352" s="1">
        <v>2023</v>
      </c>
      <c r="B352" s="1">
        <v>6</v>
      </c>
      <c r="C352" s="1">
        <v>23</v>
      </c>
      <c r="D352" s="1" t="s">
        <v>54</v>
      </c>
      <c r="E352" s="1" t="s">
        <v>66</v>
      </c>
      <c r="F352" s="1">
        <v>36796</v>
      </c>
      <c r="G352" s="10">
        <f t="shared" si="5"/>
        <v>36.795999999999999</v>
      </c>
    </row>
    <row r="353" spans="1:7" x14ac:dyDescent="0.25">
      <c r="A353" s="1">
        <v>2023</v>
      </c>
      <c r="B353" s="1">
        <v>6</v>
      </c>
      <c r="C353" s="1">
        <v>24</v>
      </c>
      <c r="D353" s="1" t="s">
        <v>12</v>
      </c>
      <c r="E353" s="1" t="s">
        <v>66</v>
      </c>
      <c r="F353" s="1">
        <v>18140</v>
      </c>
      <c r="G353" s="10">
        <f t="shared" si="5"/>
        <v>18.14</v>
      </c>
    </row>
    <row r="354" spans="1:7" x14ac:dyDescent="0.25">
      <c r="A354" s="1">
        <v>2023</v>
      </c>
      <c r="B354" s="1">
        <v>6</v>
      </c>
      <c r="C354" s="1">
        <v>29</v>
      </c>
      <c r="D354" s="1" t="s">
        <v>94</v>
      </c>
      <c r="E354" s="1" t="s">
        <v>66</v>
      </c>
      <c r="F354" s="1">
        <v>22551</v>
      </c>
      <c r="G354" s="10">
        <f t="shared" si="5"/>
        <v>22.550999999999998</v>
      </c>
    </row>
    <row r="355" spans="1:7" x14ac:dyDescent="0.25">
      <c r="A355" s="1">
        <v>2023</v>
      </c>
      <c r="B355" s="1">
        <v>7</v>
      </c>
      <c r="C355" s="1">
        <v>2</v>
      </c>
      <c r="D355" s="1" t="s">
        <v>20</v>
      </c>
      <c r="E355" s="1" t="s">
        <v>66</v>
      </c>
      <c r="F355" s="1">
        <v>7084</v>
      </c>
      <c r="G355" s="10">
        <f t="shared" si="5"/>
        <v>7.0839999999999996</v>
      </c>
    </row>
    <row r="356" spans="1:7" x14ac:dyDescent="0.25">
      <c r="A356" s="1">
        <v>2023</v>
      </c>
      <c r="B356" s="1">
        <v>7</v>
      </c>
      <c r="C356" s="1">
        <v>3</v>
      </c>
      <c r="D356" s="1" t="s">
        <v>12</v>
      </c>
      <c r="E356" s="1" t="s">
        <v>66</v>
      </c>
      <c r="F356" s="1">
        <v>18140</v>
      </c>
      <c r="G356" s="10">
        <f t="shared" si="5"/>
        <v>18.14</v>
      </c>
    </row>
    <row r="357" spans="1:7" x14ac:dyDescent="0.25">
      <c r="A357" s="1">
        <v>2023</v>
      </c>
      <c r="B357" s="1">
        <v>7</v>
      </c>
      <c r="C357" s="1">
        <v>6</v>
      </c>
      <c r="D357" s="1" t="s">
        <v>12</v>
      </c>
      <c r="E357" s="1" t="s">
        <v>66</v>
      </c>
      <c r="F357" s="1">
        <v>8666</v>
      </c>
      <c r="G357" s="10">
        <f t="shared" si="5"/>
        <v>8.6660000000000004</v>
      </c>
    </row>
    <row r="358" spans="1:7" x14ac:dyDescent="0.25">
      <c r="A358" s="1">
        <v>2023</v>
      </c>
      <c r="B358" s="1">
        <v>7</v>
      </c>
      <c r="C358" s="1">
        <v>8</v>
      </c>
      <c r="D358" s="1" t="s">
        <v>95</v>
      </c>
      <c r="E358" s="1" t="s">
        <v>66</v>
      </c>
      <c r="F358" s="1">
        <v>7871</v>
      </c>
      <c r="G358" s="10">
        <f t="shared" si="5"/>
        <v>7.8710000000000004</v>
      </c>
    </row>
    <row r="359" spans="1:7" x14ac:dyDescent="0.25">
      <c r="A359" s="1">
        <v>2023</v>
      </c>
      <c r="B359" s="1">
        <v>7</v>
      </c>
      <c r="C359" s="1">
        <v>9</v>
      </c>
      <c r="D359" s="1" t="s">
        <v>10</v>
      </c>
      <c r="E359" s="1" t="s">
        <v>66</v>
      </c>
      <c r="F359" s="1">
        <v>44697</v>
      </c>
      <c r="G359" s="10">
        <f t="shared" si="5"/>
        <v>44.697000000000003</v>
      </c>
    </row>
    <row r="360" spans="1:7" x14ac:dyDescent="0.25">
      <c r="A360" s="1">
        <v>2023</v>
      </c>
      <c r="B360" s="1">
        <v>7</v>
      </c>
      <c r="C360" s="1">
        <v>9</v>
      </c>
      <c r="D360" s="1" t="s">
        <v>10</v>
      </c>
      <c r="E360" s="1" t="s">
        <v>66</v>
      </c>
      <c r="F360" s="1">
        <v>62418</v>
      </c>
      <c r="G360" s="10">
        <f t="shared" si="5"/>
        <v>62.417999999999999</v>
      </c>
    </row>
    <row r="361" spans="1:7" x14ac:dyDescent="0.25">
      <c r="A361" s="1">
        <v>2023</v>
      </c>
      <c r="B361" s="1">
        <v>7</v>
      </c>
      <c r="C361" s="1">
        <v>12</v>
      </c>
      <c r="D361" s="1" t="s">
        <v>12</v>
      </c>
      <c r="E361" s="1" t="s">
        <v>66</v>
      </c>
      <c r="F361" s="1">
        <v>16715</v>
      </c>
      <c r="G361" s="10">
        <f t="shared" si="5"/>
        <v>16.715</v>
      </c>
    </row>
    <row r="362" spans="1:7" x14ac:dyDescent="0.25">
      <c r="A362" s="1">
        <v>2023</v>
      </c>
      <c r="B362" s="1">
        <v>7</v>
      </c>
      <c r="C362" s="1">
        <v>15</v>
      </c>
      <c r="D362" s="1" t="s">
        <v>10</v>
      </c>
      <c r="E362" s="1" t="s">
        <v>66</v>
      </c>
      <c r="F362" s="1">
        <v>18657</v>
      </c>
      <c r="G362" s="10">
        <f t="shared" si="5"/>
        <v>18.657</v>
      </c>
    </row>
    <row r="363" spans="1:7" x14ac:dyDescent="0.25">
      <c r="A363" s="1">
        <v>2023</v>
      </c>
      <c r="B363" s="1">
        <v>7</v>
      </c>
      <c r="C363" s="1">
        <v>16</v>
      </c>
      <c r="D363" s="1" t="s">
        <v>12</v>
      </c>
      <c r="E363" s="1" t="s">
        <v>66</v>
      </c>
      <c r="F363" s="1">
        <v>16722</v>
      </c>
      <c r="G363" s="10">
        <f t="shared" si="5"/>
        <v>16.722000000000001</v>
      </c>
    </row>
    <row r="364" spans="1:7" x14ac:dyDescent="0.25">
      <c r="A364" s="1">
        <v>2023</v>
      </c>
      <c r="B364" s="1">
        <v>7</v>
      </c>
      <c r="C364" s="1">
        <v>18</v>
      </c>
      <c r="D364" s="1" t="s">
        <v>5</v>
      </c>
      <c r="E364" s="1" t="s">
        <v>66</v>
      </c>
      <c r="F364" s="1">
        <v>38906</v>
      </c>
      <c r="G364" s="10">
        <f t="shared" si="5"/>
        <v>38.905999999999999</v>
      </c>
    </row>
    <row r="365" spans="1:7" x14ac:dyDescent="0.25">
      <c r="A365" s="1">
        <v>2023</v>
      </c>
      <c r="B365" s="1">
        <v>7</v>
      </c>
      <c r="C365" s="1">
        <v>18</v>
      </c>
      <c r="D365" s="1" t="s">
        <v>12</v>
      </c>
      <c r="E365" s="1" t="s">
        <v>66</v>
      </c>
      <c r="F365" s="1">
        <v>16661</v>
      </c>
      <c r="G365" s="10">
        <f t="shared" si="5"/>
        <v>16.661000000000001</v>
      </c>
    </row>
    <row r="366" spans="1:7" x14ac:dyDescent="0.25">
      <c r="A366" s="1">
        <v>2023</v>
      </c>
      <c r="B366" s="1">
        <v>7</v>
      </c>
      <c r="C366" s="1">
        <v>18</v>
      </c>
      <c r="D366" s="1" t="s">
        <v>38</v>
      </c>
      <c r="E366" s="1" t="s">
        <v>66</v>
      </c>
      <c r="F366" s="1">
        <v>53641</v>
      </c>
      <c r="G366" s="10">
        <f t="shared" si="5"/>
        <v>53.640999999999998</v>
      </c>
    </row>
    <row r="367" spans="1:7" x14ac:dyDescent="0.25">
      <c r="A367" s="1">
        <v>2023</v>
      </c>
      <c r="B367" s="1">
        <v>7</v>
      </c>
      <c r="C367" s="1">
        <v>20</v>
      </c>
      <c r="D367" s="1" t="s">
        <v>96</v>
      </c>
      <c r="E367" s="1" t="s">
        <v>66</v>
      </c>
      <c r="F367" s="1">
        <v>7785</v>
      </c>
      <c r="G367" s="10">
        <f t="shared" si="5"/>
        <v>7.7850000000000001</v>
      </c>
    </row>
    <row r="368" spans="1:7" x14ac:dyDescent="0.25">
      <c r="A368" s="1">
        <v>2023</v>
      </c>
      <c r="B368" s="1">
        <v>7</v>
      </c>
      <c r="C368" s="1">
        <v>20</v>
      </c>
      <c r="D368" s="1" t="s">
        <v>24</v>
      </c>
      <c r="E368" s="1" t="s">
        <v>66</v>
      </c>
      <c r="F368" s="1">
        <v>25568</v>
      </c>
      <c r="G368" s="10">
        <f t="shared" si="5"/>
        <v>25.568000000000001</v>
      </c>
    </row>
    <row r="369" spans="1:7" x14ac:dyDescent="0.25">
      <c r="A369" s="1">
        <v>2023</v>
      </c>
      <c r="B369" s="1">
        <v>7</v>
      </c>
      <c r="C369" s="1">
        <v>20</v>
      </c>
      <c r="D369" s="1" t="s">
        <v>24</v>
      </c>
      <c r="E369" s="1" t="s">
        <v>66</v>
      </c>
      <c r="F369" s="1">
        <v>35445</v>
      </c>
      <c r="G369" s="10">
        <f t="shared" si="5"/>
        <v>35.445</v>
      </c>
    </row>
    <row r="370" spans="1:7" x14ac:dyDescent="0.25">
      <c r="A370" s="1">
        <v>2023</v>
      </c>
      <c r="B370" s="1">
        <v>7</v>
      </c>
      <c r="C370" s="1">
        <v>20</v>
      </c>
      <c r="D370" s="1" t="s">
        <v>38</v>
      </c>
      <c r="E370" s="1" t="s">
        <v>66</v>
      </c>
      <c r="F370" s="1">
        <v>7785</v>
      </c>
      <c r="G370" s="10">
        <f t="shared" si="5"/>
        <v>7.7850000000000001</v>
      </c>
    </row>
    <row r="371" spans="1:7" x14ac:dyDescent="0.25">
      <c r="A371" s="1">
        <v>2023</v>
      </c>
      <c r="B371" s="1">
        <v>7</v>
      </c>
      <c r="C371" s="1">
        <v>22</v>
      </c>
      <c r="D371" s="1" t="s">
        <v>24</v>
      </c>
      <c r="E371" s="1" t="s">
        <v>66</v>
      </c>
      <c r="F371" s="1">
        <v>67144</v>
      </c>
      <c r="G371" s="10">
        <f t="shared" si="5"/>
        <v>67.144000000000005</v>
      </c>
    </row>
    <row r="372" spans="1:7" x14ac:dyDescent="0.25">
      <c r="A372" s="1">
        <v>2023</v>
      </c>
      <c r="B372" s="1">
        <v>7</v>
      </c>
      <c r="C372" s="1">
        <v>22</v>
      </c>
      <c r="D372" s="1" t="s">
        <v>31</v>
      </c>
      <c r="E372" s="1" t="s">
        <v>66</v>
      </c>
      <c r="F372" s="1">
        <v>29619</v>
      </c>
      <c r="G372" s="10">
        <f t="shared" si="5"/>
        <v>29.619</v>
      </c>
    </row>
    <row r="373" spans="1:7" x14ac:dyDescent="0.25">
      <c r="A373" s="1">
        <v>2023</v>
      </c>
      <c r="B373" s="1">
        <v>7</v>
      </c>
      <c r="C373" s="1">
        <v>26</v>
      </c>
      <c r="D373" s="1" t="s">
        <v>12</v>
      </c>
      <c r="E373" s="1" t="s">
        <v>66</v>
      </c>
      <c r="F373" s="1">
        <v>16675</v>
      </c>
      <c r="G373" s="10">
        <f t="shared" si="5"/>
        <v>16.675000000000001</v>
      </c>
    </row>
    <row r="374" spans="1:7" x14ac:dyDescent="0.25">
      <c r="A374" s="1">
        <v>2023</v>
      </c>
      <c r="B374" s="1">
        <v>7</v>
      </c>
      <c r="C374" s="1">
        <v>28</v>
      </c>
      <c r="D374" s="1" t="s">
        <v>54</v>
      </c>
      <c r="E374" s="1" t="s">
        <v>66</v>
      </c>
      <c r="F374" s="1">
        <v>13460</v>
      </c>
      <c r="G374" s="10">
        <f t="shared" si="5"/>
        <v>13.46</v>
      </c>
    </row>
    <row r="375" spans="1:7" x14ac:dyDescent="0.25">
      <c r="A375" s="1">
        <v>2023</v>
      </c>
      <c r="B375" s="1">
        <v>7</v>
      </c>
      <c r="C375" s="1">
        <v>28</v>
      </c>
      <c r="D375" s="1" t="s">
        <v>54</v>
      </c>
      <c r="E375" s="1" t="s">
        <v>66</v>
      </c>
      <c r="F375" s="1">
        <v>28135</v>
      </c>
      <c r="G375" s="10">
        <f t="shared" si="5"/>
        <v>28.135000000000002</v>
      </c>
    </row>
    <row r="376" spans="1:7" x14ac:dyDescent="0.25">
      <c r="A376" s="1">
        <v>2023</v>
      </c>
      <c r="B376" s="1">
        <v>7</v>
      </c>
      <c r="C376" s="1">
        <v>28</v>
      </c>
      <c r="D376" s="1" t="s">
        <v>28</v>
      </c>
      <c r="E376" s="1" t="s">
        <v>66</v>
      </c>
      <c r="F376" s="1">
        <v>10344</v>
      </c>
      <c r="G376" s="10">
        <f t="shared" si="5"/>
        <v>10.343999999999999</v>
      </c>
    </row>
    <row r="377" spans="1:7" x14ac:dyDescent="0.25">
      <c r="A377" s="1">
        <v>2023</v>
      </c>
      <c r="B377" s="1">
        <v>7</v>
      </c>
      <c r="C377" s="1">
        <v>30</v>
      </c>
      <c r="D377" s="1" t="s">
        <v>54</v>
      </c>
      <c r="E377" s="1" t="s">
        <v>66</v>
      </c>
      <c r="F377" s="1">
        <v>36907</v>
      </c>
      <c r="G377" s="10">
        <f t="shared" si="5"/>
        <v>36.906999999999996</v>
      </c>
    </row>
    <row r="378" spans="1:7" x14ac:dyDescent="0.25">
      <c r="A378" s="1">
        <v>2023</v>
      </c>
      <c r="B378" s="1">
        <v>7</v>
      </c>
      <c r="C378" s="1">
        <v>30</v>
      </c>
      <c r="D378" s="1" t="s">
        <v>12</v>
      </c>
      <c r="E378" s="1" t="s">
        <v>66</v>
      </c>
      <c r="F378" s="1">
        <v>18140</v>
      </c>
      <c r="G378" s="10">
        <f t="shared" si="5"/>
        <v>18.14</v>
      </c>
    </row>
    <row r="379" spans="1:7" x14ac:dyDescent="0.25">
      <c r="A379" s="1">
        <v>2023</v>
      </c>
      <c r="B379" s="1">
        <v>8</v>
      </c>
      <c r="C379" s="1">
        <v>3</v>
      </c>
      <c r="D379" s="1" t="s">
        <v>12</v>
      </c>
      <c r="E379" s="1" t="s">
        <v>66</v>
      </c>
      <c r="F379" s="1">
        <v>16661</v>
      </c>
      <c r="G379" s="10">
        <f t="shared" si="5"/>
        <v>16.661000000000001</v>
      </c>
    </row>
    <row r="380" spans="1:7" x14ac:dyDescent="0.25">
      <c r="A380" s="1">
        <v>2023</v>
      </c>
      <c r="B380" s="1">
        <v>8</v>
      </c>
      <c r="C380" s="1">
        <v>7</v>
      </c>
      <c r="D380" s="1" t="s">
        <v>12</v>
      </c>
      <c r="E380" s="1" t="s">
        <v>66</v>
      </c>
      <c r="F380" s="1">
        <v>16722</v>
      </c>
      <c r="G380" s="10">
        <f t="shared" si="5"/>
        <v>16.722000000000001</v>
      </c>
    </row>
    <row r="381" spans="1:7" x14ac:dyDescent="0.25">
      <c r="A381" s="1">
        <v>2023</v>
      </c>
      <c r="B381" s="1">
        <v>8</v>
      </c>
      <c r="C381" s="1">
        <v>13</v>
      </c>
      <c r="D381" s="1" t="s">
        <v>20</v>
      </c>
      <c r="E381" s="1" t="s">
        <v>66</v>
      </c>
      <c r="F381" s="1">
        <v>7629</v>
      </c>
      <c r="G381" s="10">
        <f t="shared" si="5"/>
        <v>7.6289999999999996</v>
      </c>
    </row>
    <row r="382" spans="1:7" x14ac:dyDescent="0.25">
      <c r="A382" s="1">
        <v>2023</v>
      </c>
      <c r="B382" s="1">
        <v>8</v>
      </c>
      <c r="C382" s="1">
        <v>16</v>
      </c>
      <c r="D382" s="1" t="s">
        <v>12</v>
      </c>
      <c r="E382" s="1" t="s">
        <v>66</v>
      </c>
      <c r="F382" s="1">
        <v>13853</v>
      </c>
      <c r="G382" s="10">
        <f t="shared" si="5"/>
        <v>13.853</v>
      </c>
    </row>
    <row r="383" spans="1:7" x14ac:dyDescent="0.25">
      <c r="A383" s="1">
        <v>2023</v>
      </c>
      <c r="B383" s="1">
        <v>8</v>
      </c>
      <c r="C383" s="1">
        <v>17</v>
      </c>
      <c r="D383" s="1" t="s">
        <v>12</v>
      </c>
      <c r="E383" s="1" t="s">
        <v>66</v>
      </c>
      <c r="F383" s="1">
        <v>4868</v>
      </c>
      <c r="G383" s="10">
        <f t="shared" si="5"/>
        <v>4.8680000000000003</v>
      </c>
    </row>
    <row r="384" spans="1:7" x14ac:dyDescent="0.25">
      <c r="A384" s="1">
        <v>2023</v>
      </c>
      <c r="B384" s="1">
        <v>8</v>
      </c>
      <c r="C384" s="1">
        <v>17</v>
      </c>
      <c r="D384" s="1" t="s">
        <v>12</v>
      </c>
      <c r="E384" s="1" t="s">
        <v>66</v>
      </c>
      <c r="F384" s="1">
        <v>1858</v>
      </c>
      <c r="G384" s="10">
        <f t="shared" si="5"/>
        <v>1.8580000000000001</v>
      </c>
    </row>
    <row r="385" spans="1:7" x14ac:dyDescent="0.25">
      <c r="A385" s="1">
        <v>2023</v>
      </c>
      <c r="B385" s="1">
        <v>8</v>
      </c>
      <c r="C385" s="1">
        <v>19</v>
      </c>
      <c r="D385" s="1" t="s">
        <v>5</v>
      </c>
      <c r="E385" s="1" t="s">
        <v>66</v>
      </c>
      <c r="F385" s="1">
        <v>37449</v>
      </c>
      <c r="G385" s="10">
        <f t="shared" si="5"/>
        <v>37.448999999999998</v>
      </c>
    </row>
    <row r="386" spans="1:7" x14ac:dyDescent="0.25">
      <c r="A386" s="1">
        <v>2023</v>
      </c>
      <c r="B386" s="1">
        <v>8</v>
      </c>
      <c r="C386" s="1">
        <v>19</v>
      </c>
      <c r="D386" s="1" t="s">
        <v>91</v>
      </c>
      <c r="E386" s="1" t="s">
        <v>66</v>
      </c>
      <c r="F386" s="1">
        <v>51300</v>
      </c>
      <c r="G386" s="10">
        <f t="shared" si="5"/>
        <v>51.3</v>
      </c>
    </row>
    <row r="387" spans="1:7" x14ac:dyDescent="0.25">
      <c r="A387" s="1">
        <v>2023</v>
      </c>
      <c r="B387" s="1">
        <v>8</v>
      </c>
      <c r="C387" s="1">
        <v>19</v>
      </c>
      <c r="D387" s="1" t="s">
        <v>12</v>
      </c>
      <c r="E387" s="1" t="s">
        <v>66</v>
      </c>
      <c r="F387" s="1">
        <v>16722</v>
      </c>
      <c r="G387" s="10">
        <f t="shared" ref="G387:G450" si="6">F387/1000</f>
        <v>16.722000000000001</v>
      </c>
    </row>
    <row r="388" spans="1:7" x14ac:dyDescent="0.25">
      <c r="A388" s="1">
        <v>2023</v>
      </c>
      <c r="B388" s="1">
        <v>8</v>
      </c>
      <c r="C388" s="1">
        <v>23</v>
      </c>
      <c r="D388" s="1" t="s">
        <v>33</v>
      </c>
      <c r="E388" s="1" t="s">
        <v>66</v>
      </c>
      <c r="F388" s="1">
        <v>39375</v>
      </c>
      <c r="G388" s="10">
        <f t="shared" si="6"/>
        <v>39.375</v>
      </c>
    </row>
    <row r="389" spans="1:7" x14ac:dyDescent="0.25">
      <c r="A389" s="1">
        <v>2023</v>
      </c>
      <c r="B389" s="1">
        <v>8</v>
      </c>
      <c r="C389" s="1">
        <v>23</v>
      </c>
      <c r="D389" s="1" t="s">
        <v>28</v>
      </c>
      <c r="E389" s="1" t="s">
        <v>84</v>
      </c>
      <c r="F389" s="1">
        <v>5586</v>
      </c>
      <c r="G389" s="10">
        <f t="shared" si="6"/>
        <v>5.5860000000000003</v>
      </c>
    </row>
    <row r="390" spans="1:7" x14ac:dyDescent="0.25">
      <c r="A390" s="1">
        <v>2023</v>
      </c>
      <c r="B390" s="1">
        <v>8</v>
      </c>
      <c r="C390" s="1">
        <v>23</v>
      </c>
      <c r="D390" s="1" t="s">
        <v>92</v>
      </c>
      <c r="E390" s="1" t="s">
        <v>84</v>
      </c>
      <c r="F390" s="1">
        <v>6693</v>
      </c>
      <c r="G390" s="10">
        <f t="shared" si="6"/>
        <v>6.6929999999999996</v>
      </c>
    </row>
    <row r="391" spans="1:7" x14ac:dyDescent="0.25">
      <c r="A391" s="1">
        <v>2023</v>
      </c>
      <c r="B391" s="1">
        <v>8</v>
      </c>
      <c r="C391" s="1">
        <v>27</v>
      </c>
      <c r="D391" s="1" t="s">
        <v>12</v>
      </c>
      <c r="E391" s="1" t="s">
        <v>66</v>
      </c>
      <c r="F391" s="1">
        <v>18140</v>
      </c>
      <c r="G391" s="10">
        <f t="shared" si="6"/>
        <v>18.14</v>
      </c>
    </row>
    <row r="392" spans="1:7" x14ac:dyDescent="0.25">
      <c r="A392" s="1">
        <v>2023</v>
      </c>
      <c r="B392" s="1">
        <v>8</v>
      </c>
      <c r="C392" s="1">
        <v>28</v>
      </c>
      <c r="D392" s="1" t="s">
        <v>14</v>
      </c>
      <c r="E392" s="1" t="s">
        <v>66</v>
      </c>
      <c r="F392" s="1">
        <v>33804</v>
      </c>
      <c r="G392" s="10">
        <f t="shared" si="6"/>
        <v>33.804000000000002</v>
      </c>
    </row>
    <row r="393" spans="1:7" x14ac:dyDescent="0.25">
      <c r="A393" s="1">
        <v>2023</v>
      </c>
      <c r="B393" s="1">
        <v>8</v>
      </c>
      <c r="C393" s="1">
        <v>29</v>
      </c>
      <c r="D393" s="1" t="s">
        <v>12</v>
      </c>
      <c r="E393" s="1" t="s">
        <v>66</v>
      </c>
      <c r="F393" s="1">
        <v>14541</v>
      </c>
      <c r="G393" s="10">
        <f t="shared" si="6"/>
        <v>14.541</v>
      </c>
    </row>
    <row r="394" spans="1:7" x14ac:dyDescent="0.25">
      <c r="A394" s="1">
        <v>2023</v>
      </c>
      <c r="B394" s="1">
        <v>8</v>
      </c>
      <c r="C394" s="1">
        <v>30</v>
      </c>
      <c r="D394" s="1" t="s">
        <v>12</v>
      </c>
      <c r="E394" s="1" t="s">
        <v>84</v>
      </c>
      <c r="F394" s="1">
        <v>16163</v>
      </c>
      <c r="G394" s="10">
        <f t="shared" si="6"/>
        <v>16.163</v>
      </c>
    </row>
    <row r="395" spans="1:7" x14ac:dyDescent="0.25">
      <c r="A395" s="1">
        <v>2023</v>
      </c>
      <c r="B395" s="1">
        <v>9</v>
      </c>
      <c r="C395" s="1">
        <v>4</v>
      </c>
      <c r="D395" s="1" t="s">
        <v>12</v>
      </c>
      <c r="E395" s="1" t="s">
        <v>66</v>
      </c>
      <c r="F395" s="1">
        <v>16722</v>
      </c>
      <c r="G395" s="10">
        <f t="shared" si="6"/>
        <v>16.722000000000001</v>
      </c>
    </row>
    <row r="396" spans="1:7" x14ac:dyDescent="0.25">
      <c r="A396" s="1">
        <v>2023</v>
      </c>
      <c r="B396" s="1">
        <v>9</v>
      </c>
      <c r="C396" s="1">
        <v>7</v>
      </c>
      <c r="D396" s="1" t="s">
        <v>12</v>
      </c>
      <c r="E396" s="1" t="s">
        <v>66</v>
      </c>
      <c r="F396" s="1">
        <v>18140</v>
      </c>
      <c r="G396" s="10">
        <f t="shared" si="6"/>
        <v>18.14</v>
      </c>
    </row>
    <row r="397" spans="1:7" x14ac:dyDescent="0.25">
      <c r="A397" s="1">
        <v>2023</v>
      </c>
      <c r="B397" s="1">
        <v>9</v>
      </c>
      <c r="C397" s="1">
        <v>11</v>
      </c>
      <c r="D397" s="1" t="s">
        <v>12</v>
      </c>
      <c r="E397" s="1" t="s">
        <v>84</v>
      </c>
      <c r="F397" s="1">
        <v>457</v>
      </c>
      <c r="G397" s="10">
        <f t="shared" si="6"/>
        <v>0.45700000000000002</v>
      </c>
    </row>
    <row r="398" spans="1:7" x14ac:dyDescent="0.25">
      <c r="A398" s="1">
        <v>2023</v>
      </c>
      <c r="B398" s="1">
        <v>9</v>
      </c>
      <c r="C398" s="1">
        <v>12</v>
      </c>
      <c r="D398" s="1" t="s">
        <v>12</v>
      </c>
      <c r="E398" s="1" t="s">
        <v>66</v>
      </c>
      <c r="F398" s="1">
        <v>16356</v>
      </c>
      <c r="G398" s="10">
        <f t="shared" si="6"/>
        <v>16.356000000000002</v>
      </c>
    </row>
    <row r="399" spans="1:7" x14ac:dyDescent="0.25">
      <c r="A399" s="1">
        <v>2023</v>
      </c>
      <c r="B399" s="1">
        <v>9</v>
      </c>
      <c r="C399" s="1">
        <v>17</v>
      </c>
      <c r="D399" s="1" t="s">
        <v>12</v>
      </c>
      <c r="E399" s="1" t="s">
        <v>66</v>
      </c>
      <c r="F399" s="1">
        <v>13794</v>
      </c>
      <c r="G399" s="10">
        <f t="shared" si="6"/>
        <v>13.794</v>
      </c>
    </row>
    <row r="400" spans="1:7" x14ac:dyDescent="0.25">
      <c r="A400" s="1">
        <v>2023</v>
      </c>
      <c r="B400" s="1">
        <v>9</v>
      </c>
      <c r="C400" s="1">
        <v>18</v>
      </c>
      <c r="D400" s="1" t="s">
        <v>12</v>
      </c>
      <c r="E400" s="1" t="s">
        <v>66</v>
      </c>
      <c r="F400" s="1">
        <v>16566</v>
      </c>
      <c r="G400" s="10">
        <f t="shared" si="6"/>
        <v>16.565999999999999</v>
      </c>
    </row>
    <row r="401" spans="1:7" x14ac:dyDescent="0.25">
      <c r="A401" s="1">
        <v>2023</v>
      </c>
      <c r="B401" s="1">
        <v>9</v>
      </c>
      <c r="C401" s="1">
        <v>20</v>
      </c>
      <c r="D401" s="1" t="s">
        <v>5</v>
      </c>
      <c r="E401" s="1" t="s">
        <v>66</v>
      </c>
      <c r="F401" s="1">
        <v>99055</v>
      </c>
      <c r="G401" s="10">
        <f t="shared" si="6"/>
        <v>99.055000000000007</v>
      </c>
    </row>
    <row r="402" spans="1:7" x14ac:dyDescent="0.25">
      <c r="A402" s="1">
        <v>2023</v>
      </c>
      <c r="B402" s="1">
        <v>9</v>
      </c>
      <c r="C402" s="1">
        <v>22</v>
      </c>
      <c r="D402" s="1" t="s">
        <v>20</v>
      </c>
      <c r="E402" s="1" t="s">
        <v>66</v>
      </c>
      <c r="F402" s="1">
        <v>2724</v>
      </c>
      <c r="G402" s="10">
        <f t="shared" si="6"/>
        <v>2.7240000000000002</v>
      </c>
    </row>
    <row r="403" spans="1:7" x14ac:dyDescent="0.25">
      <c r="A403" s="1">
        <v>2023</v>
      </c>
      <c r="B403" s="1">
        <v>9</v>
      </c>
      <c r="C403" s="1">
        <v>22</v>
      </c>
      <c r="D403" s="1" t="s">
        <v>20</v>
      </c>
      <c r="E403" s="1" t="s">
        <v>66</v>
      </c>
      <c r="F403" s="1">
        <v>7630</v>
      </c>
      <c r="G403" s="10">
        <f t="shared" si="6"/>
        <v>7.63</v>
      </c>
    </row>
    <row r="404" spans="1:7" x14ac:dyDescent="0.25">
      <c r="A404" s="1">
        <v>2023</v>
      </c>
      <c r="B404" s="1">
        <v>9</v>
      </c>
      <c r="C404" s="1">
        <v>25</v>
      </c>
      <c r="D404" s="1" t="s">
        <v>12</v>
      </c>
      <c r="E404" s="1" t="s">
        <v>66</v>
      </c>
      <c r="F404" s="1">
        <v>16722</v>
      </c>
      <c r="G404" s="10">
        <f t="shared" si="6"/>
        <v>16.722000000000001</v>
      </c>
    </row>
    <row r="405" spans="1:7" x14ac:dyDescent="0.25">
      <c r="A405" s="1">
        <v>2023</v>
      </c>
      <c r="B405" s="1">
        <v>9</v>
      </c>
      <c r="C405" s="1">
        <v>26</v>
      </c>
      <c r="D405" s="1" t="s">
        <v>12</v>
      </c>
      <c r="E405" s="1" t="s">
        <v>66</v>
      </c>
      <c r="F405" s="1">
        <v>8486</v>
      </c>
      <c r="G405" s="10">
        <f t="shared" si="6"/>
        <v>8.4860000000000007</v>
      </c>
    </row>
    <row r="406" spans="1:7" x14ac:dyDescent="0.25">
      <c r="A406" s="1">
        <v>2023</v>
      </c>
      <c r="B406" s="1">
        <v>9</v>
      </c>
      <c r="C406" s="1">
        <v>29</v>
      </c>
      <c r="D406" s="1" t="s">
        <v>90</v>
      </c>
      <c r="E406" s="1" t="s">
        <v>66</v>
      </c>
      <c r="F406" s="1">
        <v>94708</v>
      </c>
      <c r="G406" s="10">
        <f t="shared" si="6"/>
        <v>94.707999999999998</v>
      </c>
    </row>
    <row r="407" spans="1:7" x14ac:dyDescent="0.25">
      <c r="A407" s="1">
        <v>2023</v>
      </c>
      <c r="B407" s="1">
        <v>9</v>
      </c>
      <c r="C407" s="1">
        <v>29</v>
      </c>
      <c r="D407" s="1" t="s">
        <v>12</v>
      </c>
      <c r="E407" s="1" t="s">
        <v>66</v>
      </c>
      <c r="F407" s="1">
        <v>12443</v>
      </c>
      <c r="G407" s="10">
        <f t="shared" si="6"/>
        <v>12.443</v>
      </c>
    </row>
    <row r="408" spans="1:7" x14ac:dyDescent="0.25">
      <c r="A408" s="1">
        <v>2023</v>
      </c>
      <c r="B408" s="1">
        <v>10</v>
      </c>
      <c r="C408" s="1">
        <v>1</v>
      </c>
      <c r="D408" s="1" t="s">
        <v>14</v>
      </c>
      <c r="E408" s="1" t="s">
        <v>66</v>
      </c>
      <c r="F408" s="1">
        <v>29736</v>
      </c>
      <c r="G408" s="10">
        <f t="shared" si="6"/>
        <v>29.736000000000001</v>
      </c>
    </row>
    <row r="409" spans="1:7" x14ac:dyDescent="0.25">
      <c r="A409" s="1">
        <v>2023</v>
      </c>
      <c r="B409" s="1">
        <v>10</v>
      </c>
      <c r="C409" s="1">
        <v>2</v>
      </c>
      <c r="D409" s="1" t="s">
        <v>31</v>
      </c>
      <c r="E409" s="1" t="s">
        <v>66</v>
      </c>
      <c r="F409" s="1">
        <v>89028</v>
      </c>
      <c r="G409" s="10">
        <f t="shared" si="6"/>
        <v>89.028000000000006</v>
      </c>
    </row>
    <row r="410" spans="1:7" x14ac:dyDescent="0.25">
      <c r="A410" s="1">
        <v>2023</v>
      </c>
      <c r="B410" s="1">
        <v>10</v>
      </c>
      <c r="C410" s="1">
        <v>3</v>
      </c>
      <c r="D410" s="1" t="s">
        <v>12</v>
      </c>
      <c r="E410" s="1" t="s">
        <v>66</v>
      </c>
      <c r="F410" s="1">
        <v>12397</v>
      </c>
      <c r="G410" s="10">
        <f t="shared" si="6"/>
        <v>12.397</v>
      </c>
    </row>
    <row r="411" spans="1:7" x14ac:dyDescent="0.25">
      <c r="A411" s="1">
        <v>2023</v>
      </c>
      <c r="B411" s="1">
        <v>10</v>
      </c>
      <c r="C411" s="1">
        <v>3</v>
      </c>
      <c r="D411" s="1" t="s">
        <v>12</v>
      </c>
      <c r="E411" s="1" t="s">
        <v>66</v>
      </c>
      <c r="F411" s="1">
        <v>4224</v>
      </c>
      <c r="G411" s="10">
        <f t="shared" si="6"/>
        <v>4.2240000000000002</v>
      </c>
    </row>
    <row r="412" spans="1:7" x14ac:dyDescent="0.25">
      <c r="A412" s="1">
        <v>2023</v>
      </c>
      <c r="B412" s="1">
        <v>10</v>
      </c>
      <c r="C412" s="1">
        <v>8</v>
      </c>
      <c r="D412" s="1" t="s">
        <v>28</v>
      </c>
      <c r="E412" s="1" t="s">
        <v>66</v>
      </c>
      <c r="F412" s="1">
        <v>27348</v>
      </c>
      <c r="G412" s="10">
        <f t="shared" si="6"/>
        <v>27.347999999999999</v>
      </c>
    </row>
    <row r="413" spans="1:7" x14ac:dyDescent="0.25">
      <c r="A413" s="1">
        <v>2023</v>
      </c>
      <c r="B413" s="1">
        <v>10</v>
      </c>
      <c r="C413" s="1">
        <v>10</v>
      </c>
      <c r="D413" s="1" t="s">
        <v>12</v>
      </c>
      <c r="E413" s="1" t="s">
        <v>66</v>
      </c>
      <c r="F413" s="1">
        <v>8388</v>
      </c>
      <c r="G413" s="10">
        <f t="shared" si="6"/>
        <v>8.3879999999999999</v>
      </c>
    </row>
    <row r="414" spans="1:7" x14ac:dyDescent="0.25">
      <c r="A414" s="1">
        <v>2023</v>
      </c>
      <c r="B414" s="1">
        <v>10</v>
      </c>
      <c r="C414" s="1">
        <v>12</v>
      </c>
      <c r="D414" s="1" t="s">
        <v>22</v>
      </c>
      <c r="E414" s="1" t="s">
        <v>66</v>
      </c>
      <c r="F414" s="1">
        <v>7220</v>
      </c>
      <c r="G414" s="10">
        <f t="shared" si="6"/>
        <v>7.22</v>
      </c>
    </row>
    <row r="415" spans="1:7" x14ac:dyDescent="0.25">
      <c r="A415" s="1">
        <v>2023</v>
      </c>
      <c r="B415" s="1">
        <v>10</v>
      </c>
      <c r="C415" s="1">
        <v>12</v>
      </c>
      <c r="D415" s="1" t="s">
        <v>22</v>
      </c>
      <c r="E415" s="1" t="s">
        <v>66</v>
      </c>
      <c r="F415" s="1">
        <v>43713</v>
      </c>
      <c r="G415" s="10">
        <f t="shared" si="6"/>
        <v>43.713000000000001</v>
      </c>
    </row>
    <row r="416" spans="1:7" x14ac:dyDescent="0.25">
      <c r="A416" s="1">
        <v>2023</v>
      </c>
      <c r="B416" s="1">
        <v>10</v>
      </c>
      <c r="C416" s="1">
        <v>16</v>
      </c>
      <c r="D416" s="1" t="s">
        <v>12</v>
      </c>
      <c r="E416" s="1" t="s">
        <v>66</v>
      </c>
      <c r="F416" s="1">
        <v>16855</v>
      </c>
      <c r="G416" s="10">
        <f t="shared" si="6"/>
        <v>16.855</v>
      </c>
    </row>
    <row r="417" spans="1:7" x14ac:dyDescent="0.25">
      <c r="A417" s="1">
        <v>2023</v>
      </c>
      <c r="B417" s="1">
        <v>10</v>
      </c>
      <c r="C417" s="1">
        <v>17</v>
      </c>
      <c r="D417" s="1" t="s">
        <v>12</v>
      </c>
      <c r="E417" s="1" t="s">
        <v>66</v>
      </c>
      <c r="F417" s="1">
        <v>8907</v>
      </c>
      <c r="G417" s="10">
        <f t="shared" si="6"/>
        <v>8.907</v>
      </c>
    </row>
    <row r="418" spans="1:7" x14ac:dyDescent="0.25">
      <c r="A418" s="1">
        <v>2023</v>
      </c>
      <c r="B418" s="1">
        <v>10</v>
      </c>
      <c r="C418" s="1">
        <v>17</v>
      </c>
      <c r="D418" s="1" t="s">
        <v>12</v>
      </c>
      <c r="E418" s="1" t="s">
        <v>66</v>
      </c>
      <c r="F418" s="1">
        <v>7413</v>
      </c>
      <c r="G418" s="10">
        <f t="shared" si="6"/>
        <v>7.4130000000000003</v>
      </c>
    </row>
    <row r="419" spans="1:7" x14ac:dyDescent="0.25">
      <c r="A419" s="1">
        <v>2023</v>
      </c>
      <c r="B419" s="1">
        <v>10</v>
      </c>
      <c r="C419" s="1">
        <v>21</v>
      </c>
      <c r="D419" s="1" t="s">
        <v>12</v>
      </c>
      <c r="E419" s="1" t="s">
        <v>66</v>
      </c>
      <c r="F419" s="1">
        <v>16722</v>
      </c>
      <c r="G419" s="10">
        <f t="shared" si="6"/>
        <v>16.722000000000001</v>
      </c>
    </row>
    <row r="420" spans="1:7" x14ac:dyDescent="0.25">
      <c r="A420" s="1">
        <v>2023</v>
      </c>
      <c r="B420" s="1">
        <v>10</v>
      </c>
      <c r="C420" s="1">
        <v>22</v>
      </c>
      <c r="D420" s="1" t="s">
        <v>5</v>
      </c>
      <c r="E420" s="1" t="s">
        <v>66</v>
      </c>
      <c r="F420" s="1">
        <v>83508</v>
      </c>
      <c r="G420" s="10">
        <f t="shared" si="6"/>
        <v>83.507999999999996</v>
      </c>
    </row>
    <row r="421" spans="1:7" x14ac:dyDescent="0.25">
      <c r="A421" s="1">
        <v>2023</v>
      </c>
      <c r="B421" s="1">
        <v>10</v>
      </c>
      <c r="C421" s="1">
        <v>23</v>
      </c>
      <c r="D421" s="1" t="s">
        <v>12</v>
      </c>
      <c r="E421" s="1" t="s">
        <v>66</v>
      </c>
      <c r="F421" s="1">
        <v>10726</v>
      </c>
      <c r="G421" s="10">
        <f t="shared" si="6"/>
        <v>10.726000000000001</v>
      </c>
    </row>
    <row r="422" spans="1:7" x14ac:dyDescent="0.25">
      <c r="A422" s="1">
        <v>2023</v>
      </c>
      <c r="B422" s="1">
        <v>10</v>
      </c>
      <c r="C422" s="1">
        <v>26</v>
      </c>
      <c r="D422" s="1" t="s">
        <v>28</v>
      </c>
      <c r="E422" s="1" t="s">
        <v>66</v>
      </c>
      <c r="F422" s="1">
        <v>5926</v>
      </c>
      <c r="G422" s="10">
        <f t="shared" si="6"/>
        <v>5.9260000000000002</v>
      </c>
    </row>
    <row r="423" spans="1:7" x14ac:dyDescent="0.25">
      <c r="A423" s="1">
        <v>2023</v>
      </c>
      <c r="B423" s="1">
        <v>10</v>
      </c>
      <c r="C423" s="1">
        <v>26</v>
      </c>
      <c r="D423" s="1" t="s">
        <v>12</v>
      </c>
      <c r="E423" s="1" t="s">
        <v>66</v>
      </c>
      <c r="F423" s="1">
        <v>6290</v>
      </c>
      <c r="G423" s="10">
        <f t="shared" si="6"/>
        <v>6.29</v>
      </c>
    </row>
    <row r="424" spans="1:7" x14ac:dyDescent="0.25">
      <c r="A424" s="1">
        <v>2023</v>
      </c>
      <c r="B424" s="1">
        <v>10</v>
      </c>
      <c r="C424" s="1">
        <v>26</v>
      </c>
      <c r="D424" s="1" t="s">
        <v>12</v>
      </c>
      <c r="E424" s="1" t="s">
        <v>66</v>
      </c>
      <c r="F424" s="1">
        <v>10371</v>
      </c>
      <c r="G424" s="10">
        <f t="shared" si="6"/>
        <v>10.371</v>
      </c>
    </row>
    <row r="425" spans="1:7" x14ac:dyDescent="0.25">
      <c r="A425" s="1">
        <v>2023</v>
      </c>
      <c r="B425" s="1">
        <v>10</v>
      </c>
      <c r="C425" s="1">
        <v>27</v>
      </c>
      <c r="D425" s="1" t="s">
        <v>28</v>
      </c>
      <c r="E425" s="1" t="s">
        <v>66</v>
      </c>
      <c r="F425" s="1">
        <v>7214</v>
      </c>
      <c r="G425" s="10">
        <f t="shared" si="6"/>
        <v>7.2140000000000004</v>
      </c>
    </row>
    <row r="426" spans="1:7" x14ac:dyDescent="0.25">
      <c r="A426" s="1">
        <v>2023</v>
      </c>
      <c r="B426" s="1">
        <v>10</v>
      </c>
      <c r="C426" s="1">
        <v>30</v>
      </c>
      <c r="D426" s="1" t="s">
        <v>8</v>
      </c>
      <c r="E426" s="1" t="s">
        <v>66</v>
      </c>
      <c r="F426" s="1">
        <v>9736</v>
      </c>
      <c r="G426" s="10">
        <f t="shared" si="6"/>
        <v>9.7360000000000007</v>
      </c>
    </row>
    <row r="427" spans="1:7" x14ac:dyDescent="0.25">
      <c r="A427" s="1">
        <v>2023</v>
      </c>
      <c r="B427" s="1">
        <v>10</v>
      </c>
      <c r="C427" s="1">
        <v>31</v>
      </c>
      <c r="D427" s="1" t="s">
        <v>12</v>
      </c>
      <c r="E427" s="1" t="s">
        <v>84</v>
      </c>
      <c r="F427" s="1">
        <v>16722</v>
      </c>
      <c r="G427" s="10">
        <f t="shared" si="6"/>
        <v>16.722000000000001</v>
      </c>
    </row>
    <row r="428" spans="1:7" x14ac:dyDescent="0.25">
      <c r="A428" s="1">
        <v>2023</v>
      </c>
      <c r="B428" s="1">
        <v>11</v>
      </c>
      <c r="C428" s="1">
        <v>2</v>
      </c>
      <c r="D428" s="1" t="s">
        <v>14</v>
      </c>
      <c r="E428" s="1" t="s">
        <v>66</v>
      </c>
      <c r="F428" s="1">
        <v>34643</v>
      </c>
      <c r="G428" s="10">
        <f t="shared" si="6"/>
        <v>34.643000000000001</v>
      </c>
    </row>
    <row r="429" spans="1:7" x14ac:dyDescent="0.25">
      <c r="A429" s="1">
        <v>2023</v>
      </c>
      <c r="B429" s="1">
        <v>11</v>
      </c>
      <c r="C429" s="1">
        <v>2</v>
      </c>
      <c r="D429" s="1" t="s">
        <v>14</v>
      </c>
      <c r="E429" s="1" t="s">
        <v>66</v>
      </c>
      <c r="F429" s="1">
        <v>17321</v>
      </c>
      <c r="G429" s="10">
        <f t="shared" si="6"/>
        <v>17.321000000000002</v>
      </c>
    </row>
    <row r="430" spans="1:7" x14ac:dyDescent="0.25">
      <c r="A430" s="1">
        <v>2023</v>
      </c>
      <c r="B430" s="1">
        <v>11</v>
      </c>
      <c r="C430" s="1">
        <v>5</v>
      </c>
      <c r="D430" s="1" t="s">
        <v>14</v>
      </c>
      <c r="E430" s="1" t="s">
        <v>66</v>
      </c>
      <c r="F430" s="1">
        <v>43304</v>
      </c>
      <c r="G430" s="10">
        <f t="shared" si="6"/>
        <v>43.304000000000002</v>
      </c>
    </row>
    <row r="431" spans="1:7" x14ac:dyDescent="0.25">
      <c r="A431" s="1">
        <v>2023</v>
      </c>
      <c r="B431" s="1">
        <v>11</v>
      </c>
      <c r="C431" s="1">
        <v>7</v>
      </c>
      <c r="D431" s="1" t="s">
        <v>8</v>
      </c>
      <c r="E431" s="1" t="s">
        <v>66</v>
      </c>
      <c r="F431" s="1">
        <v>6123</v>
      </c>
      <c r="G431" s="10">
        <f t="shared" si="6"/>
        <v>6.1230000000000002</v>
      </c>
    </row>
    <row r="432" spans="1:7" x14ac:dyDescent="0.25">
      <c r="A432" s="1">
        <v>2023</v>
      </c>
      <c r="B432" s="1">
        <v>11</v>
      </c>
      <c r="C432" s="1">
        <v>10</v>
      </c>
      <c r="D432" s="1" t="s">
        <v>10</v>
      </c>
      <c r="E432" s="1" t="s">
        <v>66</v>
      </c>
      <c r="F432" s="1">
        <v>37147</v>
      </c>
      <c r="G432" s="10">
        <f t="shared" si="6"/>
        <v>37.146999999999998</v>
      </c>
    </row>
    <row r="433" spans="1:7" x14ac:dyDescent="0.25">
      <c r="A433" s="1">
        <v>2023</v>
      </c>
      <c r="B433" s="1">
        <v>11</v>
      </c>
      <c r="C433" s="1">
        <v>11</v>
      </c>
      <c r="D433" s="1" t="s">
        <v>3</v>
      </c>
      <c r="E433" s="1" t="s">
        <v>66</v>
      </c>
      <c r="F433" s="1">
        <v>27417</v>
      </c>
      <c r="G433" s="10">
        <f t="shared" si="6"/>
        <v>27.417000000000002</v>
      </c>
    </row>
    <row r="434" spans="1:7" x14ac:dyDescent="0.25">
      <c r="A434" s="1">
        <v>2023</v>
      </c>
      <c r="B434" s="1">
        <v>11</v>
      </c>
      <c r="C434" s="1">
        <v>12</v>
      </c>
      <c r="D434" s="1" t="s">
        <v>20</v>
      </c>
      <c r="E434" s="1" t="s">
        <v>66</v>
      </c>
      <c r="F434" s="1">
        <v>1634</v>
      </c>
      <c r="G434" s="10">
        <f t="shared" si="6"/>
        <v>1.6339999999999999</v>
      </c>
    </row>
    <row r="435" spans="1:7" x14ac:dyDescent="0.25">
      <c r="A435" s="1">
        <v>2023</v>
      </c>
      <c r="B435" s="1">
        <v>11</v>
      </c>
      <c r="C435" s="1">
        <v>12</v>
      </c>
      <c r="D435" s="1" t="s">
        <v>20</v>
      </c>
      <c r="E435" s="1" t="s">
        <v>66</v>
      </c>
      <c r="F435" s="1">
        <v>9811</v>
      </c>
      <c r="G435" s="10">
        <f t="shared" si="6"/>
        <v>9.8109999999999999</v>
      </c>
    </row>
    <row r="436" spans="1:7" x14ac:dyDescent="0.25">
      <c r="A436" s="1">
        <v>2023</v>
      </c>
      <c r="B436" s="1">
        <v>11</v>
      </c>
      <c r="C436" s="1">
        <v>13</v>
      </c>
      <c r="D436" s="1" t="s">
        <v>20</v>
      </c>
      <c r="E436" s="1" t="s">
        <v>66</v>
      </c>
      <c r="F436" s="1">
        <v>1634</v>
      </c>
      <c r="G436" s="10">
        <f t="shared" si="6"/>
        <v>1.6339999999999999</v>
      </c>
    </row>
    <row r="437" spans="1:7" x14ac:dyDescent="0.25">
      <c r="A437" s="1">
        <v>2023</v>
      </c>
      <c r="B437" s="1">
        <v>11</v>
      </c>
      <c r="C437" s="1">
        <v>15</v>
      </c>
      <c r="D437" s="1" t="s">
        <v>14</v>
      </c>
      <c r="E437" s="1" t="s">
        <v>66</v>
      </c>
      <c r="F437" s="1">
        <v>67455</v>
      </c>
      <c r="G437" s="10">
        <f t="shared" si="6"/>
        <v>67.454999999999998</v>
      </c>
    </row>
    <row r="438" spans="1:7" x14ac:dyDescent="0.25">
      <c r="A438" s="1">
        <v>2023</v>
      </c>
      <c r="B438" s="1">
        <v>11</v>
      </c>
      <c r="C438" s="1">
        <v>19</v>
      </c>
      <c r="D438" s="1" t="s">
        <v>28</v>
      </c>
      <c r="E438" s="1" t="s">
        <v>66</v>
      </c>
      <c r="F438" s="1">
        <v>30135</v>
      </c>
      <c r="G438" s="10">
        <f t="shared" si="6"/>
        <v>30.135000000000002</v>
      </c>
    </row>
    <row r="439" spans="1:7" x14ac:dyDescent="0.25">
      <c r="A439" s="1">
        <v>2023</v>
      </c>
      <c r="B439" s="1">
        <v>11</v>
      </c>
      <c r="C439" s="1">
        <v>19</v>
      </c>
      <c r="D439" s="1" t="s">
        <v>12</v>
      </c>
      <c r="E439" s="1" t="s">
        <v>66</v>
      </c>
      <c r="F439" s="1">
        <v>14364</v>
      </c>
      <c r="G439" s="10">
        <f t="shared" si="6"/>
        <v>14.364000000000001</v>
      </c>
    </row>
    <row r="440" spans="1:7" x14ac:dyDescent="0.25">
      <c r="A440" s="1">
        <v>2023</v>
      </c>
      <c r="B440" s="1">
        <v>11</v>
      </c>
      <c r="C440" s="1">
        <v>19</v>
      </c>
      <c r="D440" s="1" t="s">
        <v>12</v>
      </c>
      <c r="E440" s="1" t="s">
        <v>66</v>
      </c>
      <c r="F440" s="1">
        <v>16356</v>
      </c>
      <c r="G440" s="10">
        <f t="shared" si="6"/>
        <v>16.356000000000002</v>
      </c>
    </row>
    <row r="441" spans="1:7" x14ac:dyDescent="0.25">
      <c r="A441" s="1">
        <v>2023</v>
      </c>
      <c r="B441" s="1">
        <v>11</v>
      </c>
      <c r="C441" s="1">
        <v>21</v>
      </c>
      <c r="D441" s="1" t="s">
        <v>12</v>
      </c>
      <c r="E441" s="1" t="s">
        <v>66</v>
      </c>
      <c r="F441" s="1">
        <v>16337</v>
      </c>
      <c r="G441" s="10">
        <f t="shared" si="6"/>
        <v>16.337</v>
      </c>
    </row>
    <row r="442" spans="1:7" x14ac:dyDescent="0.25">
      <c r="A442" s="1">
        <v>2023</v>
      </c>
      <c r="B442" s="1">
        <v>11</v>
      </c>
      <c r="C442" s="1">
        <v>22</v>
      </c>
      <c r="D442" s="1" t="s">
        <v>5</v>
      </c>
      <c r="E442" s="1" t="s">
        <v>66</v>
      </c>
      <c r="F442" s="1">
        <v>67715</v>
      </c>
      <c r="G442" s="10">
        <f t="shared" si="6"/>
        <v>67.715000000000003</v>
      </c>
    </row>
    <row r="443" spans="1:7" x14ac:dyDescent="0.25">
      <c r="A443" s="1">
        <v>2023</v>
      </c>
      <c r="B443" s="1">
        <v>11</v>
      </c>
      <c r="C443" s="1">
        <v>30</v>
      </c>
      <c r="D443" s="1" t="s">
        <v>12</v>
      </c>
      <c r="E443" s="1" t="s">
        <v>66</v>
      </c>
      <c r="F443" s="1">
        <v>16386</v>
      </c>
      <c r="G443" s="10">
        <f t="shared" si="6"/>
        <v>16.385999999999999</v>
      </c>
    </row>
    <row r="444" spans="1:7" x14ac:dyDescent="0.25">
      <c r="A444" s="1">
        <v>2023</v>
      </c>
      <c r="B444" s="1">
        <v>11</v>
      </c>
      <c r="C444" s="1">
        <v>30</v>
      </c>
      <c r="D444" s="1" t="s">
        <v>97</v>
      </c>
      <c r="E444" s="1" t="s">
        <v>66</v>
      </c>
      <c r="F444" s="1">
        <v>3030</v>
      </c>
      <c r="G444" s="10">
        <f t="shared" si="6"/>
        <v>3.03</v>
      </c>
    </row>
    <row r="445" spans="1:7" x14ac:dyDescent="0.25">
      <c r="A445" s="1">
        <v>2023</v>
      </c>
      <c r="B445" s="1">
        <v>12</v>
      </c>
      <c r="C445" s="1">
        <v>2</v>
      </c>
      <c r="D445" s="1" t="s">
        <v>12</v>
      </c>
      <c r="E445" s="1" t="s">
        <v>66</v>
      </c>
      <c r="F445" s="1">
        <v>6987</v>
      </c>
      <c r="G445" s="10">
        <f t="shared" si="6"/>
        <v>6.9870000000000001</v>
      </c>
    </row>
    <row r="446" spans="1:7" x14ac:dyDescent="0.25">
      <c r="A446" s="1">
        <v>2023</v>
      </c>
      <c r="B446" s="1">
        <v>12</v>
      </c>
      <c r="C446" s="1">
        <v>2</v>
      </c>
      <c r="D446" s="1" t="s">
        <v>12</v>
      </c>
      <c r="E446" s="1" t="s">
        <v>66</v>
      </c>
      <c r="F446" s="1">
        <v>6424</v>
      </c>
      <c r="G446" s="10">
        <f t="shared" si="6"/>
        <v>6.4240000000000004</v>
      </c>
    </row>
    <row r="447" spans="1:7" x14ac:dyDescent="0.25">
      <c r="A447" s="1">
        <v>2023</v>
      </c>
      <c r="B447" s="1">
        <v>12</v>
      </c>
      <c r="C447" s="1">
        <v>3</v>
      </c>
      <c r="D447" s="1" t="s">
        <v>36</v>
      </c>
      <c r="E447" s="1" t="s">
        <v>84</v>
      </c>
      <c r="F447" s="1">
        <v>25430</v>
      </c>
      <c r="G447" s="10">
        <f t="shared" si="6"/>
        <v>25.43</v>
      </c>
    </row>
    <row r="448" spans="1:7" x14ac:dyDescent="0.25">
      <c r="A448" s="1">
        <v>2023</v>
      </c>
      <c r="B448" s="1">
        <v>12</v>
      </c>
      <c r="C448" s="1">
        <v>5</v>
      </c>
      <c r="D448" s="1" t="s">
        <v>12</v>
      </c>
      <c r="E448" s="1" t="s">
        <v>66</v>
      </c>
      <c r="F448" s="1">
        <v>16000</v>
      </c>
      <c r="G448" s="10">
        <f t="shared" si="6"/>
        <v>16</v>
      </c>
    </row>
    <row r="449" spans="1:7" x14ac:dyDescent="0.25">
      <c r="A449" s="1">
        <v>2023</v>
      </c>
      <c r="B449" s="1">
        <v>12</v>
      </c>
      <c r="C449" s="1">
        <v>7</v>
      </c>
      <c r="D449" s="1" t="s">
        <v>8</v>
      </c>
      <c r="E449" s="1" t="s">
        <v>66</v>
      </c>
      <c r="F449" s="1">
        <v>6228</v>
      </c>
      <c r="G449" s="10">
        <f t="shared" si="6"/>
        <v>6.2279999999999998</v>
      </c>
    </row>
    <row r="450" spans="1:7" x14ac:dyDescent="0.25">
      <c r="A450" s="1">
        <v>2023</v>
      </c>
      <c r="B450" s="1">
        <v>12</v>
      </c>
      <c r="C450" s="1">
        <v>9</v>
      </c>
      <c r="D450" s="1" t="s">
        <v>12</v>
      </c>
      <c r="E450" s="1" t="s">
        <v>66</v>
      </c>
      <c r="F450" s="1">
        <v>10131</v>
      </c>
      <c r="G450" s="10">
        <f t="shared" si="6"/>
        <v>10.131</v>
      </c>
    </row>
    <row r="451" spans="1:7" x14ac:dyDescent="0.25">
      <c r="A451" s="1">
        <v>2023</v>
      </c>
      <c r="B451" s="1">
        <v>12</v>
      </c>
      <c r="C451" s="1">
        <v>9</v>
      </c>
      <c r="D451" s="1" t="s">
        <v>12</v>
      </c>
      <c r="E451" s="1" t="s">
        <v>66</v>
      </c>
      <c r="F451" s="1">
        <v>5428</v>
      </c>
      <c r="G451" s="10">
        <f t="shared" ref="G451:G514" si="7">F451/1000</f>
        <v>5.4279999999999999</v>
      </c>
    </row>
    <row r="452" spans="1:7" x14ac:dyDescent="0.25">
      <c r="A452" s="1">
        <v>2023</v>
      </c>
      <c r="B452" s="1">
        <v>12</v>
      </c>
      <c r="C452" s="1">
        <v>12</v>
      </c>
      <c r="D452" s="1" t="s">
        <v>24</v>
      </c>
      <c r="E452" s="1" t="s">
        <v>66</v>
      </c>
      <c r="F452" s="1">
        <v>32806</v>
      </c>
      <c r="G452" s="10">
        <f t="shared" si="7"/>
        <v>32.805999999999997</v>
      </c>
    </row>
    <row r="453" spans="1:7" x14ac:dyDescent="0.25">
      <c r="A453" s="1">
        <v>2023</v>
      </c>
      <c r="B453" s="1">
        <v>12</v>
      </c>
      <c r="C453" s="1">
        <v>12</v>
      </c>
      <c r="D453" s="1" t="s">
        <v>24</v>
      </c>
      <c r="E453" s="1" t="s">
        <v>66</v>
      </c>
      <c r="F453" s="1">
        <v>22906</v>
      </c>
      <c r="G453" s="10">
        <f t="shared" si="7"/>
        <v>22.905999999999999</v>
      </c>
    </row>
    <row r="454" spans="1:7" x14ac:dyDescent="0.25">
      <c r="A454" s="1">
        <v>2023</v>
      </c>
      <c r="B454" s="1">
        <v>12</v>
      </c>
      <c r="C454" s="1">
        <v>13</v>
      </c>
      <c r="D454" s="1" t="s">
        <v>12</v>
      </c>
      <c r="E454" s="1" t="s">
        <v>66</v>
      </c>
      <c r="F454" s="1">
        <v>3463</v>
      </c>
      <c r="G454" s="10">
        <f t="shared" si="7"/>
        <v>3.4630000000000001</v>
      </c>
    </row>
    <row r="455" spans="1:7" x14ac:dyDescent="0.25">
      <c r="A455" s="1">
        <v>2023</v>
      </c>
      <c r="B455" s="1">
        <v>12</v>
      </c>
      <c r="C455" s="1">
        <v>13</v>
      </c>
      <c r="D455" s="1" t="s">
        <v>12</v>
      </c>
      <c r="E455" s="1" t="s">
        <v>66</v>
      </c>
      <c r="F455" s="1">
        <v>9253</v>
      </c>
      <c r="G455" s="10">
        <f t="shared" si="7"/>
        <v>9.2530000000000001</v>
      </c>
    </row>
    <row r="456" spans="1:7" x14ac:dyDescent="0.25">
      <c r="A456" s="1">
        <v>2023</v>
      </c>
      <c r="B456" s="1">
        <v>12</v>
      </c>
      <c r="C456" s="1">
        <v>14</v>
      </c>
      <c r="D456" s="1" t="s">
        <v>24</v>
      </c>
      <c r="E456" s="1" t="s">
        <v>66</v>
      </c>
      <c r="F456" s="1">
        <v>55298</v>
      </c>
      <c r="G456" s="10">
        <f t="shared" si="7"/>
        <v>55.298000000000002</v>
      </c>
    </row>
    <row r="457" spans="1:7" x14ac:dyDescent="0.25">
      <c r="A457" s="1">
        <v>2023</v>
      </c>
      <c r="B457" s="1">
        <v>12</v>
      </c>
      <c r="C457" s="1">
        <v>17</v>
      </c>
      <c r="D457" s="1" t="s">
        <v>12</v>
      </c>
      <c r="E457" s="1" t="s">
        <v>66</v>
      </c>
      <c r="F457" s="1">
        <v>16401</v>
      </c>
      <c r="G457" s="10">
        <f t="shared" si="7"/>
        <v>16.401</v>
      </c>
    </row>
    <row r="458" spans="1:7" x14ac:dyDescent="0.25">
      <c r="A458" s="1">
        <v>2023</v>
      </c>
      <c r="B458" s="1">
        <v>12</v>
      </c>
      <c r="C458" s="1">
        <v>21</v>
      </c>
      <c r="D458" s="1" t="s">
        <v>12</v>
      </c>
      <c r="E458" s="1" t="s">
        <v>66</v>
      </c>
      <c r="F458" s="1">
        <v>15920</v>
      </c>
      <c r="G458" s="10">
        <f t="shared" si="7"/>
        <v>15.92</v>
      </c>
    </row>
    <row r="459" spans="1:7" x14ac:dyDescent="0.25">
      <c r="A459" s="1">
        <v>2023</v>
      </c>
      <c r="B459" s="1">
        <v>12</v>
      </c>
      <c r="C459" s="1">
        <v>25</v>
      </c>
      <c r="D459" s="1" t="s">
        <v>5</v>
      </c>
      <c r="E459" s="1" t="s">
        <v>66</v>
      </c>
      <c r="F459" s="1">
        <v>89999</v>
      </c>
      <c r="G459" s="10">
        <f t="shared" si="7"/>
        <v>89.998999999999995</v>
      </c>
    </row>
    <row r="460" spans="1:7" x14ac:dyDescent="0.25">
      <c r="A460" s="1">
        <v>2023</v>
      </c>
      <c r="B460" s="1">
        <v>12</v>
      </c>
      <c r="C460" s="1">
        <v>26</v>
      </c>
      <c r="D460" s="1" t="s">
        <v>12</v>
      </c>
      <c r="E460" s="1" t="s">
        <v>66</v>
      </c>
      <c r="F460" s="1">
        <v>16722</v>
      </c>
      <c r="G460" s="10">
        <f t="shared" si="7"/>
        <v>16.722000000000001</v>
      </c>
    </row>
    <row r="461" spans="1:7" x14ac:dyDescent="0.25">
      <c r="A461" s="1">
        <v>2023</v>
      </c>
      <c r="B461" s="1">
        <v>12</v>
      </c>
      <c r="C461" s="1">
        <v>27</v>
      </c>
      <c r="D461" s="1" t="s">
        <v>20</v>
      </c>
      <c r="E461" s="1" t="s">
        <v>66</v>
      </c>
      <c r="F461" s="1">
        <v>5722</v>
      </c>
      <c r="G461" s="10">
        <f t="shared" si="7"/>
        <v>5.7220000000000004</v>
      </c>
    </row>
    <row r="462" spans="1:7" x14ac:dyDescent="0.25">
      <c r="A462" s="1">
        <v>2023</v>
      </c>
      <c r="B462" s="1">
        <v>12</v>
      </c>
      <c r="C462" s="1">
        <v>30</v>
      </c>
      <c r="D462" s="1" t="s">
        <v>12</v>
      </c>
      <c r="E462" s="1" t="s">
        <v>66</v>
      </c>
      <c r="F462" s="1">
        <v>16401</v>
      </c>
      <c r="G462" s="10">
        <f t="shared" si="7"/>
        <v>16.401</v>
      </c>
    </row>
    <row r="463" spans="1:7" x14ac:dyDescent="0.25">
      <c r="A463" s="1">
        <v>2023</v>
      </c>
      <c r="B463" s="1">
        <v>12</v>
      </c>
      <c r="C463" s="1">
        <v>30</v>
      </c>
      <c r="D463" s="1" t="s">
        <v>14</v>
      </c>
      <c r="E463" s="1" t="s">
        <v>66</v>
      </c>
      <c r="F463" s="1">
        <v>74762</v>
      </c>
      <c r="G463" s="10">
        <f t="shared" si="7"/>
        <v>74.762</v>
      </c>
    </row>
    <row r="464" spans="1:7" x14ac:dyDescent="0.25">
      <c r="A464" s="1">
        <v>2024</v>
      </c>
      <c r="B464" s="1">
        <v>1</v>
      </c>
      <c r="C464" s="1">
        <v>3</v>
      </c>
      <c r="D464" s="1" t="s">
        <v>8</v>
      </c>
      <c r="E464" s="1" t="s">
        <v>66</v>
      </c>
      <c r="F464" s="1">
        <v>1769</v>
      </c>
      <c r="G464" s="10">
        <f t="shared" si="7"/>
        <v>1.7689999999999999</v>
      </c>
    </row>
    <row r="465" spans="1:7" x14ac:dyDescent="0.25">
      <c r="A465" s="1">
        <v>2024</v>
      </c>
      <c r="B465" s="1">
        <v>1</v>
      </c>
      <c r="C465" s="1">
        <v>3</v>
      </c>
      <c r="D465" s="1" t="s">
        <v>8</v>
      </c>
      <c r="E465" s="1" t="s">
        <v>66</v>
      </c>
      <c r="F465" s="1">
        <v>2762</v>
      </c>
      <c r="G465" s="10">
        <f t="shared" si="7"/>
        <v>2.762</v>
      </c>
    </row>
    <row r="466" spans="1:7" x14ac:dyDescent="0.25">
      <c r="A466" s="1">
        <v>2024</v>
      </c>
      <c r="B466" s="1">
        <v>1</v>
      </c>
      <c r="C466" s="1">
        <v>3</v>
      </c>
      <c r="D466" s="1" t="s">
        <v>12</v>
      </c>
      <c r="E466" s="1" t="s">
        <v>66</v>
      </c>
      <c r="F466" s="1">
        <v>16722</v>
      </c>
      <c r="G466" s="10">
        <f t="shared" si="7"/>
        <v>16.722000000000001</v>
      </c>
    </row>
    <row r="467" spans="1:7" x14ac:dyDescent="0.25">
      <c r="A467" s="1">
        <v>2024</v>
      </c>
      <c r="B467" s="1">
        <v>1</v>
      </c>
      <c r="C467" s="1">
        <v>8</v>
      </c>
      <c r="D467" s="1" t="s">
        <v>12</v>
      </c>
      <c r="E467" s="1" t="s">
        <v>66</v>
      </c>
      <c r="F467" s="1">
        <v>17098</v>
      </c>
      <c r="G467" s="10">
        <f t="shared" si="7"/>
        <v>17.097999999999999</v>
      </c>
    </row>
    <row r="468" spans="1:7" x14ac:dyDescent="0.25">
      <c r="A468" s="1">
        <v>2024</v>
      </c>
      <c r="B468" s="1">
        <v>1</v>
      </c>
      <c r="C468" s="1">
        <v>9</v>
      </c>
      <c r="D468" s="1" t="s">
        <v>12</v>
      </c>
      <c r="E468" s="1" t="s">
        <v>66</v>
      </c>
      <c r="F468" s="1">
        <v>16401</v>
      </c>
      <c r="G468" s="10">
        <f t="shared" si="7"/>
        <v>16.401</v>
      </c>
    </row>
    <row r="469" spans="1:7" x14ac:dyDescent="0.25">
      <c r="A469" s="1">
        <v>2024</v>
      </c>
      <c r="B469" s="1">
        <v>1</v>
      </c>
      <c r="C469" s="1">
        <v>12</v>
      </c>
      <c r="D469" s="1" t="s">
        <v>12</v>
      </c>
      <c r="E469" s="1" t="s">
        <v>66</v>
      </c>
      <c r="F469" s="1">
        <v>15920</v>
      </c>
      <c r="G469" s="10">
        <f t="shared" si="7"/>
        <v>15.92</v>
      </c>
    </row>
    <row r="470" spans="1:7" x14ac:dyDescent="0.25">
      <c r="A470" s="1">
        <v>2024</v>
      </c>
      <c r="B470" s="1">
        <v>1</v>
      </c>
      <c r="C470" s="1">
        <v>14</v>
      </c>
      <c r="D470" s="1" t="s">
        <v>5</v>
      </c>
      <c r="E470" s="1" t="s">
        <v>66</v>
      </c>
      <c r="F470" s="1">
        <v>4017</v>
      </c>
      <c r="G470" s="10">
        <f t="shared" si="7"/>
        <v>4.0170000000000003</v>
      </c>
    </row>
    <row r="471" spans="1:7" x14ac:dyDescent="0.25">
      <c r="A471" s="1">
        <v>2024</v>
      </c>
      <c r="B471" s="1">
        <v>1</v>
      </c>
      <c r="C471" s="1">
        <v>16</v>
      </c>
      <c r="D471" s="1" t="s">
        <v>3</v>
      </c>
      <c r="E471" s="1" t="s">
        <v>66</v>
      </c>
      <c r="F471" s="1">
        <v>10349</v>
      </c>
      <c r="G471" s="10">
        <f t="shared" si="7"/>
        <v>10.349</v>
      </c>
    </row>
    <row r="472" spans="1:7" x14ac:dyDescent="0.25">
      <c r="A472" s="1">
        <v>2024</v>
      </c>
      <c r="B472" s="1">
        <v>1</v>
      </c>
      <c r="C472" s="1">
        <v>16</v>
      </c>
      <c r="D472" s="1" t="s">
        <v>3</v>
      </c>
      <c r="E472" s="1" t="s">
        <v>66</v>
      </c>
      <c r="F472" s="1">
        <v>6362</v>
      </c>
      <c r="G472" s="10">
        <f t="shared" si="7"/>
        <v>6.3620000000000001</v>
      </c>
    </row>
    <row r="473" spans="1:7" x14ac:dyDescent="0.25">
      <c r="A473" s="1">
        <v>2024</v>
      </c>
      <c r="B473" s="1">
        <v>1</v>
      </c>
      <c r="C473" s="1">
        <v>16</v>
      </c>
      <c r="D473" s="1" t="s">
        <v>12</v>
      </c>
      <c r="E473" s="1" t="s">
        <v>66</v>
      </c>
      <c r="F473" s="1">
        <v>1976</v>
      </c>
      <c r="G473" s="10">
        <f t="shared" si="7"/>
        <v>1.976</v>
      </c>
    </row>
    <row r="474" spans="1:7" x14ac:dyDescent="0.25">
      <c r="A474" s="1">
        <v>2024</v>
      </c>
      <c r="B474" s="1">
        <v>1</v>
      </c>
      <c r="C474" s="1">
        <v>16</v>
      </c>
      <c r="D474" s="1" t="s">
        <v>12</v>
      </c>
      <c r="E474" s="1" t="s">
        <v>66</v>
      </c>
      <c r="F474" s="1">
        <v>10345</v>
      </c>
      <c r="G474" s="10">
        <f t="shared" si="7"/>
        <v>10.345000000000001</v>
      </c>
    </row>
    <row r="475" spans="1:7" x14ac:dyDescent="0.25">
      <c r="A475" s="1">
        <v>2024</v>
      </c>
      <c r="B475" s="1">
        <v>1</v>
      </c>
      <c r="C475" s="1">
        <v>20</v>
      </c>
      <c r="D475" s="1" t="s">
        <v>12</v>
      </c>
      <c r="E475" s="1" t="s">
        <v>84</v>
      </c>
      <c r="F475" s="1">
        <v>14384</v>
      </c>
      <c r="G475" s="10">
        <f t="shared" si="7"/>
        <v>14.384</v>
      </c>
    </row>
    <row r="476" spans="1:7" x14ac:dyDescent="0.25">
      <c r="A476" s="1">
        <v>2024</v>
      </c>
      <c r="B476" s="1">
        <v>1</v>
      </c>
      <c r="C476" s="1">
        <v>20</v>
      </c>
      <c r="D476" s="1" t="s">
        <v>12</v>
      </c>
      <c r="E476" s="1" t="s">
        <v>84</v>
      </c>
      <c r="F476" s="1">
        <v>2338</v>
      </c>
      <c r="G476" s="10">
        <f t="shared" si="7"/>
        <v>2.3380000000000001</v>
      </c>
    </row>
    <row r="477" spans="1:7" x14ac:dyDescent="0.25">
      <c r="A477" s="1">
        <v>2024</v>
      </c>
      <c r="B477" s="1">
        <v>1</v>
      </c>
      <c r="C477" s="1">
        <v>20</v>
      </c>
      <c r="D477" s="1" t="s">
        <v>12</v>
      </c>
      <c r="E477" s="1" t="s">
        <v>66</v>
      </c>
      <c r="F477" s="1">
        <v>14999</v>
      </c>
      <c r="G477" s="10">
        <f t="shared" si="7"/>
        <v>14.999000000000001</v>
      </c>
    </row>
    <row r="478" spans="1:7" x14ac:dyDescent="0.25">
      <c r="A478" s="1">
        <v>2024</v>
      </c>
      <c r="B478" s="1">
        <v>1</v>
      </c>
      <c r="C478" s="1">
        <v>20</v>
      </c>
      <c r="D478" s="1" t="s">
        <v>10</v>
      </c>
      <c r="E478" s="1" t="s">
        <v>84</v>
      </c>
      <c r="F478" s="1">
        <v>60112</v>
      </c>
      <c r="G478" s="10">
        <f t="shared" si="7"/>
        <v>60.112000000000002</v>
      </c>
    </row>
    <row r="479" spans="1:7" x14ac:dyDescent="0.25">
      <c r="A479" s="1">
        <v>2024</v>
      </c>
      <c r="B479" s="1">
        <v>1</v>
      </c>
      <c r="C479" s="1">
        <v>21</v>
      </c>
      <c r="D479" s="1"/>
      <c r="E479" s="1" t="s">
        <v>66</v>
      </c>
      <c r="F479" s="1">
        <v>45587</v>
      </c>
      <c r="G479" s="10">
        <f t="shared" si="7"/>
        <v>45.587000000000003</v>
      </c>
    </row>
    <row r="480" spans="1:7" x14ac:dyDescent="0.25">
      <c r="A480" s="1">
        <v>2024</v>
      </c>
      <c r="B480" s="1">
        <v>1</v>
      </c>
      <c r="C480" s="1">
        <v>28</v>
      </c>
      <c r="D480" s="1" t="s">
        <v>14</v>
      </c>
      <c r="E480" s="1" t="s">
        <v>66</v>
      </c>
      <c r="F480" s="1">
        <v>17125</v>
      </c>
      <c r="G480" s="10">
        <f t="shared" si="7"/>
        <v>17.125</v>
      </c>
    </row>
    <row r="481" spans="1:7" x14ac:dyDescent="0.25">
      <c r="A481" s="1">
        <v>2024</v>
      </c>
      <c r="B481" s="1">
        <v>1</v>
      </c>
      <c r="C481" s="1">
        <v>28</v>
      </c>
      <c r="D481" s="1" t="s">
        <v>14</v>
      </c>
      <c r="E481" s="1" t="s">
        <v>66</v>
      </c>
      <c r="F481" s="1">
        <v>17125</v>
      </c>
      <c r="G481" s="10">
        <f t="shared" si="7"/>
        <v>17.125</v>
      </c>
    </row>
    <row r="482" spans="1:7" x14ac:dyDescent="0.25">
      <c r="A482" s="1">
        <v>2024</v>
      </c>
      <c r="B482" s="1">
        <v>1</v>
      </c>
      <c r="C482" s="1">
        <v>29</v>
      </c>
      <c r="D482" s="1" t="s">
        <v>12</v>
      </c>
      <c r="E482" s="1" t="s">
        <v>66</v>
      </c>
      <c r="F482" s="1">
        <v>16715</v>
      </c>
      <c r="G482" s="10">
        <f t="shared" si="7"/>
        <v>16.715</v>
      </c>
    </row>
    <row r="483" spans="1:7" x14ac:dyDescent="0.25">
      <c r="A483" s="1">
        <v>2024</v>
      </c>
      <c r="B483" s="1">
        <v>1</v>
      </c>
      <c r="C483" s="1">
        <v>29</v>
      </c>
      <c r="D483" s="1" t="s">
        <v>12</v>
      </c>
      <c r="E483" s="1" t="s">
        <v>66</v>
      </c>
      <c r="F483" s="1">
        <v>16722</v>
      </c>
      <c r="G483" s="10">
        <f t="shared" si="7"/>
        <v>16.722000000000001</v>
      </c>
    </row>
    <row r="484" spans="1:7" x14ac:dyDescent="0.25">
      <c r="A484" s="1">
        <v>2024</v>
      </c>
      <c r="B484" s="1">
        <v>1</v>
      </c>
      <c r="C484" s="1">
        <v>29</v>
      </c>
      <c r="D484" s="1" t="s">
        <v>10</v>
      </c>
      <c r="E484" s="1" t="s">
        <v>66</v>
      </c>
      <c r="F484" s="1">
        <v>37382</v>
      </c>
      <c r="G484" s="10">
        <f t="shared" si="7"/>
        <v>37.381999999999998</v>
      </c>
    </row>
    <row r="485" spans="1:7" x14ac:dyDescent="0.25">
      <c r="A485" s="1">
        <v>2024</v>
      </c>
      <c r="B485" s="1">
        <v>1</v>
      </c>
      <c r="C485" s="1">
        <v>30</v>
      </c>
      <c r="D485" s="1" t="s">
        <v>20</v>
      </c>
      <c r="E485" s="1" t="s">
        <v>66</v>
      </c>
      <c r="F485" s="1">
        <v>2179</v>
      </c>
      <c r="G485" s="10">
        <f t="shared" si="7"/>
        <v>2.1789999999999998</v>
      </c>
    </row>
    <row r="486" spans="1:7" x14ac:dyDescent="0.25">
      <c r="A486" s="1">
        <v>2024</v>
      </c>
      <c r="B486" s="1">
        <v>1</v>
      </c>
      <c r="C486" s="1">
        <v>30</v>
      </c>
      <c r="D486" s="1" t="s">
        <v>10</v>
      </c>
      <c r="E486" s="1" t="s">
        <v>66</v>
      </c>
      <c r="F486" s="1">
        <v>5516</v>
      </c>
      <c r="G486" s="10">
        <f t="shared" si="7"/>
        <v>5.516</v>
      </c>
    </row>
    <row r="487" spans="1:7" x14ac:dyDescent="0.25">
      <c r="A487" s="1">
        <v>2024</v>
      </c>
      <c r="B487" s="1">
        <v>1</v>
      </c>
      <c r="C487" s="1">
        <v>31</v>
      </c>
      <c r="D487" s="1" t="s">
        <v>14</v>
      </c>
      <c r="E487" s="1" t="s">
        <v>66</v>
      </c>
      <c r="F487" s="1">
        <v>20563</v>
      </c>
      <c r="G487" s="10">
        <f t="shared" si="7"/>
        <v>20.562999999999999</v>
      </c>
    </row>
    <row r="488" spans="1:7" x14ac:dyDescent="0.25">
      <c r="A488" s="1">
        <v>2024</v>
      </c>
      <c r="B488" s="1">
        <v>1</v>
      </c>
      <c r="C488" s="1">
        <v>31</v>
      </c>
      <c r="D488" s="1" t="s">
        <v>14</v>
      </c>
      <c r="E488" s="1" t="s">
        <v>66</v>
      </c>
      <c r="F488" s="1">
        <v>12158</v>
      </c>
      <c r="G488" s="10">
        <f t="shared" si="7"/>
        <v>12.157999999999999</v>
      </c>
    </row>
    <row r="489" spans="1:7" x14ac:dyDescent="0.25">
      <c r="A489" s="1">
        <v>2024</v>
      </c>
      <c r="B489" s="1">
        <v>1</v>
      </c>
      <c r="C489" s="1">
        <v>31</v>
      </c>
      <c r="D489" s="1" t="s">
        <v>10</v>
      </c>
      <c r="E489" s="1" t="s">
        <v>66</v>
      </c>
      <c r="F489" s="1">
        <v>11889</v>
      </c>
      <c r="G489" s="10">
        <f t="shared" si="7"/>
        <v>11.888999999999999</v>
      </c>
    </row>
    <row r="490" spans="1:7" x14ac:dyDescent="0.25">
      <c r="A490" s="1">
        <v>2024</v>
      </c>
      <c r="B490" s="1">
        <v>2</v>
      </c>
      <c r="C490" s="1">
        <v>1</v>
      </c>
      <c r="D490" s="1" t="s">
        <v>12</v>
      </c>
      <c r="E490" s="1" t="s">
        <v>66</v>
      </c>
      <c r="F490" s="1">
        <v>11677</v>
      </c>
      <c r="G490" s="10">
        <f t="shared" si="7"/>
        <v>11.677</v>
      </c>
    </row>
    <row r="491" spans="1:7" x14ac:dyDescent="0.25">
      <c r="A491" s="1">
        <v>2024</v>
      </c>
      <c r="B491" s="1">
        <v>2</v>
      </c>
      <c r="C491" s="1">
        <v>5</v>
      </c>
      <c r="D491" s="1" t="s">
        <v>12</v>
      </c>
      <c r="E491" s="1" t="s">
        <v>66</v>
      </c>
      <c r="F491" s="1">
        <v>16988</v>
      </c>
      <c r="G491" s="10">
        <f t="shared" si="7"/>
        <v>16.988</v>
      </c>
    </row>
    <row r="492" spans="1:7" x14ac:dyDescent="0.25">
      <c r="A492" s="1">
        <v>2024</v>
      </c>
      <c r="B492" s="1">
        <v>2</v>
      </c>
      <c r="C492" s="1">
        <v>9</v>
      </c>
      <c r="D492" s="1" t="s">
        <v>12</v>
      </c>
      <c r="E492" s="1" t="s">
        <v>66</v>
      </c>
      <c r="F492" s="1">
        <v>16715</v>
      </c>
      <c r="G492" s="10">
        <f t="shared" si="7"/>
        <v>16.715</v>
      </c>
    </row>
    <row r="493" spans="1:7" x14ac:dyDescent="0.25">
      <c r="A493" s="1">
        <v>2024</v>
      </c>
      <c r="B493" s="1">
        <v>2</v>
      </c>
      <c r="C493" s="1">
        <v>10</v>
      </c>
      <c r="D493" s="1" t="s">
        <v>24</v>
      </c>
      <c r="E493" s="1" t="s">
        <v>66</v>
      </c>
      <c r="F493" s="1">
        <v>141422</v>
      </c>
      <c r="G493" s="10">
        <f t="shared" si="7"/>
        <v>141.422</v>
      </c>
    </row>
    <row r="494" spans="1:7" x14ac:dyDescent="0.25">
      <c r="A494" s="1">
        <v>2024</v>
      </c>
      <c r="B494" s="1">
        <v>2</v>
      </c>
      <c r="C494" s="1">
        <v>11</v>
      </c>
      <c r="D494" s="1" t="s">
        <v>12</v>
      </c>
      <c r="E494" s="1" t="s">
        <v>66</v>
      </c>
      <c r="F494" s="1">
        <v>9890</v>
      </c>
      <c r="G494" s="10">
        <f t="shared" si="7"/>
        <v>9.89</v>
      </c>
    </row>
    <row r="495" spans="1:7" x14ac:dyDescent="0.25">
      <c r="A495" s="1">
        <v>2024</v>
      </c>
      <c r="B495" s="1">
        <v>2</v>
      </c>
      <c r="C495" s="1">
        <v>17</v>
      </c>
      <c r="D495" s="1" t="s">
        <v>12</v>
      </c>
      <c r="E495" s="1" t="s">
        <v>66</v>
      </c>
      <c r="F495" s="1">
        <v>5092</v>
      </c>
      <c r="G495" s="10">
        <f t="shared" si="7"/>
        <v>5.0919999999999996</v>
      </c>
    </row>
    <row r="496" spans="1:7" x14ac:dyDescent="0.25">
      <c r="A496" s="1">
        <v>2024</v>
      </c>
      <c r="B496" s="1">
        <v>2</v>
      </c>
      <c r="C496" s="1">
        <v>17</v>
      </c>
      <c r="D496" s="1" t="s">
        <v>12</v>
      </c>
      <c r="E496" s="1" t="s">
        <v>66</v>
      </c>
      <c r="F496" s="1">
        <v>9762</v>
      </c>
      <c r="G496" s="10">
        <f t="shared" si="7"/>
        <v>9.7620000000000005</v>
      </c>
    </row>
    <row r="497" spans="1:7" x14ac:dyDescent="0.25">
      <c r="A497" s="1">
        <v>2024</v>
      </c>
      <c r="B497" s="1">
        <v>2</v>
      </c>
      <c r="C497" s="1">
        <v>19</v>
      </c>
      <c r="D497" s="1" t="s">
        <v>12</v>
      </c>
      <c r="E497" s="1" t="s">
        <v>66</v>
      </c>
      <c r="F497" s="1">
        <v>10322</v>
      </c>
      <c r="G497" s="10">
        <f t="shared" si="7"/>
        <v>10.321999999999999</v>
      </c>
    </row>
    <row r="498" spans="1:7" x14ac:dyDescent="0.25">
      <c r="A498" s="1">
        <v>2024</v>
      </c>
      <c r="B498" s="1">
        <v>2</v>
      </c>
      <c r="C498" s="1">
        <v>19</v>
      </c>
      <c r="D498" s="1" t="s">
        <v>12</v>
      </c>
      <c r="E498" s="1" t="s">
        <v>66</v>
      </c>
      <c r="F498" s="1">
        <v>6339</v>
      </c>
      <c r="G498" s="10">
        <f t="shared" si="7"/>
        <v>6.3390000000000004</v>
      </c>
    </row>
    <row r="499" spans="1:7" x14ac:dyDescent="0.25">
      <c r="A499" s="1">
        <v>2024</v>
      </c>
      <c r="B499" s="1">
        <v>2</v>
      </c>
      <c r="C499" s="1">
        <v>21</v>
      </c>
      <c r="D499" s="1" t="s">
        <v>12</v>
      </c>
      <c r="E499" s="1" t="s">
        <v>66</v>
      </c>
      <c r="F499" s="1">
        <v>14095</v>
      </c>
      <c r="G499" s="10">
        <f t="shared" si="7"/>
        <v>14.095000000000001</v>
      </c>
    </row>
    <row r="500" spans="1:7" x14ac:dyDescent="0.25">
      <c r="A500" s="1">
        <v>2024</v>
      </c>
      <c r="B500" s="1">
        <v>2</v>
      </c>
      <c r="C500" s="1">
        <v>24</v>
      </c>
      <c r="D500" s="1" t="s">
        <v>12</v>
      </c>
      <c r="E500" s="1" t="s">
        <v>66</v>
      </c>
      <c r="F500" s="1">
        <v>2380</v>
      </c>
      <c r="G500" s="10">
        <f t="shared" si="7"/>
        <v>2.38</v>
      </c>
    </row>
    <row r="501" spans="1:7" x14ac:dyDescent="0.25">
      <c r="A501" s="1">
        <v>2024</v>
      </c>
      <c r="B501" s="1">
        <v>2</v>
      </c>
      <c r="C501" s="1">
        <v>24</v>
      </c>
      <c r="D501" s="1" t="s">
        <v>12</v>
      </c>
      <c r="E501" s="1" t="s">
        <v>66</v>
      </c>
      <c r="F501" s="1">
        <v>7834</v>
      </c>
      <c r="G501" s="10">
        <f t="shared" si="7"/>
        <v>7.8339999999999996</v>
      </c>
    </row>
    <row r="502" spans="1:7" x14ac:dyDescent="0.25">
      <c r="A502" s="1">
        <v>2024</v>
      </c>
      <c r="B502" s="1">
        <v>2</v>
      </c>
      <c r="C502" s="1">
        <v>24</v>
      </c>
      <c r="D502" s="1" t="s">
        <v>18</v>
      </c>
      <c r="E502" s="1" t="s">
        <v>66</v>
      </c>
      <c r="F502" s="1">
        <v>52649</v>
      </c>
      <c r="G502" s="10">
        <f t="shared" si="7"/>
        <v>52.649000000000001</v>
      </c>
    </row>
    <row r="503" spans="1:7" x14ac:dyDescent="0.25">
      <c r="A503" s="1">
        <v>2024</v>
      </c>
      <c r="B503" s="1">
        <v>2</v>
      </c>
      <c r="C503" s="1">
        <v>27</v>
      </c>
      <c r="D503" s="1" t="s">
        <v>14</v>
      </c>
      <c r="E503" s="1" t="s">
        <v>66</v>
      </c>
      <c r="F503" s="1">
        <v>69287</v>
      </c>
      <c r="G503" s="10">
        <f t="shared" si="7"/>
        <v>69.287000000000006</v>
      </c>
    </row>
    <row r="504" spans="1:7" x14ac:dyDescent="0.25">
      <c r="A504" s="1">
        <v>2024</v>
      </c>
      <c r="B504" s="1">
        <v>2</v>
      </c>
      <c r="C504" s="1">
        <v>27</v>
      </c>
      <c r="D504" s="1" t="s">
        <v>10</v>
      </c>
      <c r="E504" s="1" t="s">
        <v>84</v>
      </c>
      <c r="F504" s="1">
        <v>52022</v>
      </c>
      <c r="G504" s="10">
        <f t="shared" si="7"/>
        <v>52.021999999999998</v>
      </c>
    </row>
    <row r="505" spans="1:7" x14ac:dyDescent="0.25">
      <c r="A505" s="1">
        <v>2024</v>
      </c>
      <c r="B505" s="1">
        <v>2</v>
      </c>
      <c r="C505" s="1">
        <v>27</v>
      </c>
      <c r="D505" s="1" t="s">
        <v>10</v>
      </c>
      <c r="E505" s="1" t="s">
        <v>84</v>
      </c>
      <c r="F505" s="1">
        <v>18198</v>
      </c>
      <c r="G505" s="10">
        <f t="shared" si="7"/>
        <v>18.198</v>
      </c>
    </row>
    <row r="506" spans="1:7" x14ac:dyDescent="0.25">
      <c r="A506" s="1">
        <v>2024</v>
      </c>
      <c r="B506" s="1">
        <v>3</v>
      </c>
      <c r="C506" s="1">
        <v>1</v>
      </c>
      <c r="D506" s="1" t="s">
        <v>5</v>
      </c>
      <c r="E506" s="1" t="s">
        <v>66</v>
      </c>
      <c r="F506" s="1">
        <v>96744</v>
      </c>
      <c r="G506" s="10">
        <f t="shared" si="7"/>
        <v>96.744</v>
      </c>
    </row>
    <row r="507" spans="1:7" x14ac:dyDescent="0.25">
      <c r="A507" s="1">
        <v>2024</v>
      </c>
      <c r="B507" s="1">
        <v>3</v>
      </c>
      <c r="C507" s="1">
        <v>1</v>
      </c>
      <c r="D507" s="1" t="s">
        <v>12</v>
      </c>
      <c r="E507" s="1" t="s">
        <v>66</v>
      </c>
      <c r="F507" s="1">
        <v>16722</v>
      </c>
      <c r="G507" s="10">
        <f t="shared" si="7"/>
        <v>16.722000000000001</v>
      </c>
    </row>
    <row r="508" spans="1:7" x14ac:dyDescent="0.25">
      <c r="A508" s="1">
        <v>2024</v>
      </c>
      <c r="B508" s="1">
        <v>3</v>
      </c>
      <c r="C508" s="1">
        <v>1</v>
      </c>
      <c r="D508" s="1" t="s">
        <v>12</v>
      </c>
      <c r="E508" s="1" t="s">
        <v>66</v>
      </c>
      <c r="F508" s="1">
        <v>17037</v>
      </c>
      <c r="G508" s="10">
        <f t="shared" si="7"/>
        <v>17.036999999999999</v>
      </c>
    </row>
    <row r="509" spans="1:7" x14ac:dyDescent="0.25">
      <c r="A509" s="1">
        <v>2024</v>
      </c>
      <c r="B509" s="1">
        <v>3</v>
      </c>
      <c r="C509" s="1">
        <v>2</v>
      </c>
      <c r="D509" s="1" t="s">
        <v>12</v>
      </c>
      <c r="E509" s="1" t="s">
        <v>66</v>
      </c>
      <c r="F509" s="1">
        <v>8683</v>
      </c>
      <c r="G509" s="10">
        <f t="shared" si="7"/>
        <v>8.6829999999999998</v>
      </c>
    </row>
    <row r="510" spans="1:7" x14ac:dyDescent="0.25">
      <c r="A510" s="1">
        <v>2024</v>
      </c>
      <c r="B510" s="1">
        <v>3</v>
      </c>
      <c r="C510" s="1">
        <v>3</v>
      </c>
      <c r="D510" s="1" t="s">
        <v>22</v>
      </c>
      <c r="E510" s="1" t="s">
        <v>66</v>
      </c>
      <c r="F510" s="1">
        <v>45728</v>
      </c>
      <c r="G510" s="10">
        <f t="shared" si="7"/>
        <v>45.728000000000002</v>
      </c>
    </row>
    <row r="511" spans="1:7" x14ac:dyDescent="0.25">
      <c r="A511" s="1">
        <v>2024</v>
      </c>
      <c r="B511" s="1">
        <v>3</v>
      </c>
      <c r="C511" s="1">
        <v>3</v>
      </c>
      <c r="D511" s="1" t="s">
        <v>22</v>
      </c>
      <c r="E511" s="1" t="s">
        <v>66</v>
      </c>
      <c r="F511" s="1">
        <v>7676</v>
      </c>
      <c r="G511" s="10">
        <f t="shared" si="7"/>
        <v>7.6760000000000002</v>
      </c>
    </row>
    <row r="512" spans="1:7" x14ac:dyDescent="0.25">
      <c r="A512" s="1">
        <v>2024</v>
      </c>
      <c r="B512" s="1">
        <v>3</v>
      </c>
      <c r="C512" s="1">
        <v>6</v>
      </c>
      <c r="D512" s="1" t="s">
        <v>20</v>
      </c>
      <c r="E512" s="1" t="s">
        <v>66</v>
      </c>
      <c r="F512" s="1">
        <v>4087</v>
      </c>
      <c r="G512" s="10">
        <f t="shared" si="7"/>
        <v>4.0869999999999997</v>
      </c>
    </row>
    <row r="513" spans="1:7" x14ac:dyDescent="0.25">
      <c r="A513" s="1">
        <v>2024</v>
      </c>
      <c r="B513" s="1">
        <v>3</v>
      </c>
      <c r="C513" s="1">
        <v>9</v>
      </c>
      <c r="D513" s="1" t="s">
        <v>12</v>
      </c>
      <c r="E513" s="1" t="s">
        <v>66</v>
      </c>
      <c r="F513" s="1">
        <v>16093</v>
      </c>
      <c r="G513" s="10">
        <f t="shared" si="7"/>
        <v>16.093</v>
      </c>
    </row>
    <row r="514" spans="1:7" x14ac:dyDescent="0.25">
      <c r="A514" s="1">
        <v>2024</v>
      </c>
      <c r="B514" s="1">
        <v>3</v>
      </c>
      <c r="C514" s="1">
        <v>12</v>
      </c>
      <c r="D514" s="1" t="s">
        <v>12</v>
      </c>
      <c r="E514" s="1" t="s">
        <v>66</v>
      </c>
      <c r="F514" s="1">
        <v>5705</v>
      </c>
      <c r="G514" s="10">
        <f t="shared" si="7"/>
        <v>5.7050000000000001</v>
      </c>
    </row>
    <row r="515" spans="1:7" x14ac:dyDescent="0.25">
      <c r="A515" s="1">
        <v>2024</v>
      </c>
      <c r="B515" s="1">
        <v>3</v>
      </c>
      <c r="C515" s="1">
        <v>12</v>
      </c>
      <c r="D515" s="1" t="s">
        <v>12</v>
      </c>
      <c r="E515" s="1" t="s">
        <v>66</v>
      </c>
      <c r="F515" s="1">
        <v>10956</v>
      </c>
      <c r="G515" s="10">
        <f t="shared" ref="G515:G578" si="8">F515/1000</f>
        <v>10.956</v>
      </c>
    </row>
    <row r="516" spans="1:7" x14ac:dyDescent="0.25">
      <c r="A516" s="1">
        <v>2024</v>
      </c>
      <c r="B516" s="1">
        <v>3</v>
      </c>
      <c r="C516" s="1">
        <v>14</v>
      </c>
      <c r="D516" s="1" t="s">
        <v>22</v>
      </c>
      <c r="E516" s="1" t="s">
        <v>66</v>
      </c>
      <c r="F516" s="1">
        <v>70850</v>
      </c>
      <c r="G516" s="10">
        <f t="shared" si="8"/>
        <v>70.849999999999994</v>
      </c>
    </row>
    <row r="517" spans="1:7" x14ac:dyDescent="0.25">
      <c r="A517" s="1">
        <v>2024</v>
      </c>
      <c r="B517" s="1">
        <v>3</v>
      </c>
      <c r="C517" s="1">
        <v>14</v>
      </c>
      <c r="D517" s="1" t="s">
        <v>22</v>
      </c>
      <c r="E517" s="1" t="s">
        <v>66</v>
      </c>
      <c r="F517" s="1">
        <v>27439</v>
      </c>
      <c r="G517" s="10">
        <f t="shared" si="8"/>
        <v>27.439</v>
      </c>
    </row>
    <row r="518" spans="1:7" x14ac:dyDescent="0.25">
      <c r="A518" s="1">
        <v>2024</v>
      </c>
      <c r="B518" s="1">
        <v>3</v>
      </c>
      <c r="C518" s="1">
        <v>14</v>
      </c>
      <c r="D518" s="1" t="s">
        <v>22</v>
      </c>
      <c r="E518" s="1" t="s">
        <v>66</v>
      </c>
      <c r="F518" s="1">
        <v>47880</v>
      </c>
      <c r="G518" s="10">
        <f t="shared" si="8"/>
        <v>47.88</v>
      </c>
    </row>
    <row r="519" spans="1:7" x14ac:dyDescent="0.25">
      <c r="A519" s="1">
        <v>2024</v>
      </c>
      <c r="B519" s="1">
        <v>3</v>
      </c>
      <c r="C519" s="1">
        <v>15</v>
      </c>
      <c r="D519" s="1" t="s">
        <v>28</v>
      </c>
      <c r="E519" s="1" t="s">
        <v>66</v>
      </c>
      <c r="F519" s="1">
        <v>10187</v>
      </c>
      <c r="G519" s="10">
        <f t="shared" si="8"/>
        <v>10.186999999999999</v>
      </c>
    </row>
    <row r="520" spans="1:7" x14ac:dyDescent="0.25">
      <c r="A520" s="1">
        <v>2024</v>
      </c>
      <c r="B520" s="1">
        <v>3</v>
      </c>
      <c r="C520" s="1">
        <v>15</v>
      </c>
      <c r="D520" s="1" t="s">
        <v>28</v>
      </c>
      <c r="E520" s="1" t="s">
        <v>66</v>
      </c>
      <c r="F520" s="1">
        <v>9965</v>
      </c>
      <c r="G520" s="10">
        <f t="shared" si="8"/>
        <v>9.9649999999999999</v>
      </c>
    </row>
    <row r="521" spans="1:7" x14ac:dyDescent="0.25">
      <c r="A521" s="1">
        <v>2024</v>
      </c>
      <c r="B521" s="1">
        <v>3</v>
      </c>
      <c r="C521" s="1">
        <v>16</v>
      </c>
      <c r="D521" s="1" t="s">
        <v>28</v>
      </c>
      <c r="E521" s="1" t="s">
        <v>66</v>
      </c>
      <c r="F521" s="1">
        <v>6492</v>
      </c>
      <c r="G521" s="10">
        <f t="shared" si="8"/>
        <v>6.492</v>
      </c>
    </row>
    <row r="522" spans="1:7" x14ac:dyDescent="0.25">
      <c r="A522" s="1">
        <v>2024</v>
      </c>
      <c r="B522" s="1">
        <v>3</v>
      </c>
      <c r="C522" s="1">
        <v>18</v>
      </c>
      <c r="D522" s="1" t="s">
        <v>8</v>
      </c>
      <c r="E522" s="1" t="s">
        <v>66</v>
      </c>
      <c r="F522" s="1">
        <v>3801</v>
      </c>
      <c r="G522" s="10">
        <f t="shared" si="8"/>
        <v>3.8010000000000002</v>
      </c>
    </row>
    <row r="523" spans="1:7" x14ac:dyDescent="0.25">
      <c r="A523" s="1">
        <v>2024</v>
      </c>
      <c r="B523" s="1">
        <v>3</v>
      </c>
      <c r="C523" s="1">
        <v>18</v>
      </c>
      <c r="D523" s="1" t="s">
        <v>12</v>
      </c>
      <c r="E523" s="1" t="s">
        <v>66</v>
      </c>
      <c r="F523" s="1">
        <v>16099</v>
      </c>
      <c r="G523" s="10">
        <f t="shared" si="8"/>
        <v>16.099</v>
      </c>
    </row>
    <row r="524" spans="1:7" x14ac:dyDescent="0.25">
      <c r="A524" s="1">
        <v>2024</v>
      </c>
      <c r="B524" s="1">
        <v>3</v>
      </c>
      <c r="C524" s="1">
        <v>20</v>
      </c>
      <c r="D524" s="1" t="s">
        <v>8</v>
      </c>
      <c r="E524" s="1" t="s">
        <v>66</v>
      </c>
      <c r="F524" s="1">
        <v>5226</v>
      </c>
      <c r="G524" s="10">
        <f t="shared" si="8"/>
        <v>5.226</v>
      </c>
    </row>
    <row r="525" spans="1:7" x14ac:dyDescent="0.25">
      <c r="A525" s="1">
        <v>2024</v>
      </c>
      <c r="B525" s="1">
        <v>3</v>
      </c>
      <c r="C525" s="1">
        <v>20</v>
      </c>
      <c r="D525" s="1" t="s">
        <v>18</v>
      </c>
      <c r="E525" s="1" t="s">
        <v>66</v>
      </c>
      <c r="F525" s="1">
        <v>17685</v>
      </c>
      <c r="G525" s="10">
        <f t="shared" si="8"/>
        <v>17.684999999999999</v>
      </c>
    </row>
    <row r="526" spans="1:7" x14ac:dyDescent="0.25">
      <c r="A526" s="1">
        <v>2024</v>
      </c>
      <c r="B526" s="1">
        <v>3</v>
      </c>
      <c r="C526" s="1">
        <v>20</v>
      </c>
      <c r="D526" s="1" t="s">
        <v>18</v>
      </c>
      <c r="E526" s="1" t="s">
        <v>66</v>
      </c>
      <c r="F526" s="1">
        <v>26161</v>
      </c>
      <c r="G526" s="10">
        <f t="shared" si="8"/>
        <v>26.161000000000001</v>
      </c>
    </row>
    <row r="527" spans="1:7" x14ac:dyDescent="0.25">
      <c r="A527" s="1">
        <v>2024</v>
      </c>
      <c r="B527" s="1">
        <v>3</v>
      </c>
      <c r="C527" s="1">
        <v>23</v>
      </c>
      <c r="D527" s="1" t="s">
        <v>31</v>
      </c>
      <c r="E527" s="1" t="s">
        <v>66</v>
      </c>
      <c r="F527" s="1">
        <v>77969</v>
      </c>
      <c r="G527" s="10">
        <f t="shared" si="8"/>
        <v>77.968999999999994</v>
      </c>
    </row>
    <row r="528" spans="1:7" x14ac:dyDescent="0.25">
      <c r="A528" s="1">
        <v>2024</v>
      </c>
      <c r="B528" s="1">
        <v>3</v>
      </c>
      <c r="C528" s="1">
        <v>25</v>
      </c>
      <c r="D528" s="1" t="s">
        <v>12</v>
      </c>
      <c r="E528" s="1" t="s">
        <v>66</v>
      </c>
      <c r="F528" s="1">
        <v>16561</v>
      </c>
      <c r="G528" s="10">
        <f t="shared" si="8"/>
        <v>16.561</v>
      </c>
    </row>
    <row r="529" spans="1:7" x14ac:dyDescent="0.25">
      <c r="A529" s="1">
        <v>2024</v>
      </c>
      <c r="B529" s="1">
        <v>3</v>
      </c>
      <c r="C529" s="1">
        <v>25</v>
      </c>
      <c r="D529" s="1" t="s">
        <v>12</v>
      </c>
      <c r="E529" s="1" t="s">
        <v>66</v>
      </c>
      <c r="F529" s="1">
        <v>14296</v>
      </c>
      <c r="G529" s="10">
        <f t="shared" si="8"/>
        <v>14.295999999999999</v>
      </c>
    </row>
    <row r="530" spans="1:7" x14ac:dyDescent="0.25">
      <c r="A530" s="1">
        <v>2024</v>
      </c>
      <c r="B530" s="1">
        <v>3</v>
      </c>
      <c r="C530" s="1">
        <v>29</v>
      </c>
      <c r="D530" s="1" t="s">
        <v>12</v>
      </c>
      <c r="E530" s="1" t="s">
        <v>66</v>
      </c>
      <c r="F530" s="1">
        <v>17097</v>
      </c>
      <c r="G530" s="10">
        <f t="shared" si="8"/>
        <v>17.097000000000001</v>
      </c>
    </row>
    <row r="531" spans="1:7" x14ac:dyDescent="0.25">
      <c r="A531" s="1">
        <v>2024</v>
      </c>
      <c r="B531" s="1">
        <v>4</v>
      </c>
      <c r="C531" s="1">
        <v>1</v>
      </c>
      <c r="D531" s="1" t="s">
        <v>22</v>
      </c>
      <c r="E531" s="1" t="s">
        <v>66</v>
      </c>
      <c r="F531" s="1">
        <v>9851</v>
      </c>
      <c r="G531" s="10">
        <f t="shared" si="8"/>
        <v>9.8510000000000009</v>
      </c>
    </row>
    <row r="532" spans="1:7" x14ac:dyDescent="0.25">
      <c r="A532" s="1">
        <v>2024</v>
      </c>
      <c r="B532" s="1">
        <v>4</v>
      </c>
      <c r="C532" s="1">
        <v>1</v>
      </c>
      <c r="D532" s="1" t="s">
        <v>22</v>
      </c>
      <c r="E532" s="1" t="s">
        <v>66</v>
      </c>
      <c r="F532" s="1">
        <v>12674</v>
      </c>
      <c r="G532" s="10">
        <f t="shared" si="8"/>
        <v>12.673999999999999</v>
      </c>
    </row>
    <row r="533" spans="1:7" x14ac:dyDescent="0.25">
      <c r="A533" s="1">
        <v>2024</v>
      </c>
      <c r="B533" s="1">
        <v>4</v>
      </c>
      <c r="C533" s="1">
        <v>1</v>
      </c>
      <c r="D533" s="1" t="s">
        <v>22</v>
      </c>
      <c r="E533" s="1" t="s">
        <v>66</v>
      </c>
      <c r="F533" s="1">
        <v>5645</v>
      </c>
      <c r="G533" s="10">
        <f t="shared" si="8"/>
        <v>5.6449999999999996</v>
      </c>
    </row>
    <row r="534" spans="1:7" x14ac:dyDescent="0.25">
      <c r="A534" s="1">
        <v>2024</v>
      </c>
      <c r="B534" s="1">
        <v>4</v>
      </c>
      <c r="C534" s="1">
        <v>1</v>
      </c>
      <c r="D534" s="1" t="s">
        <v>22</v>
      </c>
      <c r="E534" s="1" t="s">
        <v>66</v>
      </c>
      <c r="F534" s="1">
        <v>12674</v>
      </c>
      <c r="G534" s="10">
        <f t="shared" si="8"/>
        <v>12.673999999999999</v>
      </c>
    </row>
    <row r="535" spans="1:7" x14ac:dyDescent="0.25">
      <c r="A535" s="1">
        <v>2024</v>
      </c>
      <c r="B535" s="1">
        <v>4</v>
      </c>
      <c r="C535" s="1">
        <v>1</v>
      </c>
      <c r="D535" s="1" t="s">
        <v>36</v>
      </c>
      <c r="E535" s="1" t="s">
        <v>66</v>
      </c>
      <c r="F535" s="1">
        <v>4418</v>
      </c>
      <c r="G535" s="10">
        <f t="shared" si="8"/>
        <v>4.4180000000000001</v>
      </c>
    </row>
    <row r="536" spans="1:7" x14ac:dyDescent="0.25">
      <c r="A536" s="1">
        <v>2024</v>
      </c>
      <c r="B536" s="1">
        <v>4</v>
      </c>
      <c r="C536" s="1">
        <v>2</v>
      </c>
      <c r="D536" s="1" t="s">
        <v>12</v>
      </c>
      <c r="E536" s="1" t="s">
        <v>66</v>
      </c>
      <c r="F536" s="1">
        <v>16715</v>
      </c>
      <c r="G536" s="10">
        <f t="shared" si="8"/>
        <v>16.715</v>
      </c>
    </row>
    <row r="537" spans="1:7" x14ac:dyDescent="0.25">
      <c r="A537" s="1">
        <v>2024</v>
      </c>
      <c r="B537" s="1">
        <v>4</v>
      </c>
      <c r="C537" s="1">
        <v>3</v>
      </c>
      <c r="D537" s="1" t="s">
        <v>22</v>
      </c>
      <c r="E537" s="1" t="s">
        <v>66</v>
      </c>
      <c r="F537" s="1">
        <v>17541</v>
      </c>
      <c r="G537" s="10">
        <f t="shared" si="8"/>
        <v>17.541</v>
      </c>
    </row>
    <row r="538" spans="1:7" x14ac:dyDescent="0.25">
      <c r="A538" s="1">
        <v>2024</v>
      </c>
      <c r="B538" s="1">
        <v>4</v>
      </c>
      <c r="C538" s="1">
        <v>3</v>
      </c>
      <c r="D538" s="1" t="s">
        <v>22</v>
      </c>
      <c r="E538" s="1" t="s">
        <v>66</v>
      </c>
      <c r="F538" s="1">
        <v>10175</v>
      </c>
      <c r="G538" s="10">
        <f t="shared" si="8"/>
        <v>10.175000000000001</v>
      </c>
    </row>
    <row r="539" spans="1:7" x14ac:dyDescent="0.25">
      <c r="A539" s="1">
        <v>2024</v>
      </c>
      <c r="B539" s="1">
        <v>4</v>
      </c>
      <c r="C539" s="1">
        <v>3</v>
      </c>
      <c r="D539" s="1" t="s">
        <v>22</v>
      </c>
      <c r="E539" s="1" t="s">
        <v>66</v>
      </c>
      <c r="F539" s="1">
        <v>4589</v>
      </c>
      <c r="G539" s="10">
        <f t="shared" si="8"/>
        <v>4.5890000000000004</v>
      </c>
    </row>
    <row r="540" spans="1:7" x14ac:dyDescent="0.25">
      <c r="A540" s="1">
        <v>2024</v>
      </c>
      <c r="B540" s="1">
        <v>4</v>
      </c>
      <c r="C540" s="1">
        <v>3</v>
      </c>
      <c r="D540" s="1" t="s">
        <v>22</v>
      </c>
      <c r="E540" s="1" t="s">
        <v>66</v>
      </c>
      <c r="F540" s="1">
        <v>8009</v>
      </c>
      <c r="G540" s="10">
        <f t="shared" si="8"/>
        <v>8.0090000000000003</v>
      </c>
    </row>
    <row r="541" spans="1:7" x14ac:dyDescent="0.25">
      <c r="A541" s="1">
        <v>2024</v>
      </c>
      <c r="B541" s="1">
        <v>4</v>
      </c>
      <c r="C541" s="1">
        <v>3</v>
      </c>
      <c r="D541" s="1" t="s">
        <v>10</v>
      </c>
      <c r="E541" s="1" t="s">
        <v>66</v>
      </c>
      <c r="F541" s="1">
        <v>61872</v>
      </c>
      <c r="G541" s="10">
        <f t="shared" si="8"/>
        <v>61.872</v>
      </c>
    </row>
    <row r="542" spans="1:7" x14ac:dyDescent="0.25">
      <c r="A542" s="1">
        <v>2024</v>
      </c>
      <c r="B542" s="1">
        <v>4</v>
      </c>
      <c r="C542" s="1">
        <v>4</v>
      </c>
      <c r="D542" s="1" t="s">
        <v>33</v>
      </c>
      <c r="E542" s="1" t="s">
        <v>66</v>
      </c>
      <c r="F542" s="1">
        <v>41975</v>
      </c>
      <c r="G542" s="10">
        <f t="shared" si="8"/>
        <v>41.975000000000001</v>
      </c>
    </row>
    <row r="543" spans="1:7" x14ac:dyDescent="0.25">
      <c r="A543" s="1">
        <v>2024</v>
      </c>
      <c r="B543" s="1">
        <v>4</v>
      </c>
      <c r="C543" s="1">
        <v>4</v>
      </c>
      <c r="D543" s="1" t="s">
        <v>14</v>
      </c>
      <c r="E543" s="1" t="s">
        <v>66</v>
      </c>
      <c r="F543" s="1">
        <v>26731</v>
      </c>
      <c r="G543" s="10">
        <f t="shared" si="8"/>
        <v>26.731000000000002</v>
      </c>
    </row>
    <row r="544" spans="1:7" x14ac:dyDescent="0.25">
      <c r="A544" s="1">
        <v>2024</v>
      </c>
      <c r="B544" s="1">
        <v>4</v>
      </c>
      <c r="C544" s="1">
        <v>7</v>
      </c>
      <c r="D544" s="1" t="s">
        <v>5</v>
      </c>
      <c r="E544" s="1" t="s">
        <v>66</v>
      </c>
      <c r="F544" s="1">
        <v>98230</v>
      </c>
      <c r="G544" s="10">
        <f t="shared" si="8"/>
        <v>98.23</v>
      </c>
    </row>
    <row r="545" spans="1:7" x14ac:dyDescent="0.25">
      <c r="A545" s="1">
        <v>2024</v>
      </c>
      <c r="B545" s="1">
        <v>4</v>
      </c>
      <c r="C545" s="1">
        <v>14</v>
      </c>
      <c r="D545" s="1" t="s">
        <v>12</v>
      </c>
      <c r="E545" s="1" t="s">
        <v>66</v>
      </c>
      <c r="F545" s="1">
        <v>15779</v>
      </c>
      <c r="G545" s="10">
        <f t="shared" si="8"/>
        <v>15.779</v>
      </c>
    </row>
    <row r="546" spans="1:7" x14ac:dyDescent="0.25">
      <c r="A546" s="1">
        <v>2024</v>
      </c>
      <c r="B546" s="1">
        <v>4</v>
      </c>
      <c r="C546" s="1">
        <v>17</v>
      </c>
      <c r="D546" s="1" t="s">
        <v>18</v>
      </c>
      <c r="E546" s="1" t="s">
        <v>66</v>
      </c>
      <c r="F546" s="1">
        <v>75987</v>
      </c>
      <c r="G546" s="10">
        <f t="shared" si="8"/>
        <v>75.986999999999995</v>
      </c>
    </row>
    <row r="547" spans="1:7" x14ac:dyDescent="0.25">
      <c r="A547" s="1">
        <v>2024</v>
      </c>
      <c r="B547" s="1">
        <v>4</v>
      </c>
      <c r="C547" s="1">
        <v>20</v>
      </c>
      <c r="D547" s="1" t="s">
        <v>20</v>
      </c>
      <c r="E547" s="1" t="s">
        <v>66</v>
      </c>
      <c r="F547" s="1">
        <v>6540</v>
      </c>
      <c r="G547" s="10">
        <f t="shared" si="8"/>
        <v>6.54</v>
      </c>
    </row>
    <row r="548" spans="1:7" x14ac:dyDescent="0.25">
      <c r="A548" s="1">
        <v>2024</v>
      </c>
      <c r="B548" s="1">
        <v>4</v>
      </c>
      <c r="C548" s="1">
        <v>20</v>
      </c>
      <c r="D548" s="1" t="s">
        <v>10</v>
      </c>
      <c r="E548" s="1" t="s">
        <v>84</v>
      </c>
      <c r="F548" s="1">
        <v>63108</v>
      </c>
      <c r="G548" s="10">
        <f t="shared" si="8"/>
        <v>63.107999999999997</v>
      </c>
    </row>
    <row r="549" spans="1:7" x14ac:dyDescent="0.25">
      <c r="A549" s="1">
        <v>2024</v>
      </c>
      <c r="B549" s="1">
        <v>4</v>
      </c>
      <c r="C549" s="1">
        <v>23</v>
      </c>
      <c r="D549" s="1" t="s">
        <v>12</v>
      </c>
      <c r="E549" s="1" t="s">
        <v>66</v>
      </c>
      <c r="F549" s="1">
        <v>15817</v>
      </c>
      <c r="G549" s="10">
        <f t="shared" si="8"/>
        <v>15.817</v>
      </c>
    </row>
    <row r="550" spans="1:7" x14ac:dyDescent="0.25">
      <c r="A550" s="1">
        <v>2024</v>
      </c>
      <c r="B550" s="1">
        <v>4</v>
      </c>
      <c r="C550" s="1">
        <v>29</v>
      </c>
      <c r="D550" s="1" t="s">
        <v>12</v>
      </c>
      <c r="E550" s="1" t="s">
        <v>66</v>
      </c>
      <c r="F550" s="1">
        <v>16661</v>
      </c>
      <c r="G550" s="10">
        <f t="shared" si="8"/>
        <v>16.661000000000001</v>
      </c>
    </row>
    <row r="551" spans="1:7" x14ac:dyDescent="0.25">
      <c r="A551" s="1">
        <v>2024</v>
      </c>
      <c r="B551" s="1">
        <v>4</v>
      </c>
      <c r="C551" s="1">
        <v>29</v>
      </c>
      <c r="D551" s="1" t="s">
        <v>31</v>
      </c>
      <c r="E551" s="1" t="s">
        <v>66</v>
      </c>
      <c r="F551" s="1">
        <v>66454</v>
      </c>
      <c r="G551" s="10">
        <f t="shared" si="8"/>
        <v>66.453999999999994</v>
      </c>
    </row>
    <row r="552" spans="1:7" x14ac:dyDescent="0.25">
      <c r="A552" s="1">
        <v>2024</v>
      </c>
      <c r="B552" s="1">
        <v>4</v>
      </c>
      <c r="C552" s="1">
        <v>30</v>
      </c>
      <c r="D552" s="1" t="s">
        <v>36</v>
      </c>
      <c r="E552" s="1" t="s">
        <v>66</v>
      </c>
      <c r="F552" s="1">
        <v>28741</v>
      </c>
      <c r="G552" s="10">
        <f t="shared" si="8"/>
        <v>28.741</v>
      </c>
    </row>
    <row r="553" spans="1:7" x14ac:dyDescent="0.25">
      <c r="A553" s="1">
        <v>2024</v>
      </c>
      <c r="B553" s="1">
        <v>5</v>
      </c>
      <c r="C553" s="1">
        <v>1</v>
      </c>
      <c r="D553" s="1" t="s">
        <v>5</v>
      </c>
      <c r="E553" s="1" t="s">
        <v>66</v>
      </c>
      <c r="F553" s="1">
        <v>103796</v>
      </c>
      <c r="G553" s="10">
        <f t="shared" si="8"/>
        <v>103.79600000000001</v>
      </c>
    </row>
    <row r="554" spans="1:7" x14ac:dyDescent="0.25">
      <c r="A554" s="1">
        <v>2024</v>
      </c>
      <c r="B554" s="1">
        <v>5</v>
      </c>
      <c r="C554" s="1">
        <v>3</v>
      </c>
      <c r="D554" s="1" t="s">
        <v>3</v>
      </c>
      <c r="E554" s="1" t="s">
        <v>66</v>
      </c>
      <c r="F554" s="1">
        <v>21113</v>
      </c>
      <c r="G554" s="10">
        <f t="shared" si="8"/>
        <v>21.113</v>
      </c>
    </row>
    <row r="555" spans="1:7" x14ac:dyDescent="0.25">
      <c r="A555" s="1">
        <v>2024</v>
      </c>
      <c r="B555" s="1">
        <v>5</v>
      </c>
      <c r="C555" s="1">
        <v>3</v>
      </c>
      <c r="D555" s="1" t="s">
        <v>3</v>
      </c>
      <c r="E555" s="1" t="s">
        <v>66</v>
      </c>
      <c r="F555" s="1">
        <v>15162</v>
      </c>
      <c r="G555" s="10">
        <f t="shared" si="8"/>
        <v>15.162000000000001</v>
      </c>
    </row>
    <row r="556" spans="1:7" x14ac:dyDescent="0.25">
      <c r="A556" s="1">
        <v>2024</v>
      </c>
      <c r="B556" s="1">
        <v>5</v>
      </c>
      <c r="C556" s="1">
        <v>4</v>
      </c>
      <c r="D556" s="1" t="s">
        <v>12</v>
      </c>
      <c r="E556" s="1" t="s">
        <v>66</v>
      </c>
      <c r="F556" s="1">
        <v>15779</v>
      </c>
      <c r="G556" s="10">
        <f t="shared" si="8"/>
        <v>15.779</v>
      </c>
    </row>
    <row r="557" spans="1:7" x14ac:dyDescent="0.25">
      <c r="A557" s="1">
        <v>2024</v>
      </c>
      <c r="B557" s="1">
        <v>5</v>
      </c>
      <c r="C557" s="1">
        <v>12</v>
      </c>
      <c r="D557" s="1" t="s">
        <v>41</v>
      </c>
      <c r="E557" s="1" t="s">
        <v>66</v>
      </c>
      <c r="F557" s="1">
        <v>31585</v>
      </c>
      <c r="G557" s="10">
        <f t="shared" si="8"/>
        <v>31.585000000000001</v>
      </c>
    </row>
    <row r="558" spans="1:7" x14ac:dyDescent="0.25">
      <c r="A558" s="1">
        <v>2024</v>
      </c>
      <c r="B558" s="1">
        <v>5</v>
      </c>
      <c r="C558" s="1">
        <v>12</v>
      </c>
      <c r="D558" s="1" t="s">
        <v>10</v>
      </c>
      <c r="E558" s="1" t="s">
        <v>66</v>
      </c>
      <c r="F558" s="1">
        <v>39815</v>
      </c>
      <c r="G558" s="10">
        <f t="shared" si="8"/>
        <v>39.814999999999998</v>
      </c>
    </row>
    <row r="559" spans="1:7" x14ac:dyDescent="0.25">
      <c r="A559" s="1">
        <v>2024</v>
      </c>
      <c r="B559" s="1">
        <v>5</v>
      </c>
      <c r="C559" s="1">
        <v>13</v>
      </c>
      <c r="D559" s="1" t="s">
        <v>12</v>
      </c>
      <c r="E559" s="1" t="s">
        <v>66</v>
      </c>
      <c r="F559" s="1">
        <v>17631</v>
      </c>
      <c r="G559" s="10">
        <f t="shared" si="8"/>
        <v>17.631</v>
      </c>
    </row>
    <row r="560" spans="1:7" x14ac:dyDescent="0.25">
      <c r="A560" s="1">
        <v>2024</v>
      </c>
      <c r="B560" s="1">
        <v>5</v>
      </c>
      <c r="C560" s="1">
        <v>14</v>
      </c>
      <c r="D560" s="1" t="s">
        <v>12</v>
      </c>
      <c r="E560" s="1" t="s">
        <v>66</v>
      </c>
      <c r="F560" s="1">
        <v>16661</v>
      </c>
      <c r="G560" s="10">
        <f t="shared" si="8"/>
        <v>16.661000000000001</v>
      </c>
    </row>
    <row r="561" spans="1:7" x14ac:dyDescent="0.25">
      <c r="A561" s="1">
        <v>2024</v>
      </c>
      <c r="B561" s="1">
        <v>5</v>
      </c>
      <c r="C561" s="1">
        <v>17</v>
      </c>
      <c r="D561" s="1" t="s">
        <v>12</v>
      </c>
      <c r="E561" s="1" t="s">
        <v>66</v>
      </c>
      <c r="F561" s="1">
        <v>7673</v>
      </c>
      <c r="G561" s="10">
        <f t="shared" si="8"/>
        <v>7.673</v>
      </c>
    </row>
    <row r="562" spans="1:7" x14ac:dyDescent="0.25">
      <c r="A562" s="1">
        <v>2024</v>
      </c>
      <c r="B562" s="1">
        <v>5</v>
      </c>
      <c r="C562" s="1">
        <v>21</v>
      </c>
      <c r="D562" s="1" t="s">
        <v>12</v>
      </c>
      <c r="E562" s="1" t="s">
        <v>66</v>
      </c>
      <c r="F562" s="1">
        <v>9042</v>
      </c>
      <c r="G562" s="10">
        <f t="shared" si="8"/>
        <v>9.0419999999999998</v>
      </c>
    </row>
    <row r="563" spans="1:7" x14ac:dyDescent="0.25">
      <c r="A563" s="1">
        <v>2024</v>
      </c>
      <c r="B563" s="1">
        <v>5</v>
      </c>
      <c r="C563" s="1">
        <v>22</v>
      </c>
      <c r="D563" s="1" t="s">
        <v>12</v>
      </c>
      <c r="E563" s="1" t="s">
        <v>66</v>
      </c>
      <c r="F563" s="1">
        <v>16661</v>
      </c>
      <c r="G563" s="10">
        <f t="shared" si="8"/>
        <v>16.661000000000001</v>
      </c>
    </row>
    <row r="564" spans="1:7" x14ac:dyDescent="0.25">
      <c r="A564" s="1">
        <v>2024</v>
      </c>
      <c r="B564" s="1">
        <v>5</v>
      </c>
      <c r="C564" s="1">
        <v>28</v>
      </c>
      <c r="D564" s="1" t="s">
        <v>10</v>
      </c>
      <c r="E564" s="1" t="s">
        <v>66</v>
      </c>
      <c r="F564" s="1">
        <v>47475</v>
      </c>
      <c r="G564" s="10">
        <f t="shared" si="8"/>
        <v>47.475000000000001</v>
      </c>
    </row>
    <row r="565" spans="1:7" x14ac:dyDescent="0.25">
      <c r="A565" s="1">
        <v>2024</v>
      </c>
      <c r="B565" s="1">
        <v>5</v>
      </c>
      <c r="C565" s="1">
        <v>29</v>
      </c>
      <c r="D565" s="1" t="s">
        <v>3</v>
      </c>
      <c r="E565" s="1" t="s">
        <v>66</v>
      </c>
      <c r="F565" s="1">
        <v>8193</v>
      </c>
      <c r="G565" s="10">
        <f t="shared" si="8"/>
        <v>8.1929999999999996</v>
      </c>
    </row>
    <row r="566" spans="1:7" x14ac:dyDescent="0.25">
      <c r="A566" s="1">
        <v>2024</v>
      </c>
      <c r="B566" s="1">
        <v>5</v>
      </c>
      <c r="C566" s="1">
        <v>29</v>
      </c>
      <c r="D566" s="1" t="s">
        <v>38</v>
      </c>
      <c r="E566" s="1" t="s">
        <v>66</v>
      </c>
      <c r="F566" s="1">
        <v>11603</v>
      </c>
      <c r="G566" s="10">
        <f t="shared" si="8"/>
        <v>11.603</v>
      </c>
    </row>
    <row r="567" spans="1:7" x14ac:dyDescent="0.25">
      <c r="A567" s="1">
        <v>2024</v>
      </c>
      <c r="B567" s="1">
        <v>5</v>
      </c>
      <c r="C567" s="1">
        <v>29</v>
      </c>
      <c r="D567" s="1" t="s">
        <v>38</v>
      </c>
      <c r="E567" s="1" t="s">
        <v>66</v>
      </c>
      <c r="F567" s="1">
        <v>11603</v>
      </c>
      <c r="G567" s="10">
        <f t="shared" si="8"/>
        <v>11.603</v>
      </c>
    </row>
    <row r="568" spans="1:7" x14ac:dyDescent="0.25">
      <c r="A568" s="1">
        <v>2024</v>
      </c>
      <c r="B568" s="1">
        <v>5</v>
      </c>
      <c r="C568" s="1">
        <v>31</v>
      </c>
      <c r="D568" s="1" t="s">
        <v>20</v>
      </c>
      <c r="E568" s="1" t="s">
        <v>66</v>
      </c>
      <c r="F568" s="1">
        <v>2724</v>
      </c>
      <c r="G568" s="10">
        <f t="shared" si="8"/>
        <v>2.7240000000000002</v>
      </c>
    </row>
    <row r="569" spans="1:7" x14ac:dyDescent="0.25">
      <c r="A569" s="1">
        <v>2024</v>
      </c>
      <c r="B569" s="1">
        <v>5</v>
      </c>
      <c r="C569" s="1">
        <v>31</v>
      </c>
      <c r="D569" s="1" t="s">
        <v>20</v>
      </c>
      <c r="E569" s="1" t="s">
        <v>66</v>
      </c>
      <c r="F569" s="1">
        <v>5994</v>
      </c>
      <c r="G569" s="10">
        <f t="shared" si="8"/>
        <v>5.9939999999999998</v>
      </c>
    </row>
    <row r="570" spans="1:7" x14ac:dyDescent="0.25">
      <c r="A570" s="1">
        <v>2024</v>
      </c>
      <c r="B570" s="1">
        <v>6</v>
      </c>
      <c r="C570" s="1">
        <v>3</v>
      </c>
      <c r="D570" s="1" t="s">
        <v>12</v>
      </c>
      <c r="E570" s="1" t="s">
        <v>66</v>
      </c>
      <c r="F570" s="1">
        <v>16163</v>
      </c>
      <c r="G570" s="10">
        <f t="shared" si="8"/>
        <v>16.163</v>
      </c>
    </row>
    <row r="571" spans="1:7" x14ac:dyDescent="0.25">
      <c r="A571" s="1">
        <v>2024</v>
      </c>
      <c r="B571" s="1">
        <v>6</v>
      </c>
      <c r="C571" s="1">
        <v>4</v>
      </c>
      <c r="D571" s="1" t="s">
        <v>5</v>
      </c>
      <c r="E571" s="1" t="s">
        <v>66</v>
      </c>
      <c r="F571" s="1">
        <v>91677</v>
      </c>
      <c r="G571" s="10">
        <f t="shared" si="8"/>
        <v>91.677000000000007</v>
      </c>
    </row>
    <row r="572" spans="1:7" x14ac:dyDescent="0.25">
      <c r="A572" s="1">
        <v>2024</v>
      </c>
      <c r="B572" s="1">
        <v>6</v>
      </c>
      <c r="C572" s="1">
        <v>12</v>
      </c>
      <c r="D572" s="1" t="s">
        <v>12</v>
      </c>
      <c r="E572" s="1" t="s">
        <v>66</v>
      </c>
      <c r="F572" s="1">
        <v>15817</v>
      </c>
      <c r="G572" s="10">
        <f t="shared" si="8"/>
        <v>15.817</v>
      </c>
    </row>
    <row r="573" spans="1:7" x14ac:dyDescent="0.25">
      <c r="A573" s="1">
        <v>2024</v>
      </c>
      <c r="B573" s="1">
        <v>6</v>
      </c>
      <c r="C573" s="1">
        <v>13</v>
      </c>
      <c r="D573" s="1" t="s">
        <v>8</v>
      </c>
      <c r="E573" s="1" t="s">
        <v>66</v>
      </c>
      <c r="F573" s="1">
        <v>9674</v>
      </c>
      <c r="G573" s="10">
        <f t="shared" si="8"/>
        <v>9.6739999999999995</v>
      </c>
    </row>
    <row r="574" spans="1:7" x14ac:dyDescent="0.25">
      <c r="A574" s="1">
        <v>2024</v>
      </c>
      <c r="B574" s="1">
        <v>6</v>
      </c>
      <c r="C574" s="1">
        <v>22</v>
      </c>
      <c r="D574" s="1" t="s">
        <v>12</v>
      </c>
      <c r="E574" s="1" t="s">
        <v>66</v>
      </c>
      <c r="F574" s="1">
        <v>16933</v>
      </c>
      <c r="G574" s="10">
        <f t="shared" si="8"/>
        <v>16.933</v>
      </c>
    </row>
    <row r="575" spans="1:7" x14ac:dyDescent="0.25">
      <c r="A575" s="1">
        <v>2024</v>
      </c>
      <c r="B575" s="1">
        <v>6</v>
      </c>
      <c r="C575" s="1">
        <v>28</v>
      </c>
      <c r="D575" s="1" t="s">
        <v>12</v>
      </c>
      <c r="E575" s="1" t="s">
        <v>66</v>
      </c>
      <c r="F575" s="1">
        <v>16707</v>
      </c>
      <c r="G575" s="10">
        <f t="shared" si="8"/>
        <v>16.707000000000001</v>
      </c>
    </row>
    <row r="576" spans="1:7" x14ac:dyDescent="0.25">
      <c r="A576" s="1">
        <v>2024</v>
      </c>
      <c r="B576" s="1">
        <v>7</v>
      </c>
      <c r="C576" s="1">
        <v>2</v>
      </c>
      <c r="D576" s="1" t="s">
        <v>44</v>
      </c>
      <c r="E576" s="1" t="s">
        <v>66</v>
      </c>
      <c r="F576" s="1">
        <v>52012</v>
      </c>
      <c r="G576" s="10">
        <f t="shared" si="8"/>
        <v>52.012</v>
      </c>
    </row>
    <row r="577" spans="1:7" x14ac:dyDescent="0.25">
      <c r="A577" s="1">
        <v>2024</v>
      </c>
      <c r="B577" s="1">
        <v>7</v>
      </c>
      <c r="C577" s="1">
        <v>4</v>
      </c>
      <c r="D577" s="1" t="s">
        <v>12</v>
      </c>
      <c r="E577" s="1" t="s">
        <v>66</v>
      </c>
      <c r="F577" s="1">
        <v>15817</v>
      </c>
      <c r="G577" s="10">
        <f t="shared" si="8"/>
        <v>15.817</v>
      </c>
    </row>
    <row r="578" spans="1:7" x14ac:dyDescent="0.25">
      <c r="A578" s="1">
        <v>2024</v>
      </c>
      <c r="B578" s="1">
        <v>7</v>
      </c>
      <c r="C578" s="1">
        <v>10</v>
      </c>
      <c r="D578" s="1" t="s">
        <v>28</v>
      </c>
      <c r="E578" s="1" t="s">
        <v>66</v>
      </c>
      <c r="F578" s="1">
        <v>37781</v>
      </c>
      <c r="G578" s="10">
        <f t="shared" si="8"/>
        <v>37.780999999999999</v>
      </c>
    </row>
    <row r="579" spans="1:7" x14ac:dyDescent="0.25">
      <c r="A579" s="1">
        <v>2024</v>
      </c>
      <c r="B579" s="1">
        <v>7</v>
      </c>
      <c r="C579" s="1">
        <v>11</v>
      </c>
      <c r="D579" s="1" t="s">
        <v>28</v>
      </c>
      <c r="E579" s="1" t="s">
        <v>66</v>
      </c>
      <c r="F579" s="1">
        <v>2770</v>
      </c>
      <c r="G579" s="10">
        <f t="shared" ref="G579:G642" si="9">F579/1000</f>
        <v>2.77</v>
      </c>
    </row>
    <row r="580" spans="1:7" x14ac:dyDescent="0.25">
      <c r="A580" s="1">
        <v>2024</v>
      </c>
      <c r="B580" s="1">
        <v>7</v>
      </c>
      <c r="C580" s="1">
        <v>12</v>
      </c>
      <c r="D580" s="1" t="s">
        <v>12</v>
      </c>
      <c r="E580" s="1" t="s">
        <v>66</v>
      </c>
      <c r="F580" s="1">
        <v>15779</v>
      </c>
      <c r="G580" s="10">
        <f t="shared" si="9"/>
        <v>15.779</v>
      </c>
    </row>
    <row r="581" spans="1:7" x14ac:dyDescent="0.25">
      <c r="A581" s="1">
        <v>2024</v>
      </c>
      <c r="B581" s="1">
        <v>7</v>
      </c>
      <c r="C581" s="1">
        <v>13</v>
      </c>
      <c r="D581" s="1" t="s">
        <v>20</v>
      </c>
      <c r="E581" s="1" t="s">
        <v>66</v>
      </c>
      <c r="F581" s="1">
        <v>2179</v>
      </c>
      <c r="G581" s="10">
        <f t="shared" si="9"/>
        <v>2.1789999999999998</v>
      </c>
    </row>
    <row r="582" spans="1:7" x14ac:dyDescent="0.25">
      <c r="A582" s="1">
        <v>2024</v>
      </c>
      <c r="B582" s="1">
        <v>7</v>
      </c>
      <c r="C582" s="1">
        <v>13</v>
      </c>
      <c r="D582" s="1" t="s">
        <v>20</v>
      </c>
      <c r="E582" s="1" t="s">
        <v>66</v>
      </c>
      <c r="F582" s="1">
        <v>5449</v>
      </c>
      <c r="G582" s="10">
        <f t="shared" si="9"/>
        <v>5.4489999999999998</v>
      </c>
    </row>
    <row r="583" spans="1:7" x14ac:dyDescent="0.25">
      <c r="A583" s="1">
        <v>2024</v>
      </c>
      <c r="B583" s="1">
        <v>7</v>
      </c>
      <c r="C583" s="1">
        <v>13</v>
      </c>
      <c r="D583" s="1" t="s">
        <v>31</v>
      </c>
      <c r="E583" s="1" t="s">
        <v>66</v>
      </c>
      <c r="F583" s="1">
        <v>41384</v>
      </c>
      <c r="G583" s="10">
        <f t="shared" si="9"/>
        <v>41.384</v>
      </c>
    </row>
    <row r="584" spans="1:7" x14ac:dyDescent="0.25">
      <c r="A584" s="1">
        <v>2024</v>
      </c>
      <c r="B584" s="1">
        <v>7</v>
      </c>
      <c r="C584" s="1">
        <v>13</v>
      </c>
      <c r="D584" s="1"/>
      <c r="E584" s="1" t="s">
        <v>66</v>
      </c>
      <c r="F584" s="1">
        <v>17409</v>
      </c>
      <c r="G584" s="10">
        <f t="shared" si="9"/>
        <v>17.408999999999999</v>
      </c>
    </row>
    <row r="585" spans="1:7" x14ac:dyDescent="0.25">
      <c r="A585" s="1">
        <v>2024</v>
      </c>
      <c r="B585" s="1">
        <v>7</v>
      </c>
      <c r="C585" s="1">
        <v>14</v>
      </c>
      <c r="D585" s="1" t="s">
        <v>5</v>
      </c>
      <c r="E585" s="1" t="s">
        <v>66</v>
      </c>
      <c r="F585" s="1">
        <v>95991</v>
      </c>
      <c r="G585" s="10">
        <f t="shared" si="9"/>
        <v>95.991</v>
      </c>
    </row>
    <row r="586" spans="1:7" x14ac:dyDescent="0.25">
      <c r="A586" s="1">
        <v>2024</v>
      </c>
      <c r="B586" s="1">
        <v>7</v>
      </c>
      <c r="C586" s="1">
        <v>16</v>
      </c>
      <c r="D586" s="1" t="s">
        <v>10</v>
      </c>
      <c r="E586" s="1" t="s">
        <v>66</v>
      </c>
      <c r="F586" s="1">
        <v>50362</v>
      </c>
      <c r="G586" s="10">
        <f t="shared" si="9"/>
        <v>50.362000000000002</v>
      </c>
    </row>
    <row r="587" spans="1:7" x14ac:dyDescent="0.25">
      <c r="A587" s="1">
        <v>2024</v>
      </c>
      <c r="B587" s="1">
        <v>7</v>
      </c>
      <c r="C587" s="1">
        <v>19</v>
      </c>
      <c r="D587" s="1" t="s">
        <v>22</v>
      </c>
      <c r="E587" s="1" t="s">
        <v>66</v>
      </c>
      <c r="F587" s="1">
        <v>41080</v>
      </c>
      <c r="G587" s="10">
        <f t="shared" si="9"/>
        <v>41.08</v>
      </c>
    </row>
    <row r="588" spans="1:7" x14ac:dyDescent="0.25">
      <c r="A588" s="1">
        <v>2024</v>
      </c>
      <c r="B588" s="1">
        <v>7</v>
      </c>
      <c r="C588" s="1">
        <v>19</v>
      </c>
      <c r="D588" s="1" t="s">
        <v>22</v>
      </c>
      <c r="E588" s="1" t="s">
        <v>66</v>
      </c>
      <c r="F588" s="1">
        <v>44036</v>
      </c>
      <c r="G588" s="10">
        <f t="shared" si="9"/>
        <v>44.036000000000001</v>
      </c>
    </row>
    <row r="589" spans="1:7" x14ac:dyDescent="0.25">
      <c r="A589" s="1">
        <v>2024</v>
      </c>
      <c r="B589" s="1">
        <v>7</v>
      </c>
      <c r="C589" s="1">
        <v>19</v>
      </c>
      <c r="D589" s="1" t="s">
        <v>22</v>
      </c>
      <c r="E589" s="1" t="s">
        <v>66</v>
      </c>
      <c r="F589" s="1">
        <v>58693</v>
      </c>
      <c r="G589" s="10">
        <f t="shared" si="9"/>
        <v>58.692999999999998</v>
      </c>
    </row>
    <row r="590" spans="1:7" x14ac:dyDescent="0.25">
      <c r="A590" s="1">
        <v>2024</v>
      </c>
      <c r="B590" s="1">
        <v>7</v>
      </c>
      <c r="C590" s="1">
        <v>22</v>
      </c>
      <c r="D590" s="1" t="s">
        <v>12</v>
      </c>
      <c r="E590" s="1" t="s">
        <v>66</v>
      </c>
      <c r="F590" s="1">
        <v>16661</v>
      </c>
      <c r="G590" s="10">
        <f t="shared" si="9"/>
        <v>16.661000000000001</v>
      </c>
    </row>
    <row r="591" spans="1:7" x14ac:dyDescent="0.25">
      <c r="A591" s="1">
        <v>2024</v>
      </c>
      <c r="B591" s="1">
        <v>7</v>
      </c>
      <c r="C591" s="1">
        <v>25</v>
      </c>
      <c r="D591" s="1" t="s">
        <v>10</v>
      </c>
      <c r="E591" s="1" t="s">
        <v>84</v>
      </c>
      <c r="F591" s="1">
        <v>27738</v>
      </c>
      <c r="G591" s="10">
        <f t="shared" si="9"/>
        <v>27.738</v>
      </c>
    </row>
    <row r="592" spans="1:7" x14ac:dyDescent="0.25">
      <c r="A592" s="1">
        <v>2024</v>
      </c>
      <c r="B592" s="1">
        <v>7</v>
      </c>
      <c r="C592" s="1">
        <v>31</v>
      </c>
      <c r="D592" s="1" t="s">
        <v>12</v>
      </c>
      <c r="E592" s="1" t="s">
        <v>66</v>
      </c>
      <c r="F592" s="1">
        <v>16933</v>
      </c>
      <c r="G592" s="10">
        <f t="shared" si="9"/>
        <v>16.933</v>
      </c>
    </row>
    <row r="593" spans="1:7" x14ac:dyDescent="0.25">
      <c r="A593" s="1">
        <v>2024</v>
      </c>
      <c r="B593" s="1">
        <v>7</v>
      </c>
      <c r="C593" s="1">
        <v>31</v>
      </c>
      <c r="D593" s="1" t="s">
        <v>10</v>
      </c>
      <c r="E593" s="1" t="s">
        <v>66</v>
      </c>
      <c r="F593" s="1">
        <v>28700</v>
      </c>
      <c r="G593" s="10">
        <f t="shared" si="9"/>
        <v>28.7</v>
      </c>
    </row>
    <row r="594" spans="1:7" x14ac:dyDescent="0.25">
      <c r="A594" s="1">
        <v>2024</v>
      </c>
      <c r="B594" s="1">
        <v>8</v>
      </c>
      <c r="C594" s="1">
        <v>3</v>
      </c>
      <c r="D594" s="1" t="s">
        <v>12</v>
      </c>
      <c r="E594" s="1" t="s">
        <v>66</v>
      </c>
      <c r="F594" s="1">
        <v>16661</v>
      </c>
      <c r="G594" s="10">
        <f t="shared" si="9"/>
        <v>16.661000000000001</v>
      </c>
    </row>
    <row r="595" spans="1:7" x14ac:dyDescent="0.25">
      <c r="A595" s="1">
        <v>2024</v>
      </c>
      <c r="B595" s="1">
        <v>8</v>
      </c>
      <c r="C595" s="1">
        <v>7</v>
      </c>
      <c r="D595" s="1" t="s">
        <v>12</v>
      </c>
      <c r="E595" s="1" t="s">
        <v>66</v>
      </c>
      <c r="F595" s="1">
        <v>16722</v>
      </c>
      <c r="G595" s="10">
        <f t="shared" si="9"/>
        <v>16.722000000000001</v>
      </c>
    </row>
    <row r="596" spans="1:7" x14ac:dyDescent="0.25">
      <c r="A596" s="1">
        <v>2024</v>
      </c>
      <c r="B596" s="1">
        <v>8</v>
      </c>
      <c r="C596" s="1">
        <v>11</v>
      </c>
      <c r="D596" s="1" t="s">
        <v>12</v>
      </c>
      <c r="E596" s="1" t="s">
        <v>66</v>
      </c>
      <c r="F596" s="1">
        <v>16715</v>
      </c>
      <c r="G596" s="10">
        <f t="shared" si="9"/>
        <v>16.715</v>
      </c>
    </row>
    <row r="597" spans="1:7" x14ac:dyDescent="0.25">
      <c r="A597" s="1">
        <v>2024</v>
      </c>
      <c r="B597" s="1">
        <v>8</v>
      </c>
      <c r="C597" s="1">
        <v>12</v>
      </c>
      <c r="D597" s="1" t="s">
        <v>10</v>
      </c>
      <c r="E597" s="1" t="s">
        <v>66</v>
      </c>
      <c r="F597" s="1">
        <v>76334</v>
      </c>
      <c r="G597" s="10">
        <f t="shared" si="9"/>
        <v>76.334000000000003</v>
      </c>
    </row>
    <row r="598" spans="1:7" x14ac:dyDescent="0.25">
      <c r="A598" s="1">
        <v>2024</v>
      </c>
      <c r="B598" s="1">
        <v>8</v>
      </c>
      <c r="C598" s="1">
        <v>13</v>
      </c>
      <c r="D598" s="1" t="s">
        <v>10</v>
      </c>
      <c r="E598" s="1" t="s">
        <v>66</v>
      </c>
      <c r="F598" s="1">
        <v>54380</v>
      </c>
      <c r="G598" s="10">
        <f t="shared" si="9"/>
        <v>54.38</v>
      </c>
    </row>
    <row r="599" spans="1:7" x14ac:dyDescent="0.25">
      <c r="A599" s="1">
        <v>2024</v>
      </c>
      <c r="B599" s="1">
        <v>8</v>
      </c>
      <c r="C599" s="1">
        <v>15</v>
      </c>
      <c r="D599" s="1" t="s">
        <v>12</v>
      </c>
      <c r="E599" s="1" t="s">
        <v>66</v>
      </c>
      <c r="F599" s="1">
        <v>16722</v>
      </c>
      <c r="G599" s="10">
        <f t="shared" si="9"/>
        <v>16.722000000000001</v>
      </c>
    </row>
    <row r="600" spans="1:7" x14ac:dyDescent="0.25">
      <c r="A600" s="1">
        <v>2024</v>
      </c>
      <c r="B600" s="1">
        <v>8</v>
      </c>
      <c r="C600" s="1">
        <v>17</v>
      </c>
      <c r="D600" s="1" t="s">
        <v>5</v>
      </c>
      <c r="E600" s="1" t="s">
        <v>66</v>
      </c>
      <c r="F600" s="1">
        <v>49388</v>
      </c>
      <c r="G600" s="10">
        <f t="shared" si="9"/>
        <v>49.387999999999998</v>
      </c>
    </row>
    <row r="601" spans="1:7" x14ac:dyDescent="0.25">
      <c r="A601" s="1">
        <v>2024</v>
      </c>
      <c r="B601" s="1">
        <v>8</v>
      </c>
      <c r="C601" s="1">
        <v>18</v>
      </c>
      <c r="D601" s="1" t="s">
        <v>12</v>
      </c>
      <c r="E601" s="1" t="s">
        <v>66</v>
      </c>
      <c r="F601" s="1">
        <v>10741</v>
      </c>
      <c r="G601" s="10">
        <f t="shared" si="9"/>
        <v>10.741</v>
      </c>
    </row>
    <row r="602" spans="1:7" x14ac:dyDescent="0.25">
      <c r="A602" s="1">
        <v>2024</v>
      </c>
      <c r="B602" s="1">
        <v>8</v>
      </c>
      <c r="C602" s="1">
        <v>19</v>
      </c>
      <c r="D602" s="1" t="s">
        <v>5</v>
      </c>
      <c r="E602" s="1" t="s">
        <v>66</v>
      </c>
      <c r="F602" s="1">
        <v>50967</v>
      </c>
      <c r="G602" s="10">
        <f t="shared" si="9"/>
        <v>50.966999999999999</v>
      </c>
    </row>
    <row r="603" spans="1:7" x14ac:dyDescent="0.25">
      <c r="A603" s="1">
        <v>2024</v>
      </c>
      <c r="B603" s="1">
        <v>8</v>
      </c>
      <c r="C603" s="1">
        <v>24</v>
      </c>
      <c r="D603" s="1" t="s">
        <v>12</v>
      </c>
      <c r="E603" s="1" t="s">
        <v>66</v>
      </c>
      <c r="F603" s="1">
        <v>16722</v>
      </c>
      <c r="G603" s="10">
        <f t="shared" si="9"/>
        <v>16.722000000000001</v>
      </c>
    </row>
    <row r="604" spans="1:7" x14ac:dyDescent="0.25">
      <c r="A604" s="1">
        <v>2024</v>
      </c>
      <c r="B604" s="1">
        <v>8</v>
      </c>
      <c r="C604" s="1">
        <v>25</v>
      </c>
      <c r="D604" s="1" t="s">
        <v>20</v>
      </c>
      <c r="E604" s="1" t="s">
        <v>66</v>
      </c>
      <c r="F604" s="1">
        <v>8175</v>
      </c>
      <c r="G604" s="10">
        <f t="shared" si="9"/>
        <v>8.1750000000000007</v>
      </c>
    </row>
    <row r="605" spans="1:7" x14ac:dyDescent="0.25">
      <c r="A605" s="1">
        <v>2024</v>
      </c>
      <c r="B605" s="1">
        <v>8</v>
      </c>
      <c r="C605" s="1">
        <v>30</v>
      </c>
      <c r="D605" s="1" t="s">
        <v>22</v>
      </c>
      <c r="E605" s="1" t="s">
        <v>66</v>
      </c>
      <c r="F605" s="1">
        <v>27195</v>
      </c>
      <c r="G605" s="10">
        <f t="shared" si="9"/>
        <v>27.195</v>
      </c>
    </row>
    <row r="606" spans="1:7" x14ac:dyDescent="0.25">
      <c r="A606" s="1">
        <v>2024</v>
      </c>
      <c r="B606" s="1">
        <v>8</v>
      </c>
      <c r="C606" s="1">
        <v>30</v>
      </c>
      <c r="D606" s="1" t="s">
        <v>22</v>
      </c>
      <c r="E606" s="1" t="s">
        <v>66</v>
      </c>
      <c r="F606" s="1">
        <v>43225</v>
      </c>
      <c r="G606" s="10">
        <f t="shared" si="9"/>
        <v>43.225000000000001</v>
      </c>
    </row>
    <row r="607" spans="1:7" x14ac:dyDescent="0.25">
      <c r="A607" s="1">
        <v>2024</v>
      </c>
      <c r="B607" s="1">
        <v>8</v>
      </c>
      <c r="C607" s="1">
        <v>30</v>
      </c>
      <c r="D607" s="1" t="s">
        <v>22</v>
      </c>
      <c r="E607" s="1" t="s">
        <v>66</v>
      </c>
      <c r="F607" s="1">
        <v>36651</v>
      </c>
      <c r="G607" s="10">
        <f t="shared" si="9"/>
        <v>36.651000000000003</v>
      </c>
    </row>
    <row r="608" spans="1:7" x14ac:dyDescent="0.25">
      <c r="A608" s="1">
        <v>2024</v>
      </c>
      <c r="B608" s="1">
        <v>8</v>
      </c>
      <c r="C608" s="1">
        <v>30</v>
      </c>
      <c r="D608" s="1" t="s">
        <v>22</v>
      </c>
      <c r="E608" s="1" t="s">
        <v>66</v>
      </c>
      <c r="F608" s="1">
        <v>19569</v>
      </c>
      <c r="G608" s="10">
        <f t="shared" si="9"/>
        <v>19.568999999999999</v>
      </c>
    </row>
    <row r="609" spans="1:7" x14ac:dyDescent="0.25">
      <c r="A609" s="1">
        <v>2024</v>
      </c>
      <c r="B609" s="1">
        <v>8</v>
      </c>
      <c r="C609" s="1">
        <v>30</v>
      </c>
      <c r="D609" s="1" t="s">
        <v>22</v>
      </c>
      <c r="E609" s="1" t="s">
        <v>66</v>
      </c>
      <c r="F609" s="1">
        <v>22167</v>
      </c>
      <c r="G609" s="10">
        <f t="shared" si="9"/>
        <v>22.167000000000002</v>
      </c>
    </row>
    <row r="610" spans="1:7" x14ac:dyDescent="0.25">
      <c r="A610" s="1">
        <v>2024</v>
      </c>
      <c r="B610" s="1">
        <v>9</v>
      </c>
      <c r="C610" s="1">
        <v>1</v>
      </c>
      <c r="D610" s="1" t="s">
        <v>12</v>
      </c>
      <c r="E610" s="1" t="s">
        <v>66</v>
      </c>
      <c r="F610" s="1">
        <v>13101</v>
      </c>
      <c r="G610" s="10">
        <f t="shared" si="9"/>
        <v>13.101000000000001</v>
      </c>
    </row>
    <row r="611" spans="1:7" x14ac:dyDescent="0.25">
      <c r="A611" s="1">
        <v>2024</v>
      </c>
      <c r="B611" s="1">
        <v>9</v>
      </c>
      <c r="C611" s="1">
        <v>4</v>
      </c>
      <c r="D611" s="1" t="s">
        <v>12</v>
      </c>
      <c r="E611" s="1" t="s">
        <v>66</v>
      </c>
      <c r="F611" s="1">
        <v>3620</v>
      </c>
      <c r="G611" s="10">
        <f t="shared" si="9"/>
        <v>3.62</v>
      </c>
    </row>
    <row r="612" spans="1:7" x14ac:dyDescent="0.25">
      <c r="A612" s="1">
        <v>2024</v>
      </c>
      <c r="B612" s="1">
        <v>9</v>
      </c>
      <c r="C612" s="1">
        <v>5</v>
      </c>
      <c r="D612" s="1" t="s">
        <v>12</v>
      </c>
      <c r="E612" s="1" t="s">
        <v>66</v>
      </c>
      <c r="F612" s="1">
        <v>17055</v>
      </c>
      <c r="G612" s="10">
        <f t="shared" si="9"/>
        <v>17.055</v>
      </c>
    </row>
    <row r="613" spans="1:7" x14ac:dyDescent="0.25">
      <c r="A613" s="1">
        <v>2024</v>
      </c>
      <c r="B613" s="1">
        <v>9</v>
      </c>
      <c r="C613" s="1">
        <v>7</v>
      </c>
      <c r="D613" s="1" t="s">
        <v>47</v>
      </c>
      <c r="E613" s="1" t="s">
        <v>66</v>
      </c>
      <c r="F613" s="1">
        <v>4502</v>
      </c>
      <c r="G613" s="10">
        <f t="shared" si="9"/>
        <v>4.5019999999999998</v>
      </c>
    </row>
    <row r="614" spans="1:7" x14ac:dyDescent="0.25">
      <c r="A614" s="1">
        <v>2024</v>
      </c>
      <c r="B614" s="1">
        <v>9</v>
      </c>
      <c r="C614" s="1">
        <v>7</v>
      </c>
      <c r="D614" s="1" t="s">
        <v>8</v>
      </c>
      <c r="E614" s="1" t="s">
        <v>66</v>
      </c>
      <c r="F614" s="1">
        <v>23307</v>
      </c>
      <c r="G614" s="10">
        <f t="shared" si="9"/>
        <v>23.306999999999999</v>
      </c>
    </row>
    <row r="615" spans="1:7" x14ac:dyDescent="0.25">
      <c r="A615" s="1">
        <v>2024</v>
      </c>
      <c r="B615" s="1">
        <v>9</v>
      </c>
      <c r="C615" s="1">
        <v>9</v>
      </c>
      <c r="D615" s="1" t="s">
        <v>10</v>
      </c>
      <c r="E615" s="1" t="s">
        <v>66</v>
      </c>
      <c r="F615" s="1">
        <v>61208</v>
      </c>
      <c r="G615" s="10">
        <f t="shared" si="9"/>
        <v>61.207999999999998</v>
      </c>
    </row>
    <row r="616" spans="1:7" x14ac:dyDescent="0.25">
      <c r="A616" s="1">
        <v>2024</v>
      </c>
      <c r="B616" s="1">
        <v>9</v>
      </c>
      <c r="C616" s="1">
        <v>10</v>
      </c>
      <c r="D616" s="1" t="s">
        <v>12</v>
      </c>
      <c r="E616" s="1" t="s">
        <v>66</v>
      </c>
      <c r="F616" s="1">
        <v>16661</v>
      </c>
      <c r="G616" s="10">
        <f t="shared" si="9"/>
        <v>16.661000000000001</v>
      </c>
    </row>
    <row r="617" spans="1:7" x14ac:dyDescent="0.25">
      <c r="A617" s="1">
        <v>2024</v>
      </c>
      <c r="B617" s="1">
        <v>9</v>
      </c>
      <c r="C617" s="1">
        <v>12</v>
      </c>
      <c r="D617" s="1" t="s">
        <v>50</v>
      </c>
      <c r="E617" s="1" t="s">
        <v>66</v>
      </c>
      <c r="F617" s="1">
        <v>42154</v>
      </c>
      <c r="G617" s="10">
        <f t="shared" si="9"/>
        <v>42.154000000000003</v>
      </c>
    </row>
    <row r="618" spans="1:7" x14ac:dyDescent="0.25">
      <c r="A618" s="1">
        <v>2024</v>
      </c>
      <c r="B618" s="1">
        <v>9</v>
      </c>
      <c r="C618" s="1">
        <v>13</v>
      </c>
      <c r="D618" s="1" t="s">
        <v>5</v>
      </c>
      <c r="E618" s="1" t="s">
        <v>66</v>
      </c>
      <c r="F618" s="1">
        <v>66901</v>
      </c>
      <c r="G618" s="10">
        <f t="shared" si="9"/>
        <v>66.900999999999996</v>
      </c>
    </row>
    <row r="619" spans="1:7" x14ac:dyDescent="0.25">
      <c r="A619" s="1">
        <v>2024</v>
      </c>
      <c r="B619" s="1">
        <v>9</v>
      </c>
      <c r="C619" s="1">
        <v>13</v>
      </c>
      <c r="D619" s="1" t="s">
        <v>12</v>
      </c>
      <c r="E619" s="1" t="s">
        <v>66</v>
      </c>
      <c r="F619" s="1">
        <v>16722</v>
      </c>
      <c r="G619" s="10">
        <f t="shared" si="9"/>
        <v>16.722000000000001</v>
      </c>
    </row>
    <row r="620" spans="1:7" x14ac:dyDescent="0.25">
      <c r="A620" s="1">
        <v>2024</v>
      </c>
      <c r="B620" s="1">
        <v>9</v>
      </c>
      <c r="C620" s="1">
        <v>18</v>
      </c>
      <c r="D620" s="1" t="s">
        <v>14</v>
      </c>
      <c r="E620" s="1" t="s">
        <v>66</v>
      </c>
      <c r="F620" s="1">
        <v>60525</v>
      </c>
      <c r="G620" s="10">
        <f t="shared" si="9"/>
        <v>60.524999999999999</v>
      </c>
    </row>
    <row r="621" spans="1:7" x14ac:dyDescent="0.25">
      <c r="A621" s="1">
        <v>2024</v>
      </c>
      <c r="B621" s="1">
        <v>9</v>
      </c>
      <c r="C621" s="1">
        <v>20</v>
      </c>
      <c r="D621" s="1" t="s">
        <v>12</v>
      </c>
      <c r="E621" s="1" t="s">
        <v>66</v>
      </c>
      <c r="F621" s="1">
        <v>16722</v>
      </c>
      <c r="G621" s="10">
        <f t="shared" si="9"/>
        <v>16.722000000000001</v>
      </c>
    </row>
    <row r="622" spans="1:7" x14ac:dyDescent="0.25">
      <c r="A622" s="1">
        <v>2024</v>
      </c>
      <c r="B622" s="1">
        <v>9</v>
      </c>
      <c r="C622" s="1">
        <v>23</v>
      </c>
      <c r="D622" s="1" t="s">
        <v>10</v>
      </c>
      <c r="E622" s="1" t="s">
        <v>66</v>
      </c>
      <c r="F622" s="1">
        <v>67145</v>
      </c>
      <c r="G622" s="10">
        <f t="shared" si="9"/>
        <v>67.144999999999996</v>
      </c>
    </row>
    <row r="623" spans="1:7" x14ac:dyDescent="0.25">
      <c r="A623" s="1">
        <v>2024</v>
      </c>
      <c r="B623" s="1">
        <v>9</v>
      </c>
      <c r="C623" s="1">
        <v>24</v>
      </c>
      <c r="D623" s="1" t="s">
        <v>31</v>
      </c>
      <c r="E623" s="1" t="s">
        <v>66</v>
      </c>
      <c r="F623" s="1">
        <v>43600</v>
      </c>
      <c r="G623" s="10">
        <f t="shared" si="9"/>
        <v>43.6</v>
      </c>
    </row>
    <row r="624" spans="1:7" x14ac:dyDescent="0.25">
      <c r="A624" s="1">
        <v>2024</v>
      </c>
      <c r="B624" s="1">
        <v>9</v>
      </c>
      <c r="C624" s="1">
        <v>26</v>
      </c>
      <c r="D624" s="1" t="s">
        <v>8</v>
      </c>
      <c r="E624" s="1" t="s">
        <v>66</v>
      </c>
      <c r="F624" s="1">
        <v>4931</v>
      </c>
      <c r="G624" s="10">
        <f t="shared" si="9"/>
        <v>4.931</v>
      </c>
    </row>
    <row r="625" spans="1:7" x14ac:dyDescent="0.25">
      <c r="A625" s="1">
        <v>2024</v>
      </c>
      <c r="B625" s="1">
        <v>9</v>
      </c>
      <c r="C625" s="1">
        <v>29</v>
      </c>
      <c r="D625" s="1" t="s">
        <v>12</v>
      </c>
      <c r="E625" s="1" t="s">
        <v>66</v>
      </c>
      <c r="F625" s="1">
        <v>16934</v>
      </c>
      <c r="G625" s="10">
        <f t="shared" si="9"/>
        <v>16.934000000000001</v>
      </c>
    </row>
    <row r="626" spans="1:7" x14ac:dyDescent="0.25">
      <c r="A626" s="1">
        <v>2024</v>
      </c>
      <c r="B626" s="1">
        <v>10</v>
      </c>
      <c r="C626" s="1">
        <v>2</v>
      </c>
      <c r="D626" s="1" t="s">
        <v>8</v>
      </c>
      <c r="E626" s="1" t="s">
        <v>66</v>
      </c>
      <c r="F626" s="1">
        <v>5702</v>
      </c>
      <c r="G626" s="10">
        <f t="shared" si="9"/>
        <v>5.702</v>
      </c>
    </row>
    <row r="627" spans="1:7" x14ac:dyDescent="0.25">
      <c r="A627" s="1">
        <v>2024</v>
      </c>
      <c r="B627" s="1">
        <v>10</v>
      </c>
      <c r="C627" s="1">
        <v>3</v>
      </c>
      <c r="D627" s="1" t="s">
        <v>12</v>
      </c>
      <c r="E627" s="1" t="s">
        <v>66</v>
      </c>
      <c r="F627" s="1">
        <v>16722</v>
      </c>
      <c r="G627" s="10">
        <f t="shared" si="9"/>
        <v>16.722000000000001</v>
      </c>
    </row>
    <row r="628" spans="1:7" x14ac:dyDescent="0.25">
      <c r="A628" s="1">
        <v>2024</v>
      </c>
      <c r="B628" s="1">
        <v>10</v>
      </c>
      <c r="C628" s="1">
        <v>5</v>
      </c>
      <c r="D628" s="1" t="s">
        <v>98</v>
      </c>
      <c r="E628" s="1" t="s">
        <v>66</v>
      </c>
      <c r="F628" s="1">
        <v>4987</v>
      </c>
      <c r="G628" s="10">
        <f t="shared" si="9"/>
        <v>4.9870000000000001</v>
      </c>
    </row>
    <row r="629" spans="1:7" x14ac:dyDescent="0.25">
      <c r="A629" s="1">
        <v>2024</v>
      </c>
      <c r="B629" s="1">
        <v>10</v>
      </c>
      <c r="C629" s="1">
        <v>7</v>
      </c>
      <c r="D629" s="1" t="s">
        <v>12</v>
      </c>
      <c r="E629" s="1" t="s">
        <v>66</v>
      </c>
      <c r="F629" s="1">
        <v>15779</v>
      </c>
      <c r="G629" s="10">
        <f t="shared" si="9"/>
        <v>15.779</v>
      </c>
    </row>
    <row r="630" spans="1:7" x14ac:dyDescent="0.25">
      <c r="A630" s="1">
        <v>2024</v>
      </c>
      <c r="B630" s="1">
        <v>10</v>
      </c>
      <c r="C630" s="1">
        <v>7</v>
      </c>
      <c r="D630" s="1" t="s">
        <v>36</v>
      </c>
      <c r="E630" s="1" t="s">
        <v>66</v>
      </c>
      <c r="F630" s="1">
        <v>37696</v>
      </c>
      <c r="G630" s="10">
        <f t="shared" si="9"/>
        <v>37.695999999999998</v>
      </c>
    </row>
    <row r="631" spans="1:7" x14ac:dyDescent="0.25">
      <c r="A631" s="1">
        <v>2024</v>
      </c>
      <c r="B631" s="1">
        <v>10</v>
      </c>
      <c r="C631" s="1">
        <v>7</v>
      </c>
      <c r="D631" s="1" t="s">
        <v>14</v>
      </c>
      <c r="E631" s="1" t="s">
        <v>66</v>
      </c>
      <c r="F631" s="1">
        <v>21971</v>
      </c>
      <c r="G631" s="10">
        <f t="shared" si="9"/>
        <v>21.971</v>
      </c>
    </row>
    <row r="632" spans="1:7" x14ac:dyDescent="0.25">
      <c r="A632" s="1">
        <v>2024</v>
      </c>
      <c r="B632" s="1">
        <v>10</v>
      </c>
      <c r="C632" s="1">
        <v>7</v>
      </c>
      <c r="D632" s="1" t="s">
        <v>10</v>
      </c>
      <c r="E632" s="1" t="s">
        <v>84</v>
      </c>
      <c r="F632" s="1">
        <v>70039</v>
      </c>
      <c r="G632" s="10">
        <f t="shared" si="9"/>
        <v>70.039000000000001</v>
      </c>
    </row>
    <row r="633" spans="1:7" x14ac:dyDescent="0.25">
      <c r="A633" s="1">
        <v>2024</v>
      </c>
      <c r="B633" s="1">
        <v>10</v>
      </c>
      <c r="C633" s="1">
        <v>11</v>
      </c>
      <c r="D633" s="1" t="s">
        <v>12</v>
      </c>
      <c r="E633" s="1" t="s">
        <v>66</v>
      </c>
      <c r="F633" s="1">
        <v>11917</v>
      </c>
      <c r="G633" s="10">
        <f t="shared" si="9"/>
        <v>11.917</v>
      </c>
    </row>
    <row r="634" spans="1:7" x14ac:dyDescent="0.25">
      <c r="A634" s="1">
        <v>2024</v>
      </c>
      <c r="B634" s="1">
        <v>10</v>
      </c>
      <c r="C634" s="1">
        <v>13</v>
      </c>
      <c r="D634" s="1" t="s">
        <v>12</v>
      </c>
      <c r="E634" s="1" t="s">
        <v>66</v>
      </c>
      <c r="F634" s="1">
        <v>3373</v>
      </c>
      <c r="G634" s="10">
        <f t="shared" si="9"/>
        <v>3.3730000000000002</v>
      </c>
    </row>
    <row r="635" spans="1:7" x14ac:dyDescent="0.25">
      <c r="A635" s="1">
        <v>2024</v>
      </c>
      <c r="B635" s="1">
        <v>10</v>
      </c>
      <c r="C635" s="1">
        <v>14</v>
      </c>
      <c r="D635" s="1" t="s">
        <v>5</v>
      </c>
      <c r="E635" s="1" t="s">
        <v>66</v>
      </c>
      <c r="F635" s="1">
        <v>99493</v>
      </c>
      <c r="G635" s="10">
        <f t="shared" si="9"/>
        <v>99.492999999999995</v>
      </c>
    </row>
    <row r="636" spans="1:7" x14ac:dyDescent="0.25">
      <c r="A636" s="1">
        <v>2024</v>
      </c>
      <c r="B636" s="1">
        <v>10</v>
      </c>
      <c r="C636" s="1">
        <v>16</v>
      </c>
      <c r="D636" s="1" t="s">
        <v>12</v>
      </c>
      <c r="E636" s="1" t="s">
        <v>66</v>
      </c>
      <c r="F636" s="1">
        <v>15779</v>
      </c>
      <c r="G636" s="10">
        <f t="shared" si="9"/>
        <v>15.779</v>
      </c>
    </row>
    <row r="637" spans="1:7" x14ac:dyDescent="0.25">
      <c r="A637" s="1">
        <v>2024</v>
      </c>
      <c r="B637" s="1">
        <v>10</v>
      </c>
      <c r="C637" s="1">
        <v>19</v>
      </c>
      <c r="D637" s="1" t="s">
        <v>20</v>
      </c>
      <c r="E637" s="1" t="s">
        <v>66</v>
      </c>
      <c r="F637" s="1">
        <v>33545</v>
      </c>
      <c r="G637" s="10">
        <f t="shared" si="9"/>
        <v>33.545000000000002</v>
      </c>
    </row>
    <row r="638" spans="1:7" x14ac:dyDescent="0.25">
      <c r="A638" s="1">
        <v>2024</v>
      </c>
      <c r="B638" s="1">
        <v>10</v>
      </c>
      <c r="C638" s="1">
        <v>24</v>
      </c>
      <c r="D638" s="1" t="s">
        <v>10</v>
      </c>
      <c r="E638" s="1" t="s">
        <v>66</v>
      </c>
      <c r="F638" s="1">
        <v>35107</v>
      </c>
      <c r="G638" s="10">
        <f t="shared" si="9"/>
        <v>35.106999999999999</v>
      </c>
    </row>
    <row r="639" spans="1:7" x14ac:dyDescent="0.25">
      <c r="A639" s="1">
        <v>2024</v>
      </c>
      <c r="B639" s="1">
        <v>10</v>
      </c>
      <c r="C639" s="1">
        <v>26</v>
      </c>
      <c r="D639" s="1" t="s">
        <v>14</v>
      </c>
      <c r="E639" s="1" t="s">
        <v>66</v>
      </c>
      <c r="F639" s="1">
        <v>68802</v>
      </c>
      <c r="G639" s="10">
        <f t="shared" si="9"/>
        <v>68.802000000000007</v>
      </c>
    </row>
    <row r="640" spans="1:7" x14ac:dyDescent="0.25">
      <c r="A640" s="1">
        <v>2024</v>
      </c>
      <c r="B640" s="1">
        <v>10</v>
      </c>
      <c r="C640" s="1">
        <v>26</v>
      </c>
      <c r="D640" s="1" t="s">
        <v>14</v>
      </c>
      <c r="E640" s="1" t="s">
        <v>66</v>
      </c>
      <c r="F640" s="1">
        <v>17199</v>
      </c>
      <c r="G640" s="10">
        <f t="shared" si="9"/>
        <v>17.199000000000002</v>
      </c>
    </row>
    <row r="641" spans="1:15" x14ac:dyDescent="0.25">
      <c r="A641" s="1">
        <v>2024</v>
      </c>
      <c r="B641" s="1">
        <v>10</v>
      </c>
      <c r="C641" s="1">
        <v>26</v>
      </c>
      <c r="D641" s="1" t="s">
        <v>10</v>
      </c>
      <c r="E641" s="1" t="s">
        <v>66</v>
      </c>
      <c r="F641" s="1">
        <v>35107</v>
      </c>
      <c r="G641" s="10">
        <f t="shared" si="9"/>
        <v>35.106999999999999</v>
      </c>
    </row>
    <row r="642" spans="1:15" x14ac:dyDescent="0.25">
      <c r="A642" s="1">
        <v>2024</v>
      </c>
      <c r="B642" s="1">
        <v>10</v>
      </c>
      <c r="C642" s="1">
        <v>27</v>
      </c>
      <c r="D642" s="1" t="s">
        <v>53</v>
      </c>
      <c r="E642" s="1" t="s">
        <v>84</v>
      </c>
      <c r="F642" s="1">
        <v>1462</v>
      </c>
      <c r="G642" s="10">
        <f t="shared" si="9"/>
        <v>1.462</v>
      </c>
    </row>
    <row r="643" spans="1:15" x14ac:dyDescent="0.25">
      <c r="A643" s="1">
        <v>2024</v>
      </c>
      <c r="B643" s="1">
        <v>10</v>
      </c>
      <c r="C643" s="1">
        <v>28</v>
      </c>
      <c r="D643" s="1" t="s">
        <v>12</v>
      </c>
      <c r="E643" s="1" t="s">
        <v>66</v>
      </c>
      <c r="F643" s="1">
        <v>16722</v>
      </c>
      <c r="G643" s="10">
        <f t="shared" ref="G643:G695" si="10">F643/1000</f>
        <v>16.722000000000001</v>
      </c>
    </row>
    <row r="644" spans="1:15" x14ac:dyDescent="0.25">
      <c r="A644" s="1">
        <v>2024</v>
      </c>
      <c r="B644" s="1">
        <v>10</v>
      </c>
      <c r="C644" s="1">
        <v>31</v>
      </c>
      <c r="D644" s="1" t="s">
        <v>12</v>
      </c>
      <c r="E644" s="1" t="s">
        <v>66</v>
      </c>
      <c r="F644" s="1">
        <v>16593</v>
      </c>
      <c r="G644" s="10">
        <f t="shared" si="10"/>
        <v>16.593</v>
      </c>
    </row>
    <row r="645" spans="1:15" x14ac:dyDescent="0.25">
      <c r="A645" s="1">
        <v>2024</v>
      </c>
      <c r="B645" s="1">
        <v>10</v>
      </c>
      <c r="C645" s="1">
        <v>31</v>
      </c>
      <c r="D645" s="1" t="s">
        <v>14</v>
      </c>
      <c r="E645" s="1" t="s">
        <v>66</v>
      </c>
      <c r="F645" s="1">
        <v>25717</v>
      </c>
      <c r="G645" s="10">
        <f t="shared" si="10"/>
        <v>25.716999999999999</v>
      </c>
    </row>
    <row r="646" spans="1:15" x14ac:dyDescent="0.25">
      <c r="A646" s="1">
        <v>2024</v>
      </c>
      <c r="B646">
        <v>11</v>
      </c>
      <c r="C646" s="11">
        <v>2</v>
      </c>
      <c r="D646" s="12" t="s">
        <v>14</v>
      </c>
      <c r="E646" s="1" t="s">
        <v>66</v>
      </c>
      <c r="F646" s="12">
        <v>8600</v>
      </c>
      <c r="G646" s="10">
        <f t="shared" si="10"/>
        <v>8.6</v>
      </c>
    </row>
    <row r="647" spans="1:15" x14ac:dyDescent="0.25">
      <c r="A647" s="1">
        <v>2024</v>
      </c>
      <c r="B647">
        <v>11</v>
      </c>
      <c r="C647" s="11">
        <v>3</v>
      </c>
      <c r="D647" s="12" t="s">
        <v>12</v>
      </c>
      <c r="E647" s="1" t="s">
        <v>66</v>
      </c>
      <c r="F647" s="12">
        <v>16100</v>
      </c>
      <c r="G647" s="10">
        <f t="shared" si="10"/>
        <v>16.100000000000001</v>
      </c>
    </row>
    <row r="648" spans="1:15" x14ac:dyDescent="0.25">
      <c r="A648" s="1">
        <v>2024</v>
      </c>
      <c r="B648">
        <v>11</v>
      </c>
      <c r="C648" s="11">
        <v>4</v>
      </c>
      <c r="D648" s="12" t="s">
        <v>36</v>
      </c>
      <c r="E648" s="1" t="s">
        <v>84</v>
      </c>
      <c r="F648" s="12">
        <v>2300</v>
      </c>
      <c r="G648" s="10">
        <f t="shared" si="10"/>
        <v>2.2999999999999998</v>
      </c>
    </row>
    <row r="649" spans="1:15" x14ac:dyDescent="0.25">
      <c r="A649" s="1">
        <v>2024</v>
      </c>
      <c r="B649">
        <v>11</v>
      </c>
      <c r="C649" s="11">
        <v>5</v>
      </c>
      <c r="D649" s="1" t="s">
        <v>31</v>
      </c>
      <c r="E649" s="1" t="s">
        <v>66</v>
      </c>
      <c r="F649" s="12">
        <v>100500</v>
      </c>
      <c r="G649" s="10">
        <f t="shared" si="10"/>
        <v>100.5</v>
      </c>
    </row>
    <row r="650" spans="1:15" x14ac:dyDescent="0.25">
      <c r="A650" s="1">
        <v>2024</v>
      </c>
      <c r="B650">
        <v>11</v>
      </c>
      <c r="C650" s="11">
        <v>8</v>
      </c>
      <c r="D650" s="12" t="s">
        <v>12</v>
      </c>
      <c r="E650" s="1" t="s">
        <v>66</v>
      </c>
      <c r="F650" s="12">
        <v>15100</v>
      </c>
      <c r="G650" s="10">
        <f t="shared" si="10"/>
        <v>15.1</v>
      </c>
    </row>
    <row r="651" spans="1:15" x14ac:dyDescent="0.25">
      <c r="A651" s="1">
        <v>2024</v>
      </c>
      <c r="B651">
        <v>11</v>
      </c>
      <c r="C651" s="11">
        <v>13</v>
      </c>
      <c r="D651" s="12" t="s">
        <v>12</v>
      </c>
      <c r="E651" s="1" t="s">
        <v>66</v>
      </c>
      <c r="F651" s="12">
        <v>15600</v>
      </c>
      <c r="G651" s="10">
        <f t="shared" si="10"/>
        <v>15.6</v>
      </c>
    </row>
    <row r="652" spans="1:15" x14ac:dyDescent="0.25">
      <c r="A652" s="1">
        <v>2024</v>
      </c>
      <c r="B652">
        <v>11</v>
      </c>
      <c r="C652" s="11">
        <v>14</v>
      </c>
      <c r="D652" s="12" t="s">
        <v>3</v>
      </c>
      <c r="E652" s="1" t="s">
        <v>66</v>
      </c>
      <c r="F652" s="12">
        <v>140000</v>
      </c>
      <c r="G652" s="10">
        <f t="shared" si="10"/>
        <v>140</v>
      </c>
    </row>
    <row r="653" spans="1:15" x14ac:dyDescent="0.25">
      <c r="A653" s="1">
        <v>2024</v>
      </c>
      <c r="B653">
        <v>11</v>
      </c>
      <c r="C653" s="11">
        <v>15</v>
      </c>
      <c r="D653" s="12" t="s">
        <v>5</v>
      </c>
      <c r="E653" s="1" t="s">
        <v>66</v>
      </c>
      <c r="F653" s="12">
        <v>30300</v>
      </c>
      <c r="G653" s="10">
        <f t="shared" si="10"/>
        <v>30.3</v>
      </c>
    </row>
    <row r="654" spans="1:15" x14ac:dyDescent="0.25">
      <c r="A654" s="1">
        <v>2024</v>
      </c>
      <c r="B654">
        <v>11</v>
      </c>
      <c r="C654" s="11">
        <v>17</v>
      </c>
      <c r="D654" s="12" t="s">
        <v>12</v>
      </c>
      <c r="E654" s="1" t="s">
        <v>66</v>
      </c>
      <c r="F654" s="12">
        <v>15600</v>
      </c>
      <c r="G654" s="10">
        <f t="shared" si="10"/>
        <v>15.6</v>
      </c>
    </row>
    <row r="655" spans="1:15" x14ac:dyDescent="0.25">
      <c r="A655" s="1">
        <v>2024</v>
      </c>
      <c r="B655">
        <v>11</v>
      </c>
      <c r="C655" s="11">
        <v>20</v>
      </c>
      <c r="D655" s="12" t="s">
        <v>12</v>
      </c>
      <c r="E655" s="1" t="s">
        <v>66</v>
      </c>
      <c r="F655" s="12">
        <v>11100</v>
      </c>
      <c r="G655" s="10">
        <f t="shared" si="10"/>
        <v>11.1</v>
      </c>
    </row>
    <row r="656" spans="1:15" x14ac:dyDescent="0.25">
      <c r="A656" s="1">
        <v>2024</v>
      </c>
      <c r="B656">
        <v>11</v>
      </c>
      <c r="C656" s="13">
        <v>21</v>
      </c>
      <c r="D656" s="14" t="s">
        <v>12</v>
      </c>
      <c r="E656" s="1" t="s">
        <v>66</v>
      </c>
      <c r="F656" s="14">
        <v>15800</v>
      </c>
      <c r="G656" s="10">
        <f t="shared" si="10"/>
        <v>15.8</v>
      </c>
      <c r="N656" s="7" t="s">
        <v>100</v>
      </c>
      <c r="O656" s="7" t="s">
        <v>73</v>
      </c>
    </row>
    <row r="657" spans="1:32" x14ac:dyDescent="0.25">
      <c r="A657" s="1">
        <v>2024</v>
      </c>
      <c r="B657">
        <v>11</v>
      </c>
      <c r="C657" s="11">
        <v>23</v>
      </c>
      <c r="D657" s="1" t="s">
        <v>10</v>
      </c>
      <c r="E657" s="1" t="s">
        <v>66</v>
      </c>
      <c r="F657" s="12">
        <v>100000</v>
      </c>
      <c r="G657" s="10">
        <f t="shared" si="10"/>
        <v>100</v>
      </c>
      <c r="N657" s="7" t="s">
        <v>75</v>
      </c>
      <c r="O657" t="s">
        <v>55</v>
      </c>
      <c r="P657" t="s">
        <v>58</v>
      </c>
      <c r="Q657" t="s">
        <v>20</v>
      </c>
      <c r="R657" t="s">
        <v>54</v>
      </c>
      <c r="S657" t="s">
        <v>99</v>
      </c>
      <c r="T657" t="s">
        <v>8</v>
      </c>
      <c r="U657" t="s">
        <v>24</v>
      </c>
      <c r="V657" t="s">
        <v>50</v>
      </c>
      <c r="W657" t="s">
        <v>5</v>
      </c>
      <c r="X657" t="s">
        <v>22</v>
      </c>
      <c r="Y657" t="s">
        <v>12</v>
      </c>
      <c r="Z657" t="s">
        <v>31</v>
      </c>
      <c r="AA657" t="s">
        <v>36</v>
      </c>
      <c r="AB657" t="s">
        <v>14</v>
      </c>
      <c r="AC657" t="s">
        <v>10</v>
      </c>
      <c r="AD657" t="s">
        <v>6</v>
      </c>
      <c r="AE657" t="s">
        <v>141</v>
      </c>
      <c r="AF657" t="s">
        <v>74</v>
      </c>
    </row>
    <row r="658" spans="1:32" x14ac:dyDescent="0.25">
      <c r="A658" s="1">
        <v>2024</v>
      </c>
      <c r="B658">
        <v>11</v>
      </c>
      <c r="C658" s="11">
        <v>26</v>
      </c>
      <c r="D658" s="12" t="s">
        <v>3</v>
      </c>
      <c r="E658" s="1" t="s">
        <v>66</v>
      </c>
      <c r="F658" s="12">
        <v>152900</v>
      </c>
      <c r="G658" s="10">
        <f t="shared" si="10"/>
        <v>152.9</v>
      </c>
      <c r="N658" s="8">
        <v>2025</v>
      </c>
      <c r="O658" s="10">
        <v>45</v>
      </c>
      <c r="P658" s="10">
        <v>80</v>
      </c>
      <c r="Q658" s="10">
        <v>-10</v>
      </c>
      <c r="R658" s="10">
        <v>70</v>
      </c>
      <c r="S658" s="10">
        <v>60</v>
      </c>
      <c r="T658" s="10">
        <v>14.8</v>
      </c>
      <c r="U658" s="10">
        <v>656.5</v>
      </c>
      <c r="V658" s="10">
        <v>-16</v>
      </c>
      <c r="W658" s="10">
        <v>400.6</v>
      </c>
      <c r="X658" s="10">
        <v>272</v>
      </c>
      <c r="Y658" s="10">
        <v>440.2</v>
      </c>
      <c r="Z658" s="10">
        <v>449.9</v>
      </c>
      <c r="AA658" s="10">
        <v>-61.8</v>
      </c>
      <c r="AB658" s="10">
        <v>-35</v>
      </c>
      <c r="AC658" s="10">
        <v>-20</v>
      </c>
      <c r="AD658" s="10">
        <v>-71</v>
      </c>
      <c r="AE658" s="10">
        <v>-29</v>
      </c>
      <c r="AF658" s="10">
        <v>2246.1999999999998</v>
      </c>
    </row>
    <row r="659" spans="1:32" x14ac:dyDescent="0.25">
      <c r="A659" s="1">
        <v>2024</v>
      </c>
      <c r="B659">
        <v>11</v>
      </c>
      <c r="C659" s="11">
        <v>27</v>
      </c>
      <c r="D659" s="12" t="s">
        <v>10</v>
      </c>
      <c r="E659" s="1" t="s">
        <v>66</v>
      </c>
      <c r="F659" s="12">
        <v>70000</v>
      </c>
      <c r="G659" s="10">
        <f t="shared" si="10"/>
        <v>70</v>
      </c>
      <c r="N659" s="9">
        <v>1</v>
      </c>
      <c r="O659" s="10"/>
      <c r="P659" s="10">
        <v>80</v>
      </c>
      <c r="Q659" s="10"/>
      <c r="R659" s="10"/>
      <c r="S659" s="10">
        <v>60</v>
      </c>
      <c r="T659" s="10"/>
      <c r="U659" s="10">
        <v>476.5</v>
      </c>
      <c r="V659" s="10"/>
      <c r="W659" s="10">
        <v>78.599999999999994</v>
      </c>
      <c r="X659" s="10"/>
      <c r="Y659" s="10">
        <v>136</v>
      </c>
      <c r="Z659" s="10">
        <v>229.9</v>
      </c>
      <c r="AA659" s="10"/>
      <c r="AB659" s="10"/>
      <c r="AC659" s="10"/>
      <c r="AD659" s="10"/>
      <c r="AE659" s="10"/>
      <c r="AF659" s="10">
        <v>1061</v>
      </c>
    </row>
    <row r="660" spans="1:32" x14ac:dyDescent="0.25">
      <c r="A660" s="1">
        <v>2024</v>
      </c>
      <c r="B660">
        <v>11</v>
      </c>
      <c r="C660" s="11">
        <v>28</v>
      </c>
      <c r="D660" s="12" t="s">
        <v>55</v>
      </c>
      <c r="E660" s="1" t="s">
        <v>66</v>
      </c>
      <c r="F660" s="12">
        <v>54400</v>
      </c>
      <c r="G660" s="10">
        <f t="shared" si="10"/>
        <v>54.4</v>
      </c>
      <c r="N660" s="18">
        <v>2</v>
      </c>
      <c r="O660" s="19"/>
      <c r="P660" s="19"/>
      <c r="Q660" s="19"/>
      <c r="R660" s="19">
        <v>70</v>
      </c>
      <c r="S660" s="19"/>
      <c r="T660" s="19">
        <v>14.8</v>
      </c>
      <c r="U660" s="19">
        <v>180</v>
      </c>
      <c r="V660" s="19"/>
      <c r="W660" s="19">
        <v>162</v>
      </c>
      <c r="X660" s="19"/>
      <c r="Y660" s="19">
        <v>132.19999999999999</v>
      </c>
      <c r="Z660" s="19">
        <v>220</v>
      </c>
      <c r="AA660" s="19">
        <v>14.2</v>
      </c>
      <c r="AB660" s="19">
        <v>-35</v>
      </c>
      <c r="AC660" s="19">
        <v>-90</v>
      </c>
      <c r="AD660" s="19">
        <v>-28</v>
      </c>
      <c r="AE660" s="19"/>
      <c r="AF660" s="19">
        <v>640.20000000000005</v>
      </c>
    </row>
    <row r="661" spans="1:32" x14ac:dyDescent="0.25">
      <c r="A661" s="1">
        <v>2024</v>
      </c>
      <c r="B661">
        <v>11</v>
      </c>
      <c r="C661" s="11">
        <v>29</v>
      </c>
      <c r="D661" s="12" t="s">
        <v>10</v>
      </c>
      <c r="E661" s="1" t="s">
        <v>66</v>
      </c>
      <c r="F661" s="12">
        <v>70200</v>
      </c>
      <c r="G661" s="10">
        <f t="shared" si="10"/>
        <v>70.2</v>
      </c>
      <c r="N661" s="16">
        <v>3</v>
      </c>
      <c r="O661" s="17">
        <v>45</v>
      </c>
      <c r="P661" s="17"/>
      <c r="Q661" s="17">
        <v>-10</v>
      </c>
      <c r="R661" s="17"/>
      <c r="S661" s="17"/>
      <c r="T661" s="17"/>
      <c r="U661" s="17"/>
      <c r="V661" s="17">
        <v>-16</v>
      </c>
      <c r="W661" s="17">
        <v>100</v>
      </c>
      <c r="X661" s="17">
        <v>212</v>
      </c>
      <c r="Y661" s="17">
        <v>102</v>
      </c>
      <c r="Z661" s="17"/>
      <c r="AA661" s="17">
        <v>-76</v>
      </c>
      <c r="AB661" s="17"/>
      <c r="AC661" s="17">
        <v>70</v>
      </c>
      <c r="AD661" s="17">
        <v>-43</v>
      </c>
      <c r="AE661" s="17">
        <v>-29</v>
      </c>
      <c r="AF661" s="17">
        <v>355</v>
      </c>
    </row>
    <row r="662" spans="1:32" x14ac:dyDescent="0.25">
      <c r="A662" s="1">
        <v>2024</v>
      </c>
      <c r="B662">
        <v>11</v>
      </c>
      <c r="C662" s="11">
        <v>29</v>
      </c>
      <c r="D662" s="12" t="s">
        <v>54</v>
      </c>
      <c r="E662" s="1" t="s">
        <v>66</v>
      </c>
      <c r="F662" s="12">
        <v>55000</v>
      </c>
      <c r="G662" s="10">
        <f t="shared" si="10"/>
        <v>55</v>
      </c>
      <c r="N662" s="9">
        <v>4</v>
      </c>
      <c r="O662" s="10"/>
      <c r="P662" s="10"/>
      <c r="Q662" s="10"/>
      <c r="R662" s="10"/>
      <c r="S662" s="10"/>
      <c r="T662" s="10"/>
      <c r="U662" s="10"/>
      <c r="V662" s="10"/>
      <c r="W662" s="10">
        <v>60</v>
      </c>
      <c r="X662" s="10">
        <v>60</v>
      </c>
      <c r="Y662" s="10">
        <v>70</v>
      </c>
      <c r="Z662" s="10"/>
      <c r="AA662" s="10"/>
      <c r="AB662" s="10"/>
      <c r="AC662" s="10"/>
      <c r="AD662" s="10"/>
      <c r="AE662" s="10"/>
      <c r="AF662" s="10">
        <v>190</v>
      </c>
    </row>
    <row r="663" spans="1:32" x14ac:dyDescent="0.25">
      <c r="A663" s="1">
        <v>2024</v>
      </c>
      <c r="B663">
        <v>11</v>
      </c>
      <c r="C663" s="11">
        <v>30</v>
      </c>
      <c r="D663" s="12" t="s">
        <v>5</v>
      </c>
      <c r="E663" s="1" t="s">
        <v>66</v>
      </c>
      <c r="F663" s="12">
        <v>29000</v>
      </c>
      <c r="G663" s="10">
        <f t="shared" si="10"/>
        <v>29</v>
      </c>
      <c r="N663" s="8" t="s">
        <v>74</v>
      </c>
      <c r="O663" s="10">
        <v>45</v>
      </c>
      <c r="P663" s="10">
        <v>80</v>
      </c>
      <c r="Q663" s="10">
        <v>-10</v>
      </c>
      <c r="R663" s="10">
        <v>70</v>
      </c>
      <c r="S663" s="10">
        <v>60</v>
      </c>
      <c r="T663" s="10">
        <v>14.8</v>
      </c>
      <c r="U663" s="10">
        <v>656.5</v>
      </c>
      <c r="V663" s="10">
        <v>-16</v>
      </c>
      <c r="W663" s="10">
        <v>400.6</v>
      </c>
      <c r="X663" s="10">
        <v>272</v>
      </c>
      <c r="Y663" s="10">
        <v>440.2</v>
      </c>
      <c r="Z663" s="10">
        <v>449.9</v>
      </c>
      <c r="AA663" s="10">
        <v>-61.8</v>
      </c>
      <c r="AB663" s="10">
        <v>-35</v>
      </c>
      <c r="AC663" s="10">
        <v>-20</v>
      </c>
      <c r="AD663" s="10">
        <v>-71</v>
      </c>
      <c r="AE663" s="10">
        <v>-29</v>
      </c>
      <c r="AF663" s="10">
        <v>2246.1999999999998</v>
      </c>
    </row>
    <row r="664" spans="1:32" x14ac:dyDescent="0.25">
      <c r="A664" s="3">
        <v>2024</v>
      </c>
      <c r="B664">
        <v>12</v>
      </c>
      <c r="C664" s="11">
        <v>1</v>
      </c>
      <c r="D664" s="12" t="s">
        <v>12</v>
      </c>
      <c r="E664" s="12" t="s">
        <v>66</v>
      </c>
      <c r="F664" s="12">
        <v>15193</v>
      </c>
      <c r="G664" s="10">
        <f t="shared" si="10"/>
        <v>15.193</v>
      </c>
    </row>
    <row r="665" spans="1:32" x14ac:dyDescent="0.25">
      <c r="A665" s="3">
        <v>2024</v>
      </c>
      <c r="B665">
        <v>12</v>
      </c>
      <c r="C665" s="11">
        <v>5</v>
      </c>
      <c r="D665" s="12" t="s">
        <v>12</v>
      </c>
      <c r="E665" s="12" t="s">
        <v>66</v>
      </c>
      <c r="F665" s="12">
        <v>15029</v>
      </c>
      <c r="G665" s="10">
        <f t="shared" si="10"/>
        <v>15.029</v>
      </c>
    </row>
    <row r="666" spans="1:32" x14ac:dyDescent="0.25">
      <c r="A666" s="3">
        <v>2024</v>
      </c>
      <c r="B666">
        <v>12</v>
      </c>
      <c r="C666" s="11">
        <v>9</v>
      </c>
      <c r="D666" s="12" t="s">
        <v>12</v>
      </c>
      <c r="E666" s="12" t="s">
        <v>66</v>
      </c>
      <c r="F666" s="12">
        <v>16343</v>
      </c>
      <c r="G666" s="10">
        <f t="shared" si="10"/>
        <v>16.343</v>
      </c>
    </row>
    <row r="667" spans="1:32" x14ac:dyDescent="0.25">
      <c r="A667" s="3">
        <v>2024</v>
      </c>
      <c r="B667">
        <v>12</v>
      </c>
      <c r="C667" s="11">
        <v>10</v>
      </c>
      <c r="D667" s="12" t="s">
        <v>8</v>
      </c>
      <c r="E667" s="12" t="s">
        <v>66</v>
      </c>
      <c r="F667" s="12">
        <v>1685</v>
      </c>
      <c r="G667" s="10">
        <f t="shared" si="10"/>
        <v>1.6850000000000001</v>
      </c>
    </row>
    <row r="668" spans="1:32" x14ac:dyDescent="0.25">
      <c r="A668" s="3">
        <v>2024</v>
      </c>
      <c r="B668">
        <v>12</v>
      </c>
      <c r="C668" s="11">
        <v>11</v>
      </c>
      <c r="D668" s="12" t="s">
        <v>8</v>
      </c>
      <c r="E668" s="12" t="s">
        <v>66</v>
      </c>
      <c r="F668" s="12">
        <v>4495</v>
      </c>
      <c r="G668" s="10">
        <f t="shared" si="10"/>
        <v>4.4950000000000001</v>
      </c>
    </row>
    <row r="669" spans="1:32" x14ac:dyDescent="0.25">
      <c r="A669" s="3">
        <v>2024</v>
      </c>
      <c r="B669">
        <v>12</v>
      </c>
      <c r="C669" s="11">
        <v>14</v>
      </c>
      <c r="D669" s="12" t="s">
        <v>12</v>
      </c>
      <c r="E669" s="12" t="s">
        <v>66</v>
      </c>
      <c r="F669" s="12">
        <v>15817</v>
      </c>
      <c r="G669" s="10">
        <f t="shared" si="10"/>
        <v>15.817</v>
      </c>
    </row>
    <row r="670" spans="1:32" x14ac:dyDescent="0.25">
      <c r="A670" s="3">
        <v>2024</v>
      </c>
      <c r="B670">
        <v>12</v>
      </c>
      <c r="C670" s="11">
        <v>16</v>
      </c>
      <c r="D670" s="12" t="s">
        <v>12</v>
      </c>
      <c r="E670" s="12" t="s">
        <v>66</v>
      </c>
      <c r="F670" s="12">
        <v>16722</v>
      </c>
      <c r="G670" s="10">
        <f t="shared" si="10"/>
        <v>16.722000000000001</v>
      </c>
    </row>
    <row r="671" spans="1:32" x14ac:dyDescent="0.25">
      <c r="A671" s="3">
        <v>2024</v>
      </c>
      <c r="B671">
        <v>12</v>
      </c>
      <c r="C671" s="11">
        <v>20</v>
      </c>
      <c r="D671" s="12" t="s">
        <v>12</v>
      </c>
      <c r="E671" s="12" t="s">
        <v>66</v>
      </c>
      <c r="F671" s="12">
        <v>16343</v>
      </c>
      <c r="G671" s="10">
        <f t="shared" si="10"/>
        <v>16.343</v>
      </c>
    </row>
    <row r="672" spans="1:32" x14ac:dyDescent="0.25">
      <c r="A672" s="3">
        <v>2024</v>
      </c>
      <c r="B672">
        <v>12</v>
      </c>
      <c r="C672" s="11">
        <v>22</v>
      </c>
      <c r="D672" s="12" t="s">
        <v>54</v>
      </c>
      <c r="E672" s="12" t="s">
        <v>66</v>
      </c>
      <c r="F672" s="12">
        <v>71081</v>
      </c>
      <c r="G672" s="10">
        <f t="shared" si="10"/>
        <v>71.081000000000003</v>
      </c>
    </row>
    <row r="673" spans="1:7" x14ac:dyDescent="0.25">
      <c r="A673" s="3">
        <v>2024</v>
      </c>
      <c r="B673">
        <v>12</v>
      </c>
      <c r="C673" s="11">
        <v>24</v>
      </c>
      <c r="D673" s="12" t="s">
        <v>12</v>
      </c>
      <c r="E673" s="12" t="s">
        <v>66</v>
      </c>
      <c r="F673" s="12">
        <v>16443</v>
      </c>
      <c r="G673" s="10">
        <f t="shared" si="10"/>
        <v>16.443000000000001</v>
      </c>
    </row>
    <row r="674" spans="1:7" x14ac:dyDescent="0.25">
      <c r="A674" s="3">
        <v>2024</v>
      </c>
      <c r="B674">
        <v>12</v>
      </c>
      <c r="C674" s="11">
        <v>26</v>
      </c>
      <c r="D674" s="12" t="s">
        <v>36</v>
      </c>
      <c r="E674" s="12" t="s">
        <v>66</v>
      </c>
      <c r="F674" s="12">
        <v>27899</v>
      </c>
      <c r="G674" s="10">
        <f t="shared" si="10"/>
        <v>27.899000000000001</v>
      </c>
    </row>
    <row r="675" spans="1:7" x14ac:dyDescent="0.25">
      <c r="A675" s="3">
        <v>2024</v>
      </c>
      <c r="B675">
        <v>12</v>
      </c>
      <c r="C675" s="11">
        <v>26</v>
      </c>
      <c r="D675" s="12" t="s">
        <v>12</v>
      </c>
      <c r="E675" s="12" t="s">
        <v>66</v>
      </c>
      <c r="F675" s="12">
        <v>16722</v>
      </c>
      <c r="G675" s="10">
        <f t="shared" si="10"/>
        <v>16.722000000000001</v>
      </c>
    </row>
    <row r="676" spans="1:7" x14ac:dyDescent="0.25">
      <c r="A676">
        <v>2025</v>
      </c>
      <c r="B676">
        <v>1</v>
      </c>
      <c r="C676" s="11">
        <v>3</v>
      </c>
      <c r="D676" s="12" t="s">
        <v>12</v>
      </c>
      <c r="E676" s="12" t="s">
        <v>66</v>
      </c>
      <c r="F676" s="12">
        <v>15800</v>
      </c>
      <c r="G676" s="10">
        <f t="shared" si="10"/>
        <v>15.8</v>
      </c>
    </row>
    <row r="677" spans="1:7" x14ac:dyDescent="0.25">
      <c r="A677">
        <v>2025</v>
      </c>
      <c r="B677">
        <v>1</v>
      </c>
      <c r="C677" s="11">
        <v>6</v>
      </c>
      <c r="D677" s="15" t="s">
        <v>5</v>
      </c>
      <c r="E677" s="12" t="s">
        <v>66</v>
      </c>
      <c r="F677" s="12">
        <v>39900</v>
      </c>
      <c r="G677" s="10">
        <f t="shared" si="10"/>
        <v>39.9</v>
      </c>
    </row>
    <row r="678" spans="1:7" x14ac:dyDescent="0.25">
      <c r="A678">
        <v>2025</v>
      </c>
      <c r="B678">
        <v>1</v>
      </c>
      <c r="C678" s="11">
        <v>6</v>
      </c>
      <c r="D678" s="15" t="s">
        <v>12</v>
      </c>
      <c r="E678" s="12" t="s">
        <v>84</v>
      </c>
      <c r="F678" s="12">
        <v>16700</v>
      </c>
      <c r="G678" s="10">
        <f t="shared" si="10"/>
        <v>16.7</v>
      </c>
    </row>
    <row r="679" spans="1:7" x14ac:dyDescent="0.25">
      <c r="A679">
        <v>2025</v>
      </c>
      <c r="B679">
        <v>1</v>
      </c>
      <c r="C679" s="11">
        <v>7</v>
      </c>
      <c r="D679" s="15" t="s">
        <v>12</v>
      </c>
      <c r="E679" s="12" t="s">
        <v>66</v>
      </c>
      <c r="F679" s="12">
        <v>16700</v>
      </c>
      <c r="G679" s="10">
        <f t="shared" si="10"/>
        <v>16.7</v>
      </c>
    </row>
    <row r="680" spans="1:7" x14ac:dyDescent="0.25">
      <c r="A680">
        <v>2025</v>
      </c>
      <c r="B680">
        <v>1</v>
      </c>
      <c r="C680" s="11">
        <v>9</v>
      </c>
      <c r="D680" s="12" t="s">
        <v>31</v>
      </c>
      <c r="E680" s="12" t="s">
        <v>66</v>
      </c>
      <c r="F680" s="12">
        <v>40100</v>
      </c>
      <c r="G680" s="10">
        <f t="shared" si="10"/>
        <v>40.1</v>
      </c>
    </row>
    <row r="681" spans="1:7" x14ac:dyDescent="0.25">
      <c r="A681">
        <v>2025</v>
      </c>
      <c r="B681">
        <v>1</v>
      </c>
      <c r="C681" s="11">
        <v>11</v>
      </c>
      <c r="D681" s="12" t="s">
        <v>12</v>
      </c>
      <c r="E681" s="12" t="s">
        <v>66</v>
      </c>
      <c r="F681" s="12">
        <v>15600</v>
      </c>
      <c r="G681" s="10">
        <f t="shared" si="10"/>
        <v>15.6</v>
      </c>
    </row>
    <row r="682" spans="1:7" x14ac:dyDescent="0.25">
      <c r="A682">
        <v>2025</v>
      </c>
      <c r="B682">
        <v>1</v>
      </c>
      <c r="C682" s="11">
        <v>12</v>
      </c>
      <c r="D682" s="15" t="s">
        <v>24</v>
      </c>
      <c r="E682" s="12" t="s">
        <v>84</v>
      </c>
      <c r="F682" s="12">
        <v>100000</v>
      </c>
      <c r="G682" s="10">
        <f t="shared" si="10"/>
        <v>100</v>
      </c>
    </row>
    <row r="683" spans="1:7" x14ac:dyDescent="0.25">
      <c r="A683">
        <v>2025</v>
      </c>
      <c r="B683">
        <v>1</v>
      </c>
      <c r="C683" s="11">
        <v>15</v>
      </c>
      <c r="D683" s="15" t="s">
        <v>31</v>
      </c>
      <c r="E683" s="12" t="s">
        <v>66</v>
      </c>
      <c r="F683" s="12">
        <v>109800</v>
      </c>
      <c r="G683" s="10">
        <f t="shared" si="10"/>
        <v>109.8</v>
      </c>
    </row>
    <row r="684" spans="1:7" x14ac:dyDescent="0.25">
      <c r="A684">
        <v>2025</v>
      </c>
      <c r="B684">
        <v>1</v>
      </c>
      <c r="C684" s="11">
        <v>15</v>
      </c>
      <c r="D684" s="12" t="s">
        <v>24</v>
      </c>
      <c r="E684" s="12" t="s">
        <v>66</v>
      </c>
      <c r="F684" s="12">
        <v>120000</v>
      </c>
      <c r="G684" s="10">
        <f t="shared" si="10"/>
        <v>120</v>
      </c>
    </row>
    <row r="685" spans="1:7" x14ac:dyDescent="0.25">
      <c r="A685">
        <v>2025</v>
      </c>
      <c r="B685">
        <v>1</v>
      </c>
      <c r="C685" s="11">
        <v>16</v>
      </c>
      <c r="D685" s="12" t="s">
        <v>12</v>
      </c>
      <c r="E685" s="12" t="s">
        <v>66</v>
      </c>
      <c r="F685" s="12">
        <v>6000</v>
      </c>
      <c r="G685" s="10">
        <f t="shared" si="10"/>
        <v>6</v>
      </c>
    </row>
    <row r="686" spans="1:7" x14ac:dyDescent="0.25">
      <c r="A686">
        <v>2025</v>
      </c>
      <c r="B686">
        <v>1</v>
      </c>
      <c r="C686" s="11">
        <v>16</v>
      </c>
      <c r="D686" s="15" t="s">
        <v>99</v>
      </c>
      <c r="E686" s="12" t="s">
        <v>66</v>
      </c>
      <c r="F686" s="12">
        <v>60000</v>
      </c>
      <c r="G686" s="10">
        <f t="shared" si="10"/>
        <v>60</v>
      </c>
    </row>
    <row r="687" spans="1:7" x14ac:dyDescent="0.25">
      <c r="A687">
        <v>2025</v>
      </c>
      <c r="B687">
        <v>1</v>
      </c>
      <c r="C687" s="11">
        <v>19</v>
      </c>
      <c r="D687" s="12" t="s">
        <v>12</v>
      </c>
      <c r="E687" s="12" t="s">
        <v>66</v>
      </c>
      <c r="F687" s="12">
        <v>15700</v>
      </c>
      <c r="G687" s="10">
        <f t="shared" si="10"/>
        <v>15.7</v>
      </c>
    </row>
    <row r="688" spans="1:7" x14ac:dyDescent="0.25">
      <c r="A688">
        <v>2025</v>
      </c>
      <c r="B688">
        <v>1</v>
      </c>
      <c r="C688" s="11">
        <v>20</v>
      </c>
      <c r="D688" s="12" t="s">
        <v>5</v>
      </c>
      <c r="E688" s="12" t="s">
        <v>66</v>
      </c>
      <c r="F688" s="12">
        <v>38700</v>
      </c>
      <c r="G688" s="10">
        <f t="shared" si="10"/>
        <v>38.700000000000003</v>
      </c>
    </row>
    <row r="689" spans="1:7" x14ac:dyDescent="0.25">
      <c r="A689">
        <v>2025</v>
      </c>
      <c r="B689">
        <v>1</v>
      </c>
      <c r="C689" s="11">
        <v>21</v>
      </c>
      <c r="D689" s="12" t="s">
        <v>12</v>
      </c>
      <c r="E689" s="12" t="s">
        <v>66</v>
      </c>
      <c r="F689" s="12">
        <v>17000</v>
      </c>
      <c r="G689" s="10">
        <f t="shared" si="10"/>
        <v>17</v>
      </c>
    </row>
    <row r="690" spans="1:7" x14ac:dyDescent="0.25">
      <c r="A690">
        <v>2025</v>
      </c>
      <c r="B690">
        <v>1</v>
      </c>
      <c r="C690" s="11">
        <v>22</v>
      </c>
      <c r="D690" s="12" t="s">
        <v>24</v>
      </c>
      <c r="E690" s="12" t="s">
        <v>66</v>
      </c>
      <c r="F690" s="12">
        <v>116500</v>
      </c>
      <c r="G690" s="10">
        <f t="shared" si="10"/>
        <v>116.5</v>
      </c>
    </row>
    <row r="691" spans="1:7" x14ac:dyDescent="0.25">
      <c r="A691">
        <v>2025</v>
      </c>
      <c r="B691">
        <v>1</v>
      </c>
      <c r="C691" s="11">
        <v>24</v>
      </c>
      <c r="D691" s="12" t="s">
        <v>58</v>
      </c>
      <c r="E691" s="12" t="s">
        <v>66</v>
      </c>
      <c r="F691" s="12">
        <v>80000</v>
      </c>
      <c r="G691" s="10">
        <f t="shared" si="10"/>
        <v>80</v>
      </c>
    </row>
    <row r="692" spans="1:7" x14ac:dyDescent="0.25">
      <c r="A692">
        <v>2025</v>
      </c>
      <c r="B692">
        <v>1</v>
      </c>
      <c r="C692" s="11">
        <v>24</v>
      </c>
      <c r="D692" s="12" t="s">
        <v>12</v>
      </c>
      <c r="E692" s="12" t="s">
        <v>66</v>
      </c>
      <c r="F692" s="12">
        <v>15800</v>
      </c>
      <c r="G692" s="10">
        <f t="shared" si="10"/>
        <v>15.8</v>
      </c>
    </row>
    <row r="693" spans="1:7" x14ac:dyDescent="0.25">
      <c r="A693">
        <v>2025</v>
      </c>
      <c r="B693">
        <v>1</v>
      </c>
      <c r="C693" s="11">
        <v>27</v>
      </c>
      <c r="D693" s="12" t="s">
        <v>31</v>
      </c>
      <c r="E693" s="12" t="s">
        <v>66</v>
      </c>
      <c r="F693" s="12">
        <v>80000</v>
      </c>
      <c r="G693" s="10">
        <f t="shared" si="10"/>
        <v>80</v>
      </c>
    </row>
    <row r="694" spans="1:7" x14ac:dyDescent="0.25">
      <c r="A694">
        <v>2025</v>
      </c>
      <c r="B694">
        <v>1</v>
      </c>
      <c r="C694" s="11">
        <v>28</v>
      </c>
      <c r="D694" s="12" t="s">
        <v>24</v>
      </c>
      <c r="E694" s="12" t="s">
        <v>66</v>
      </c>
      <c r="F694" s="12">
        <v>140000</v>
      </c>
      <c r="G694" s="10">
        <f t="shared" si="10"/>
        <v>140</v>
      </c>
    </row>
    <row r="695" spans="1:7" x14ac:dyDescent="0.25">
      <c r="A695">
        <v>2025</v>
      </c>
      <c r="B695">
        <v>1</v>
      </c>
      <c r="C695" s="11">
        <v>29</v>
      </c>
      <c r="D695" s="15" t="s">
        <v>12</v>
      </c>
      <c r="E695" s="12" t="s">
        <v>66</v>
      </c>
      <c r="F695" s="12">
        <v>16700</v>
      </c>
      <c r="G695" s="10">
        <f t="shared" si="10"/>
        <v>16.7</v>
      </c>
    </row>
    <row r="696" spans="1:7" x14ac:dyDescent="0.25">
      <c r="A696">
        <v>2025</v>
      </c>
      <c r="B696">
        <v>2</v>
      </c>
      <c r="C696" s="13">
        <v>2</v>
      </c>
      <c r="D696" s="14" t="s">
        <v>5</v>
      </c>
      <c r="E696" t="s">
        <v>66</v>
      </c>
      <c r="F696">
        <v>70000</v>
      </c>
      <c r="G696">
        <v>70</v>
      </c>
    </row>
    <row r="697" spans="1:7" x14ac:dyDescent="0.25">
      <c r="A697">
        <v>2025</v>
      </c>
      <c r="B697">
        <v>2</v>
      </c>
      <c r="C697" s="13">
        <v>4</v>
      </c>
      <c r="D697" s="14" t="s">
        <v>12</v>
      </c>
      <c r="E697" t="s">
        <v>66</v>
      </c>
      <c r="F697">
        <f>G697*1000</f>
        <v>16600</v>
      </c>
      <c r="G697">
        <v>16.600000000000001</v>
      </c>
    </row>
    <row r="698" spans="1:7" x14ac:dyDescent="0.25">
      <c r="A698">
        <v>2025</v>
      </c>
      <c r="B698">
        <v>2</v>
      </c>
      <c r="C698" s="13">
        <v>4</v>
      </c>
      <c r="D698" s="14" t="s">
        <v>12</v>
      </c>
      <c r="E698" t="s">
        <v>66</v>
      </c>
      <c r="F698">
        <f t="shared" ref="F698:F742" si="11">G698*1000</f>
        <v>6000</v>
      </c>
      <c r="G698">
        <v>6</v>
      </c>
    </row>
    <row r="699" spans="1:7" x14ac:dyDescent="0.25">
      <c r="A699">
        <v>2025</v>
      </c>
      <c r="B699">
        <v>2</v>
      </c>
      <c r="C699" s="13">
        <v>5</v>
      </c>
      <c r="D699" s="14" t="s">
        <v>8</v>
      </c>
      <c r="E699" t="s">
        <v>66</v>
      </c>
      <c r="F699">
        <f t="shared" si="11"/>
        <v>14800</v>
      </c>
      <c r="G699">
        <v>14.8</v>
      </c>
    </row>
    <row r="700" spans="1:7" x14ac:dyDescent="0.25">
      <c r="A700">
        <v>2025</v>
      </c>
      <c r="B700">
        <v>2</v>
      </c>
      <c r="C700" s="13">
        <v>8</v>
      </c>
      <c r="D700" s="14" t="s">
        <v>31</v>
      </c>
      <c r="E700" t="s">
        <v>66</v>
      </c>
      <c r="F700">
        <f t="shared" si="11"/>
        <v>110000</v>
      </c>
      <c r="G700">
        <v>110</v>
      </c>
    </row>
    <row r="701" spans="1:7" x14ac:dyDescent="0.25">
      <c r="A701">
        <v>2025</v>
      </c>
      <c r="B701">
        <v>2</v>
      </c>
      <c r="C701" s="13">
        <v>8</v>
      </c>
      <c r="D701" s="14" t="s">
        <v>10</v>
      </c>
      <c r="E701" t="s">
        <v>66</v>
      </c>
      <c r="F701">
        <f t="shared" si="11"/>
        <v>-90000</v>
      </c>
      <c r="G701" s="13">
        <v>-90</v>
      </c>
    </row>
    <row r="702" spans="1:7" x14ac:dyDescent="0.25">
      <c r="A702">
        <v>2025</v>
      </c>
      <c r="B702">
        <v>2</v>
      </c>
      <c r="C702" s="13">
        <v>9</v>
      </c>
      <c r="D702" s="14" t="s">
        <v>129</v>
      </c>
      <c r="E702" t="s">
        <v>66</v>
      </c>
      <c r="F702">
        <f t="shared" si="11"/>
        <v>-100000</v>
      </c>
      <c r="G702" s="13">
        <v>-100</v>
      </c>
    </row>
    <row r="703" spans="1:7" x14ac:dyDescent="0.25">
      <c r="A703">
        <v>2025</v>
      </c>
      <c r="B703">
        <v>2</v>
      </c>
      <c r="C703" s="13">
        <v>10</v>
      </c>
      <c r="D703" s="14" t="s">
        <v>12</v>
      </c>
      <c r="E703" t="s">
        <v>66</v>
      </c>
      <c r="F703">
        <f t="shared" si="11"/>
        <v>15300</v>
      </c>
      <c r="G703">
        <v>15.3</v>
      </c>
    </row>
    <row r="704" spans="1:7" x14ac:dyDescent="0.25">
      <c r="A704">
        <v>2025</v>
      </c>
      <c r="B704">
        <v>2</v>
      </c>
      <c r="C704" s="13">
        <v>10</v>
      </c>
      <c r="D704" s="14" t="s">
        <v>31</v>
      </c>
      <c r="E704" t="s">
        <v>66</v>
      </c>
      <c r="F704">
        <f t="shared" si="11"/>
        <v>110000</v>
      </c>
      <c r="G704">
        <v>110</v>
      </c>
    </row>
    <row r="705" spans="1:7" x14ac:dyDescent="0.25">
      <c r="A705">
        <v>2025</v>
      </c>
      <c r="B705">
        <v>2</v>
      </c>
      <c r="C705" s="13">
        <v>12</v>
      </c>
      <c r="D705" s="14" t="s">
        <v>12</v>
      </c>
      <c r="E705" t="s">
        <v>66</v>
      </c>
      <c r="F705">
        <f t="shared" si="11"/>
        <v>16700</v>
      </c>
      <c r="G705">
        <v>16.7</v>
      </c>
    </row>
    <row r="706" spans="1:7" x14ac:dyDescent="0.25">
      <c r="A706">
        <v>2025</v>
      </c>
      <c r="B706">
        <v>2</v>
      </c>
      <c r="C706" s="13">
        <v>12</v>
      </c>
      <c r="D706" s="14" t="s">
        <v>6</v>
      </c>
      <c r="E706" t="s">
        <v>66</v>
      </c>
      <c r="F706">
        <f t="shared" si="11"/>
        <v>-12000</v>
      </c>
      <c r="G706" s="13">
        <v>-12</v>
      </c>
    </row>
    <row r="707" spans="1:7" x14ac:dyDescent="0.25">
      <c r="A707">
        <v>2025</v>
      </c>
      <c r="B707">
        <v>2</v>
      </c>
      <c r="C707" s="13">
        <v>13</v>
      </c>
      <c r="D707" s="14" t="s">
        <v>12</v>
      </c>
      <c r="E707" t="s">
        <v>66</v>
      </c>
      <c r="F707">
        <f t="shared" si="11"/>
        <v>16700</v>
      </c>
      <c r="G707">
        <v>16.7</v>
      </c>
    </row>
    <row r="708" spans="1:7" x14ac:dyDescent="0.25">
      <c r="A708">
        <v>2025</v>
      </c>
      <c r="B708">
        <v>2</v>
      </c>
      <c r="C708" s="13">
        <v>13</v>
      </c>
      <c r="D708" s="14" t="s">
        <v>14</v>
      </c>
      <c r="E708" t="s">
        <v>66</v>
      </c>
      <c r="F708">
        <f t="shared" si="11"/>
        <v>-35000</v>
      </c>
      <c r="G708" s="13">
        <v>-35</v>
      </c>
    </row>
    <row r="709" spans="1:7" x14ac:dyDescent="0.25">
      <c r="A709">
        <v>2025</v>
      </c>
      <c r="B709">
        <v>2</v>
      </c>
      <c r="C709" s="13">
        <v>13</v>
      </c>
      <c r="D709" s="14" t="s">
        <v>36</v>
      </c>
      <c r="E709" t="s">
        <v>66</v>
      </c>
      <c r="F709">
        <f t="shared" si="11"/>
        <v>14200</v>
      </c>
      <c r="G709" s="1">
        <v>14.2</v>
      </c>
    </row>
    <row r="710" spans="1:7" x14ac:dyDescent="0.25">
      <c r="A710">
        <v>2025</v>
      </c>
      <c r="B710">
        <v>2</v>
      </c>
      <c r="C710" s="13">
        <v>16</v>
      </c>
      <c r="D710" s="14" t="s">
        <v>6</v>
      </c>
      <c r="E710" t="s">
        <v>66</v>
      </c>
      <c r="F710">
        <f t="shared" si="11"/>
        <v>-16000</v>
      </c>
      <c r="G710" s="13">
        <v>-16</v>
      </c>
    </row>
    <row r="711" spans="1:7" x14ac:dyDescent="0.25">
      <c r="A711">
        <v>2025</v>
      </c>
      <c r="B711">
        <v>2</v>
      </c>
      <c r="C711" s="13">
        <v>17</v>
      </c>
      <c r="D711" s="14" t="s">
        <v>12</v>
      </c>
      <c r="E711" t="s">
        <v>66</v>
      </c>
      <c r="F711">
        <f t="shared" si="11"/>
        <v>16100.000000000002</v>
      </c>
      <c r="G711" s="1">
        <v>16.100000000000001</v>
      </c>
    </row>
    <row r="712" spans="1:7" x14ac:dyDescent="0.25">
      <c r="A712">
        <v>2025</v>
      </c>
      <c r="B712">
        <v>2</v>
      </c>
      <c r="C712" s="13">
        <v>18</v>
      </c>
      <c r="D712" s="14" t="s">
        <v>12</v>
      </c>
      <c r="E712" t="s">
        <v>66</v>
      </c>
      <c r="F712">
        <f t="shared" si="11"/>
        <v>16700</v>
      </c>
      <c r="G712" s="1">
        <v>16.7</v>
      </c>
    </row>
    <row r="713" spans="1:7" x14ac:dyDescent="0.25">
      <c r="A713">
        <v>2025</v>
      </c>
      <c r="B713">
        <v>2</v>
      </c>
      <c r="C713" s="13">
        <v>20</v>
      </c>
      <c r="D713" s="14" t="s">
        <v>24</v>
      </c>
      <c r="E713" t="s">
        <v>66</v>
      </c>
      <c r="F713">
        <f t="shared" si="11"/>
        <v>130000</v>
      </c>
      <c r="G713" s="1">
        <v>130</v>
      </c>
    </row>
    <row r="714" spans="1:7" x14ac:dyDescent="0.25">
      <c r="A714">
        <v>2025</v>
      </c>
      <c r="B714">
        <v>2</v>
      </c>
      <c r="C714" s="13">
        <v>22</v>
      </c>
      <c r="D714" s="14" t="s">
        <v>5</v>
      </c>
      <c r="E714" t="s">
        <v>66</v>
      </c>
      <c r="F714">
        <f t="shared" si="11"/>
        <v>92000</v>
      </c>
      <c r="G714" s="1">
        <v>92</v>
      </c>
    </row>
    <row r="715" spans="1:7" x14ac:dyDescent="0.25">
      <c r="A715">
        <v>2025</v>
      </c>
      <c r="B715">
        <v>2</v>
      </c>
      <c r="C715" s="13">
        <v>25</v>
      </c>
      <c r="D715" s="14" t="s">
        <v>54</v>
      </c>
      <c r="E715" t="s">
        <v>66</v>
      </c>
      <c r="F715">
        <f t="shared" si="11"/>
        <v>70000</v>
      </c>
      <c r="G715" s="1">
        <v>70</v>
      </c>
    </row>
    <row r="716" spans="1:7" x14ac:dyDescent="0.25">
      <c r="A716">
        <v>2025</v>
      </c>
      <c r="B716">
        <v>2</v>
      </c>
      <c r="C716" s="13">
        <v>26</v>
      </c>
      <c r="D716" s="14" t="s">
        <v>12</v>
      </c>
      <c r="E716" t="s">
        <v>66</v>
      </c>
      <c r="F716">
        <f t="shared" si="11"/>
        <v>16700</v>
      </c>
      <c r="G716" s="1">
        <v>16.7</v>
      </c>
    </row>
    <row r="717" spans="1:7" x14ac:dyDescent="0.25">
      <c r="A717">
        <v>2025</v>
      </c>
      <c r="B717">
        <v>2</v>
      </c>
      <c r="C717" s="13">
        <v>28</v>
      </c>
      <c r="D717" s="14" t="s">
        <v>24</v>
      </c>
      <c r="E717" t="s">
        <v>66</v>
      </c>
      <c r="F717">
        <f t="shared" si="11"/>
        <v>50000</v>
      </c>
      <c r="G717" s="1">
        <v>50</v>
      </c>
    </row>
    <row r="718" spans="1:7" x14ac:dyDescent="0.25">
      <c r="A718">
        <v>2025</v>
      </c>
      <c r="B718">
        <v>2</v>
      </c>
      <c r="C718" s="13">
        <v>28</v>
      </c>
      <c r="D718" s="14" t="s">
        <v>12</v>
      </c>
      <c r="E718" t="s">
        <v>66</v>
      </c>
      <c r="F718">
        <f t="shared" si="11"/>
        <v>11400</v>
      </c>
      <c r="G718" s="1">
        <v>11.4</v>
      </c>
    </row>
    <row r="719" spans="1:7" x14ac:dyDescent="0.25">
      <c r="A719">
        <v>2025</v>
      </c>
      <c r="B719" s="1">
        <v>3</v>
      </c>
      <c r="C719" s="1">
        <v>5</v>
      </c>
      <c r="D719" s="14" t="s">
        <v>12</v>
      </c>
      <c r="E719" t="s">
        <v>66</v>
      </c>
      <c r="F719">
        <f t="shared" si="11"/>
        <v>17000</v>
      </c>
      <c r="G719">
        <v>17</v>
      </c>
    </row>
    <row r="720" spans="1:7" x14ac:dyDescent="0.25">
      <c r="A720">
        <v>2025</v>
      </c>
      <c r="B720" s="1">
        <v>3</v>
      </c>
      <c r="C720" s="1">
        <v>5</v>
      </c>
      <c r="D720" s="14" t="s">
        <v>6</v>
      </c>
      <c r="E720" t="s">
        <v>66</v>
      </c>
      <c r="F720">
        <f t="shared" si="11"/>
        <v>-13000</v>
      </c>
      <c r="G720" s="1">
        <v>-13</v>
      </c>
    </row>
    <row r="721" spans="1:7" x14ac:dyDescent="0.25">
      <c r="A721">
        <v>2025</v>
      </c>
      <c r="B721" s="1">
        <v>3</v>
      </c>
      <c r="C721" s="1">
        <v>6</v>
      </c>
      <c r="D721" t="s">
        <v>22</v>
      </c>
      <c r="E721" t="s">
        <v>66</v>
      </c>
      <c r="F721">
        <f t="shared" si="11"/>
        <v>70000</v>
      </c>
      <c r="G721">
        <v>70</v>
      </c>
    </row>
    <row r="722" spans="1:7" x14ac:dyDescent="0.25">
      <c r="A722">
        <v>2025</v>
      </c>
      <c r="B722" s="1">
        <v>3</v>
      </c>
      <c r="C722" s="1">
        <v>6</v>
      </c>
      <c r="D722" t="s">
        <v>6</v>
      </c>
      <c r="E722" t="s">
        <v>66</v>
      </c>
      <c r="F722">
        <f t="shared" si="11"/>
        <v>-30000</v>
      </c>
      <c r="G722" s="1">
        <v>-30</v>
      </c>
    </row>
    <row r="723" spans="1:7" x14ac:dyDescent="0.25">
      <c r="A723">
        <v>2025</v>
      </c>
      <c r="B723" s="1">
        <v>3</v>
      </c>
      <c r="C723" s="1">
        <v>9</v>
      </c>
      <c r="D723" t="s">
        <v>55</v>
      </c>
      <c r="E723" t="s">
        <v>66</v>
      </c>
      <c r="F723">
        <f t="shared" si="11"/>
        <v>45000</v>
      </c>
      <c r="G723">
        <v>45</v>
      </c>
    </row>
    <row r="724" spans="1:7" x14ac:dyDescent="0.25">
      <c r="A724">
        <v>2025</v>
      </c>
      <c r="B724" s="1">
        <v>3</v>
      </c>
      <c r="C724" s="1">
        <v>9</v>
      </c>
      <c r="D724" s="14" t="s">
        <v>12</v>
      </c>
      <c r="E724" t="s">
        <v>66</v>
      </c>
      <c r="F724">
        <f t="shared" si="11"/>
        <v>17000</v>
      </c>
      <c r="G724">
        <v>17</v>
      </c>
    </row>
    <row r="725" spans="1:7" x14ac:dyDescent="0.25">
      <c r="A725">
        <v>2025</v>
      </c>
      <c r="B725" s="1">
        <v>3</v>
      </c>
      <c r="C725" s="1">
        <v>9</v>
      </c>
      <c r="D725" s="14" t="s">
        <v>36</v>
      </c>
      <c r="E725" t="s">
        <v>66</v>
      </c>
      <c r="F725">
        <f t="shared" si="11"/>
        <v>-76000</v>
      </c>
      <c r="G725" s="1">
        <v>-76</v>
      </c>
    </row>
    <row r="726" spans="1:7" x14ac:dyDescent="0.25">
      <c r="A726">
        <v>2025</v>
      </c>
      <c r="B726" s="1">
        <v>3</v>
      </c>
      <c r="C726" s="1">
        <v>11</v>
      </c>
      <c r="D726" s="14" t="s">
        <v>130</v>
      </c>
      <c r="E726" t="s">
        <v>66</v>
      </c>
      <c r="F726">
        <f t="shared" si="11"/>
        <v>-75000</v>
      </c>
      <c r="G726" s="1">
        <v>-75</v>
      </c>
    </row>
    <row r="727" spans="1:7" x14ac:dyDescent="0.25">
      <c r="A727">
        <v>2025</v>
      </c>
      <c r="B727" s="1">
        <v>3</v>
      </c>
      <c r="C727" s="1">
        <v>13</v>
      </c>
      <c r="D727" s="14" t="s">
        <v>12</v>
      </c>
      <c r="E727" t="s">
        <v>66</v>
      </c>
      <c r="F727">
        <f t="shared" si="11"/>
        <v>17000</v>
      </c>
      <c r="G727">
        <v>17</v>
      </c>
    </row>
    <row r="728" spans="1:7" x14ac:dyDescent="0.25">
      <c r="A728">
        <v>2025</v>
      </c>
      <c r="B728" s="1">
        <v>3</v>
      </c>
      <c r="C728" s="1">
        <v>14</v>
      </c>
      <c r="D728" s="14" t="s">
        <v>20</v>
      </c>
      <c r="E728" t="s">
        <v>66</v>
      </c>
      <c r="F728">
        <f t="shared" si="11"/>
        <v>-10000</v>
      </c>
      <c r="G728" s="1">
        <v>-10</v>
      </c>
    </row>
    <row r="729" spans="1:7" x14ac:dyDescent="0.25">
      <c r="A729">
        <v>2025</v>
      </c>
      <c r="B729" s="1">
        <v>3</v>
      </c>
      <c r="C729" s="1">
        <v>16</v>
      </c>
      <c r="D729" t="s">
        <v>22</v>
      </c>
      <c r="E729" t="s">
        <v>66</v>
      </c>
      <c r="F729">
        <f t="shared" si="11"/>
        <v>70000</v>
      </c>
      <c r="G729">
        <v>70</v>
      </c>
    </row>
    <row r="730" spans="1:7" x14ac:dyDescent="0.25">
      <c r="A730">
        <v>2025</v>
      </c>
      <c r="B730" s="1">
        <v>3</v>
      </c>
      <c r="C730" s="1">
        <v>17</v>
      </c>
      <c r="D730" t="s">
        <v>10</v>
      </c>
      <c r="E730" t="s">
        <v>66</v>
      </c>
      <c r="F730">
        <f t="shared" si="11"/>
        <v>70000</v>
      </c>
      <c r="G730">
        <v>70</v>
      </c>
    </row>
    <row r="731" spans="1:7" x14ac:dyDescent="0.25">
      <c r="A731">
        <v>2025</v>
      </c>
      <c r="B731" s="1">
        <v>3</v>
      </c>
      <c r="C731" s="1">
        <v>18</v>
      </c>
      <c r="D731" s="14" t="s">
        <v>12</v>
      </c>
      <c r="E731" t="s">
        <v>66</v>
      </c>
      <c r="F731">
        <f t="shared" si="11"/>
        <v>17000</v>
      </c>
      <c r="G731">
        <v>17</v>
      </c>
    </row>
    <row r="732" spans="1:7" x14ac:dyDescent="0.25">
      <c r="A732">
        <v>2025</v>
      </c>
      <c r="B732" s="1">
        <v>3</v>
      </c>
      <c r="C732" s="1">
        <v>19</v>
      </c>
      <c r="D732" t="s">
        <v>5</v>
      </c>
      <c r="E732" t="s">
        <v>66</v>
      </c>
      <c r="F732">
        <f t="shared" si="11"/>
        <v>100000</v>
      </c>
      <c r="G732" s="1">
        <v>100</v>
      </c>
    </row>
    <row r="733" spans="1:7" x14ac:dyDescent="0.25">
      <c r="A733">
        <v>2025</v>
      </c>
      <c r="B733" s="1">
        <v>3</v>
      </c>
      <c r="C733" s="1">
        <v>20</v>
      </c>
      <c r="D733" t="s">
        <v>22</v>
      </c>
      <c r="E733" t="s">
        <v>66</v>
      </c>
      <c r="F733">
        <f t="shared" si="11"/>
        <v>72000</v>
      </c>
      <c r="G733">
        <v>72</v>
      </c>
    </row>
    <row r="734" spans="1:7" x14ac:dyDescent="0.25">
      <c r="A734">
        <v>2025</v>
      </c>
      <c r="B734" s="1">
        <v>3</v>
      </c>
      <c r="C734" s="1">
        <v>21</v>
      </c>
      <c r="D734" t="s">
        <v>141</v>
      </c>
      <c r="E734" t="s">
        <v>66</v>
      </c>
      <c r="F734">
        <f t="shared" si="11"/>
        <v>-29000</v>
      </c>
      <c r="G734" s="1">
        <v>-29</v>
      </c>
    </row>
    <row r="735" spans="1:7" x14ac:dyDescent="0.25">
      <c r="A735">
        <v>2025</v>
      </c>
      <c r="B735" s="1">
        <v>3</v>
      </c>
      <c r="C735" s="13">
        <v>22</v>
      </c>
      <c r="D735" s="14" t="s">
        <v>138</v>
      </c>
      <c r="E735" t="s">
        <v>66</v>
      </c>
      <c r="F735">
        <f t="shared" si="11"/>
        <v>50000</v>
      </c>
      <c r="G735" s="13">
        <v>50</v>
      </c>
    </row>
    <row r="736" spans="1:7" x14ac:dyDescent="0.25">
      <c r="A736">
        <v>2025</v>
      </c>
      <c r="B736" s="1">
        <v>3</v>
      </c>
      <c r="C736" s="13">
        <v>23</v>
      </c>
      <c r="D736" s="14" t="s">
        <v>12</v>
      </c>
      <c r="E736" t="s">
        <v>66</v>
      </c>
      <c r="F736">
        <f t="shared" si="11"/>
        <v>17000</v>
      </c>
      <c r="G736" s="13">
        <v>17</v>
      </c>
    </row>
    <row r="737" spans="1:7" x14ac:dyDescent="0.25">
      <c r="A737">
        <v>2025</v>
      </c>
      <c r="B737" s="1">
        <v>3</v>
      </c>
      <c r="C737" s="13">
        <v>25</v>
      </c>
      <c r="D737" s="14" t="s">
        <v>50</v>
      </c>
      <c r="E737" t="s">
        <v>66</v>
      </c>
      <c r="F737">
        <f t="shared" si="11"/>
        <v>-16000</v>
      </c>
      <c r="G737" s="13">
        <v>-16</v>
      </c>
    </row>
    <row r="738" spans="1:7" x14ac:dyDescent="0.25">
      <c r="A738">
        <v>2025</v>
      </c>
      <c r="B738" s="1">
        <v>3</v>
      </c>
      <c r="C738" s="13">
        <v>28</v>
      </c>
      <c r="D738" s="14" t="s">
        <v>12</v>
      </c>
      <c r="E738" t="s">
        <v>66</v>
      </c>
      <c r="F738">
        <f t="shared" si="11"/>
        <v>17000</v>
      </c>
      <c r="G738" s="13">
        <v>17</v>
      </c>
    </row>
    <row r="739" spans="1:7" x14ac:dyDescent="0.25">
      <c r="A739">
        <v>2025</v>
      </c>
      <c r="B739" s="1">
        <v>4</v>
      </c>
      <c r="C739" s="13">
        <v>1</v>
      </c>
      <c r="D739" s="14" t="s">
        <v>12</v>
      </c>
      <c r="E739" t="s">
        <v>66</v>
      </c>
      <c r="F739">
        <f t="shared" si="11"/>
        <v>10000</v>
      </c>
      <c r="G739" s="13">
        <v>10</v>
      </c>
    </row>
    <row r="740" spans="1:7" x14ac:dyDescent="0.25">
      <c r="A740">
        <v>2025</v>
      </c>
      <c r="B740" s="1">
        <v>4</v>
      </c>
      <c r="C740" s="13">
        <v>12</v>
      </c>
      <c r="D740" s="13" t="s">
        <v>12</v>
      </c>
      <c r="E740" t="s">
        <v>66</v>
      </c>
      <c r="F740">
        <f t="shared" si="11"/>
        <v>60000</v>
      </c>
      <c r="G740" s="13">
        <v>60</v>
      </c>
    </row>
    <row r="741" spans="1:7" x14ac:dyDescent="0.25">
      <c r="A741">
        <v>2025</v>
      </c>
      <c r="B741" s="1">
        <v>4</v>
      </c>
      <c r="C741" s="13">
        <v>20</v>
      </c>
      <c r="D741" s="13" t="s">
        <v>5</v>
      </c>
      <c r="E741" t="s">
        <v>66</v>
      </c>
      <c r="F741">
        <f t="shared" si="11"/>
        <v>60000</v>
      </c>
      <c r="G741" s="13">
        <v>60</v>
      </c>
    </row>
    <row r="742" spans="1:7" x14ac:dyDescent="0.25">
      <c r="A742">
        <v>2025</v>
      </c>
      <c r="B742" s="1">
        <v>4</v>
      </c>
      <c r="C742" s="13">
        <v>28</v>
      </c>
      <c r="D742" s="14" t="s">
        <v>22</v>
      </c>
      <c r="E742" t="s">
        <v>66</v>
      </c>
      <c r="F742">
        <f t="shared" si="11"/>
        <v>60000</v>
      </c>
      <c r="G742" s="1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3"/>
  <sheetViews>
    <sheetView topLeftCell="A322" workbookViewId="0">
      <selection activeCell="D345" sqref="D345:D352"/>
    </sheetView>
  </sheetViews>
  <sheetFormatPr defaultRowHeight="15" x14ac:dyDescent="0.25"/>
  <cols>
    <col min="1" max="2" width="29.28515625" style="1" customWidth="1"/>
    <col min="3" max="3" width="13.28515625" style="1" customWidth="1"/>
    <col min="4" max="4" width="16.140625" bestFit="1" customWidth="1"/>
    <col min="5" max="5" width="21.85546875" bestFit="1" customWidth="1"/>
    <col min="6" max="6" width="27.28515625" hidden="1" customWidth="1"/>
    <col min="7" max="7" width="28.140625" customWidth="1"/>
  </cols>
  <sheetData>
    <row r="1" spans="1:7" ht="14.25" customHeight="1" x14ac:dyDescent="0.25">
      <c r="A1" s="1" t="s">
        <v>62</v>
      </c>
      <c r="B1" s="1" t="s">
        <v>60</v>
      </c>
      <c r="C1" s="1" t="s">
        <v>61</v>
      </c>
      <c r="D1" t="s">
        <v>56</v>
      </c>
      <c r="E1" t="s">
        <v>57</v>
      </c>
      <c r="F1" t="s">
        <v>0</v>
      </c>
      <c r="G1" t="s">
        <v>1</v>
      </c>
    </row>
    <row r="2" spans="1:7" x14ac:dyDescent="0.25">
      <c r="A2" s="1">
        <v>2024</v>
      </c>
      <c r="B2" s="1">
        <v>1</v>
      </c>
      <c r="C2" s="1">
        <v>3</v>
      </c>
      <c r="D2">
        <v>2.762</v>
      </c>
      <c r="E2">
        <f>D2</f>
        <v>2.762</v>
      </c>
      <c r="F2" t="s">
        <v>7</v>
      </c>
      <c r="G2" t="s">
        <v>8</v>
      </c>
    </row>
    <row r="3" spans="1:7" x14ac:dyDescent="0.25">
      <c r="A3" s="1">
        <v>2024</v>
      </c>
      <c r="B3" s="1">
        <v>1</v>
      </c>
      <c r="C3" s="1">
        <v>3</v>
      </c>
      <c r="D3">
        <v>1.7689999999999999</v>
      </c>
      <c r="E3">
        <f>E2+D3</f>
        <v>4.5309999999999997</v>
      </c>
      <c r="F3" t="s">
        <v>7</v>
      </c>
      <c r="G3" t="s">
        <v>8</v>
      </c>
    </row>
    <row r="4" spans="1:7" x14ac:dyDescent="0.25">
      <c r="A4" s="1">
        <v>2024</v>
      </c>
      <c r="B4" s="1">
        <v>1</v>
      </c>
      <c r="C4" s="1">
        <v>3</v>
      </c>
      <c r="D4">
        <v>16.722000000000001</v>
      </c>
      <c r="E4">
        <f t="shared" ref="E4:E26" si="0">E3+D4</f>
        <v>21.253</v>
      </c>
      <c r="F4" t="s">
        <v>11</v>
      </c>
      <c r="G4" t="s">
        <v>12</v>
      </c>
    </row>
    <row r="5" spans="1:7" x14ac:dyDescent="0.25">
      <c r="A5" s="1">
        <v>2024</v>
      </c>
      <c r="B5" s="1">
        <v>1</v>
      </c>
      <c r="C5" s="1">
        <v>8</v>
      </c>
      <c r="D5">
        <v>17.097999999999999</v>
      </c>
      <c r="E5">
        <f t="shared" si="0"/>
        <v>38.350999999999999</v>
      </c>
      <c r="F5" t="s">
        <v>11</v>
      </c>
      <c r="G5" t="s">
        <v>12</v>
      </c>
    </row>
    <row r="6" spans="1:7" x14ac:dyDescent="0.25">
      <c r="A6" s="1">
        <v>2024</v>
      </c>
      <c r="B6" s="1">
        <v>1</v>
      </c>
      <c r="C6" s="1">
        <v>9</v>
      </c>
      <c r="D6">
        <v>16.401</v>
      </c>
      <c r="E6">
        <f t="shared" si="0"/>
        <v>54.751999999999995</v>
      </c>
      <c r="F6" t="s">
        <v>11</v>
      </c>
      <c r="G6" t="s">
        <v>12</v>
      </c>
    </row>
    <row r="7" spans="1:7" x14ac:dyDescent="0.25">
      <c r="A7" s="1">
        <v>2024</v>
      </c>
      <c r="B7" s="1">
        <v>1</v>
      </c>
      <c r="C7" s="1">
        <v>12</v>
      </c>
      <c r="D7">
        <v>15.92</v>
      </c>
      <c r="E7">
        <f t="shared" si="0"/>
        <v>70.671999999999997</v>
      </c>
      <c r="F7" t="s">
        <v>11</v>
      </c>
      <c r="G7" t="s">
        <v>12</v>
      </c>
    </row>
    <row r="8" spans="1:7" x14ac:dyDescent="0.25">
      <c r="A8" s="1">
        <v>2024</v>
      </c>
      <c r="B8" s="1">
        <v>1</v>
      </c>
      <c r="C8" s="1">
        <v>14</v>
      </c>
      <c r="D8">
        <v>4.0170000000000003</v>
      </c>
      <c r="E8">
        <f t="shared" si="0"/>
        <v>74.688999999999993</v>
      </c>
      <c r="F8" t="s">
        <v>4</v>
      </c>
      <c r="G8" t="s">
        <v>5</v>
      </c>
    </row>
    <row r="9" spans="1:7" x14ac:dyDescent="0.25">
      <c r="A9" s="1">
        <v>2024</v>
      </c>
      <c r="B9" s="1">
        <v>1</v>
      </c>
      <c r="C9" s="1">
        <v>16</v>
      </c>
      <c r="D9">
        <v>10.345000000000001</v>
      </c>
      <c r="E9">
        <f t="shared" si="0"/>
        <v>85.033999999999992</v>
      </c>
      <c r="F9" t="s">
        <v>16</v>
      </c>
      <c r="G9" t="s">
        <v>12</v>
      </c>
    </row>
    <row r="10" spans="1:7" x14ac:dyDescent="0.25">
      <c r="A10" s="1">
        <v>2024</v>
      </c>
      <c r="B10" s="1">
        <v>1</v>
      </c>
      <c r="C10" s="1">
        <v>16</v>
      </c>
      <c r="D10">
        <v>1.976</v>
      </c>
      <c r="E10">
        <f t="shared" si="0"/>
        <v>87.009999999999991</v>
      </c>
      <c r="F10" t="s">
        <v>11</v>
      </c>
      <c r="G10" t="s">
        <v>12</v>
      </c>
    </row>
    <row r="11" spans="1:7" x14ac:dyDescent="0.25">
      <c r="A11" s="1">
        <v>2024</v>
      </c>
      <c r="B11" s="1">
        <v>1</v>
      </c>
      <c r="C11" s="1">
        <v>20</v>
      </c>
      <c r="D11">
        <v>60.112000000000002</v>
      </c>
      <c r="E11">
        <f t="shared" si="0"/>
        <v>147.12199999999999</v>
      </c>
      <c r="F11" t="s">
        <v>9</v>
      </c>
      <c r="G11" t="s">
        <v>10</v>
      </c>
    </row>
    <row r="12" spans="1:7" x14ac:dyDescent="0.25">
      <c r="A12" s="1">
        <v>2024</v>
      </c>
      <c r="B12" s="1">
        <v>1</v>
      </c>
      <c r="C12" s="1">
        <v>20</v>
      </c>
      <c r="D12">
        <v>2.3380000000000001</v>
      </c>
      <c r="E12">
        <f t="shared" si="0"/>
        <v>149.45999999999998</v>
      </c>
      <c r="F12" t="s">
        <v>11</v>
      </c>
      <c r="G12" t="s">
        <v>12</v>
      </c>
    </row>
    <row r="13" spans="1:7" x14ac:dyDescent="0.25">
      <c r="A13" s="1">
        <v>2024</v>
      </c>
      <c r="B13" s="1">
        <v>1</v>
      </c>
      <c r="C13" s="1">
        <v>20</v>
      </c>
      <c r="D13">
        <v>14.384</v>
      </c>
      <c r="E13">
        <f t="shared" si="0"/>
        <v>163.84399999999999</v>
      </c>
      <c r="F13" t="s">
        <v>11</v>
      </c>
      <c r="G13" t="s">
        <v>12</v>
      </c>
    </row>
    <row r="14" spans="1:7" x14ac:dyDescent="0.25">
      <c r="A14" s="1">
        <v>2024</v>
      </c>
      <c r="B14" s="1">
        <v>1</v>
      </c>
      <c r="C14" s="1">
        <v>20</v>
      </c>
      <c r="D14">
        <v>14.999000000000001</v>
      </c>
      <c r="E14">
        <f t="shared" si="0"/>
        <v>178.84299999999999</v>
      </c>
      <c r="F14" t="s">
        <v>11</v>
      </c>
      <c r="G14" t="s">
        <v>12</v>
      </c>
    </row>
    <row r="15" spans="1:7" x14ac:dyDescent="0.25">
      <c r="A15" s="1">
        <v>2024</v>
      </c>
      <c r="B15" s="1">
        <v>1</v>
      </c>
      <c r="C15" s="1">
        <v>21</v>
      </c>
      <c r="D15">
        <v>45.587000000000003</v>
      </c>
      <c r="E15">
        <f t="shared" si="0"/>
        <v>224.43</v>
      </c>
    </row>
    <row r="16" spans="1:7" x14ac:dyDescent="0.25">
      <c r="A16" s="1">
        <v>2024</v>
      </c>
      <c r="B16" s="1">
        <v>1</v>
      </c>
      <c r="C16" s="1">
        <v>28</v>
      </c>
      <c r="D16">
        <v>17.125</v>
      </c>
      <c r="E16">
        <f t="shared" si="0"/>
        <v>241.55500000000001</v>
      </c>
      <c r="F16" t="s">
        <v>13</v>
      </c>
      <c r="G16" t="s">
        <v>14</v>
      </c>
    </row>
    <row r="17" spans="1:7" x14ac:dyDescent="0.25">
      <c r="A17" s="1">
        <v>2024</v>
      </c>
      <c r="B17" s="1">
        <v>1</v>
      </c>
      <c r="C17" s="1">
        <v>28</v>
      </c>
      <c r="D17">
        <v>17.125</v>
      </c>
      <c r="E17">
        <f t="shared" si="0"/>
        <v>258.68</v>
      </c>
      <c r="F17" t="s">
        <v>13</v>
      </c>
      <c r="G17" t="s">
        <v>14</v>
      </c>
    </row>
    <row r="18" spans="1:7" x14ac:dyDescent="0.25">
      <c r="A18" s="1">
        <v>2024</v>
      </c>
      <c r="B18" s="1">
        <v>1</v>
      </c>
      <c r="C18" s="1">
        <v>29</v>
      </c>
      <c r="D18">
        <v>37.381999999999998</v>
      </c>
      <c r="E18">
        <f t="shared" si="0"/>
        <v>296.06200000000001</v>
      </c>
      <c r="F18" t="s">
        <v>15</v>
      </c>
      <c r="G18" t="s">
        <v>10</v>
      </c>
    </row>
    <row r="19" spans="1:7" x14ac:dyDescent="0.25">
      <c r="A19" s="1">
        <v>2024</v>
      </c>
      <c r="B19" s="1">
        <v>1</v>
      </c>
      <c r="C19" s="1">
        <v>29</v>
      </c>
      <c r="D19">
        <v>96.724000000000004</v>
      </c>
      <c r="E19">
        <f t="shared" si="0"/>
        <v>392.786</v>
      </c>
      <c r="F19" t="s">
        <v>4</v>
      </c>
      <c r="G19" t="s">
        <v>5</v>
      </c>
    </row>
    <row r="20" spans="1:7" x14ac:dyDescent="0.25">
      <c r="A20" s="1">
        <v>2024</v>
      </c>
      <c r="B20" s="1">
        <v>1</v>
      </c>
      <c r="C20" s="1">
        <v>29</v>
      </c>
      <c r="D20">
        <v>16.722000000000001</v>
      </c>
      <c r="E20">
        <f t="shared" si="0"/>
        <v>409.50799999999998</v>
      </c>
      <c r="F20" t="s">
        <v>11</v>
      </c>
      <c r="G20" t="s">
        <v>12</v>
      </c>
    </row>
    <row r="21" spans="1:7" x14ac:dyDescent="0.25">
      <c r="A21" s="1">
        <v>2024</v>
      </c>
      <c r="B21" s="1">
        <v>1</v>
      </c>
      <c r="C21" s="1">
        <v>29</v>
      </c>
      <c r="D21">
        <v>16.715</v>
      </c>
      <c r="E21">
        <f t="shared" si="0"/>
        <v>426.22299999999996</v>
      </c>
      <c r="F21" t="s">
        <v>11</v>
      </c>
      <c r="G21" t="s">
        <v>12</v>
      </c>
    </row>
    <row r="22" spans="1:7" x14ac:dyDescent="0.25">
      <c r="A22" s="1">
        <v>2024</v>
      </c>
      <c r="B22" s="1">
        <v>1</v>
      </c>
      <c r="C22" s="1">
        <v>30</v>
      </c>
      <c r="D22">
        <v>5.516</v>
      </c>
      <c r="E22">
        <f t="shared" si="0"/>
        <v>431.73899999999998</v>
      </c>
      <c r="F22" t="s">
        <v>15</v>
      </c>
      <c r="G22" t="s">
        <v>10</v>
      </c>
    </row>
    <row r="23" spans="1:7" x14ac:dyDescent="0.25">
      <c r="A23" s="1">
        <v>2024</v>
      </c>
      <c r="B23" s="1">
        <v>1</v>
      </c>
      <c r="C23" s="1">
        <v>30</v>
      </c>
      <c r="D23">
        <v>2.1789999999999998</v>
      </c>
      <c r="E23">
        <f t="shared" si="0"/>
        <v>433.91799999999995</v>
      </c>
      <c r="F23" t="s">
        <v>19</v>
      </c>
      <c r="G23" t="s">
        <v>20</v>
      </c>
    </row>
    <row r="24" spans="1:7" x14ac:dyDescent="0.25">
      <c r="A24" s="1">
        <v>2024</v>
      </c>
      <c r="B24" s="1">
        <v>1</v>
      </c>
      <c r="C24" s="1">
        <v>31</v>
      </c>
      <c r="D24">
        <v>12.157999999999999</v>
      </c>
      <c r="E24">
        <f t="shared" si="0"/>
        <v>446.07599999999996</v>
      </c>
      <c r="F24" t="s">
        <v>13</v>
      </c>
      <c r="G24" t="s">
        <v>14</v>
      </c>
    </row>
    <row r="25" spans="1:7" x14ac:dyDescent="0.25">
      <c r="A25" s="1">
        <v>2024</v>
      </c>
      <c r="B25" s="1">
        <v>1</v>
      </c>
      <c r="C25" s="1">
        <v>31</v>
      </c>
      <c r="D25">
        <v>11.888999999999999</v>
      </c>
      <c r="E25">
        <f t="shared" si="0"/>
        <v>457.96499999999997</v>
      </c>
      <c r="F25" t="s">
        <v>15</v>
      </c>
      <c r="G25" t="s">
        <v>10</v>
      </c>
    </row>
    <row r="26" spans="1:7" x14ac:dyDescent="0.25">
      <c r="A26" s="1">
        <v>2024</v>
      </c>
      <c r="B26" s="1">
        <v>1</v>
      </c>
      <c r="C26" s="1">
        <v>31</v>
      </c>
      <c r="D26">
        <v>20.562999999999999</v>
      </c>
      <c r="E26">
        <f t="shared" si="0"/>
        <v>478.52799999999996</v>
      </c>
      <c r="F26" t="s">
        <v>13</v>
      </c>
      <c r="G26" t="s">
        <v>14</v>
      </c>
    </row>
    <row r="27" spans="1:7" x14ac:dyDescent="0.25">
      <c r="A27" s="1">
        <v>2024</v>
      </c>
      <c r="B27" s="1">
        <v>2</v>
      </c>
      <c r="C27" s="1">
        <v>1</v>
      </c>
      <c r="D27">
        <v>11.677</v>
      </c>
      <c r="E27">
        <f>D27</f>
        <v>11.677</v>
      </c>
      <c r="F27" t="s">
        <v>16</v>
      </c>
      <c r="G27" t="s">
        <v>12</v>
      </c>
    </row>
    <row r="28" spans="1:7" x14ac:dyDescent="0.25">
      <c r="A28" s="1">
        <v>2024</v>
      </c>
      <c r="B28" s="1">
        <v>2</v>
      </c>
      <c r="C28" s="1">
        <v>3</v>
      </c>
      <c r="D28">
        <v>15.029</v>
      </c>
      <c r="E28">
        <f>E27+D28</f>
        <v>26.706</v>
      </c>
      <c r="F28" t="s">
        <v>11</v>
      </c>
      <c r="G28" t="s">
        <v>12</v>
      </c>
    </row>
    <row r="29" spans="1:7" x14ac:dyDescent="0.25">
      <c r="A29" s="1">
        <v>2024</v>
      </c>
      <c r="B29" s="1">
        <v>2</v>
      </c>
      <c r="C29" s="1">
        <v>5</v>
      </c>
      <c r="D29">
        <v>16.988</v>
      </c>
      <c r="E29">
        <f t="shared" ref="E29:E44" si="1">E28+D29</f>
        <v>43.694000000000003</v>
      </c>
      <c r="F29" t="s">
        <v>11</v>
      </c>
      <c r="G29" t="s">
        <v>12</v>
      </c>
    </row>
    <row r="30" spans="1:7" x14ac:dyDescent="0.25">
      <c r="A30" s="1">
        <v>2024</v>
      </c>
      <c r="B30" s="1">
        <v>2</v>
      </c>
      <c r="C30" s="1">
        <v>9</v>
      </c>
      <c r="D30">
        <v>16.715</v>
      </c>
      <c r="E30">
        <f t="shared" si="1"/>
        <v>60.409000000000006</v>
      </c>
      <c r="F30" t="s">
        <v>11</v>
      </c>
      <c r="G30" t="s">
        <v>12</v>
      </c>
    </row>
    <row r="31" spans="1:7" x14ac:dyDescent="0.25">
      <c r="A31" s="1">
        <v>2024</v>
      </c>
      <c r="B31" s="1">
        <v>2</v>
      </c>
      <c r="C31" s="1">
        <v>10</v>
      </c>
      <c r="D31">
        <v>141.422</v>
      </c>
      <c r="E31">
        <f t="shared" si="1"/>
        <v>201.83100000000002</v>
      </c>
      <c r="F31" t="s">
        <v>23</v>
      </c>
      <c r="G31" t="s">
        <v>24</v>
      </c>
    </row>
    <row r="32" spans="1:7" x14ac:dyDescent="0.25">
      <c r="A32" s="1">
        <v>2024</v>
      </c>
      <c r="B32" s="1">
        <v>2</v>
      </c>
      <c r="C32" s="1">
        <v>11</v>
      </c>
      <c r="D32">
        <v>9.89</v>
      </c>
      <c r="E32">
        <f t="shared" si="1"/>
        <v>211.721</v>
      </c>
      <c r="F32" t="s">
        <v>16</v>
      </c>
      <c r="G32" t="s">
        <v>12</v>
      </c>
    </row>
    <row r="33" spans="1:7" x14ac:dyDescent="0.25">
      <c r="A33" s="1">
        <v>2024</v>
      </c>
      <c r="B33" s="1">
        <v>2</v>
      </c>
      <c r="C33" s="1">
        <v>15</v>
      </c>
      <c r="D33">
        <v>3.7029999999999998</v>
      </c>
      <c r="E33">
        <f t="shared" si="1"/>
        <v>215.42400000000001</v>
      </c>
      <c r="F33" t="s">
        <v>11</v>
      </c>
      <c r="G33" t="s">
        <v>12</v>
      </c>
    </row>
    <row r="34" spans="1:7" x14ac:dyDescent="0.25">
      <c r="A34" s="1">
        <v>2024</v>
      </c>
      <c r="B34" s="1">
        <v>2</v>
      </c>
      <c r="C34" s="1">
        <v>17</v>
      </c>
      <c r="D34">
        <v>5.0919999999999996</v>
      </c>
      <c r="E34">
        <f t="shared" si="1"/>
        <v>220.51600000000002</v>
      </c>
      <c r="F34" t="s">
        <v>11</v>
      </c>
      <c r="G34" t="s">
        <v>12</v>
      </c>
    </row>
    <row r="35" spans="1:7" x14ac:dyDescent="0.25">
      <c r="A35" s="1">
        <v>2024</v>
      </c>
      <c r="B35" s="1">
        <v>2</v>
      </c>
      <c r="C35" s="1">
        <v>17</v>
      </c>
      <c r="D35">
        <v>9.7620000000000005</v>
      </c>
      <c r="E35">
        <f t="shared" si="1"/>
        <v>230.27800000000002</v>
      </c>
      <c r="F35" t="s">
        <v>11</v>
      </c>
      <c r="G35" t="s">
        <v>12</v>
      </c>
    </row>
    <row r="36" spans="1:7" x14ac:dyDescent="0.25">
      <c r="A36" s="1">
        <v>2024</v>
      </c>
      <c r="B36" s="1">
        <v>2</v>
      </c>
      <c r="C36" s="1">
        <v>19</v>
      </c>
      <c r="D36">
        <v>10.321999999999999</v>
      </c>
      <c r="E36">
        <f t="shared" si="1"/>
        <v>240.60000000000002</v>
      </c>
      <c r="F36" t="s">
        <v>16</v>
      </c>
      <c r="G36" t="s">
        <v>12</v>
      </c>
    </row>
    <row r="37" spans="1:7" x14ac:dyDescent="0.25">
      <c r="A37" s="1">
        <v>2024</v>
      </c>
      <c r="B37" s="1">
        <v>2</v>
      </c>
      <c r="C37" s="1">
        <v>19</v>
      </c>
      <c r="D37">
        <v>6.3390000000000004</v>
      </c>
      <c r="E37">
        <f t="shared" si="1"/>
        <v>246.93900000000002</v>
      </c>
      <c r="F37" t="s">
        <v>11</v>
      </c>
      <c r="G37" t="s">
        <v>12</v>
      </c>
    </row>
    <row r="38" spans="1:7" x14ac:dyDescent="0.25">
      <c r="A38" s="1">
        <v>2024</v>
      </c>
      <c r="B38" s="1">
        <v>2</v>
      </c>
      <c r="C38" s="1">
        <v>21</v>
      </c>
      <c r="D38">
        <v>14.095000000000001</v>
      </c>
      <c r="E38">
        <f t="shared" si="1"/>
        <v>261.03400000000005</v>
      </c>
      <c r="F38" t="s">
        <v>11</v>
      </c>
      <c r="G38" t="s">
        <v>12</v>
      </c>
    </row>
    <row r="39" spans="1:7" x14ac:dyDescent="0.25">
      <c r="A39" s="1">
        <v>2024</v>
      </c>
      <c r="B39" s="1">
        <v>2</v>
      </c>
      <c r="C39" s="1">
        <v>24</v>
      </c>
      <c r="D39">
        <v>52.649000000000001</v>
      </c>
      <c r="E39">
        <f t="shared" si="1"/>
        <v>313.68300000000005</v>
      </c>
      <c r="F39" t="s">
        <v>17</v>
      </c>
      <c r="G39" t="s">
        <v>18</v>
      </c>
    </row>
    <row r="40" spans="1:7" x14ac:dyDescent="0.25">
      <c r="A40" s="1">
        <v>2024</v>
      </c>
      <c r="B40" s="1">
        <v>2</v>
      </c>
      <c r="C40" s="1">
        <v>24</v>
      </c>
      <c r="D40">
        <v>7.8339999999999996</v>
      </c>
      <c r="E40">
        <f t="shared" si="1"/>
        <v>321.51700000000005</v>
      </c>
      <c r="F40" t="s">
        <v>16</v>
      </c>
      <c r="G40" t="s">
        <v>12</v>
      </c>
    </row>
    <row r="41" spans="1:7" x14ac:dyDescent="0.25">
      <c r="A41" s="1">
        <v>2024</v>
      </c>
      <c r="B41" s="1">
        <v>2</v>
      </c>
      <c r="C41" s="1">
        <v>24</v>
      </c>
      <c r="D41">
        <v>2.38</v>
      </c>
      <c r="E41">
        <f t="shared" si="1"/>
        <v>323.89700000000005</v>
      </c>
      <c r="F41" t="s">
        <v>11</v>
      </c>
      <c r="G41" t="s">
        <v>12</v>
      </c>
    </row>
    <row r="42" spans="1:7" x14ac:dyDescent="0.25">
      <c r="A42" s="1">
        <v>2024</v>
      </c>
      <c r="B42" s="1">
        <v>2</v>
      </c>
      <c r="C42" s="1">
        <v>27</v>
      </c>
      <c r="D42">
        <v>30.635999999999999</v>
      </c>
      <c r="E42">
        <f t="shared" si="1"/>
        <v>354.53300000000007</v>
      </c>
      <c r="F42" t="s">
        <v>9</v>
      </c>
      <c r="G42" t="s">
        <v>10</v>
      </c>
    </row>
    <row r="43" spans="1:7" x14ac:dyDescent="0.25">
      <c r="A43" s="1">
        <v>2024</v>
      </c>
      <c r="B43" s="1">
        <v>2</v>
      </c>
      <c r="C43" s="1">
        <v>27</v>
      </c>
      <c r="D43">
        <v>39.584000000000003</v>
      </c>
      <c r="E43">
        <f t="shared" si="1"/>
        <v>394.11700000000008</v>
      </c>
      <c r="F43" t="s">
        <v>9</v>
      </c>
      <c r="G43" t="s">
        <v>10</v>
      </c>
    </row>
    <row r="44" spans="1:7" x14ac:dyDescent="0.25">
      <c r="A44" s="1">
        <v>2024</v>
      </c>
      <c r="B44" s="1">
        <v>2</v>
      </c>
      <c r="C44" s="1">
        <v>27</v>
      </c>
      <c r="D44">
        <v>69.287000000000006</v>
      </c>
      <c r="E44">
        <f t="shared" si="1"/>
        <v>463.40400000000011</v>
      </c>
      <c r="F44" t="s">
        <v>13</v>
      </c>
      <c r="G44" t="s">
        <v>14</v>
      </c>
    </row>
    <row r="45" spans="1:7" x14ac:dyDescent="0.25">
      <c r="A45" s="1">
        <v>2024</v>
      </c>
      <c r="B45" s="1">
        <v>3</v>
      </c>
      <c r="C45" s="1">
        <v>1</v>
      </c>
      <c r="D45">
        <v>17.036999999999999</v>
      </c>
      <c r="E45">
        <f>D45</f>
        <v>17.036999999999999</v>
      </c>
      <c r="F45" t="s">
        <v>11</v>
      </c>
      <c r="G45" t="s">
        <v>12</v>
      </c>
    </row>
    <row r="46" spans="1:7" x14ac:dyDescent="0.25">
      <c r="A46" s="1">
        <v>2024</v>
      </c>
      <c r="B46" s="1">
        <v>3</v>
      </c>
      <c r="C46" s="1">
        <v>1</v>
      </c>
      <c r="D46">
        <v>96.744</v>
      </c>
      <c r="E46">
        <f>E45+D46</f>
        <v>113.78100000000001</v>
      </c>
      <c r="F46" t="s">
        <v>4</v>
      </c>
      <c r="G46" t="s">
        <v>5</v>
      </c>
    </row>
    <row r="47" spans="1:7" x14ac:dyDescent="0.25">
      <c r="A47" s="1">
        <v>2024</v>
      </c>
      <c r="B47" s="1">
        <v>3</v>
      </c>
      <c r="C47" s="1">
        <v>1</v>
      </c>
      <c r="D47">
        <v>16.722000000000001</v>
      </c>
      <c r="E47">
        <f t="shared" ref="E47:E71" si="2">E46+D47</f>
        <v>130.50300000000001</v>
      </c>
      <c r="F47" t="s">
        <v>11</v>
      </c>
      <c r="G47" t="s">
        <v>12</v>
      </c>
    </row>
    <row r="48" spans="1:7" x14ac:dyDescent="0.25">
      <c r="A48" s="1">
        <v>2024</v>
      </c>
      <c r="B48" s="1">
        <v>3</v>
      </c>
      <c r="C48" s="1">
        <v>2</v>
      </c>
      <c r="D48">
        <v>10.71</v>
      </c>
      <c r="E48">
        <f t="shared" si="2"/>
        <v>141.21300000000002</v>
      </c>
      <c r="F48" t="s">
        <v>16</v>
      </c>
      <c r="G48" t="s">
        <v>12</v>
      </c>
    </row>
    <row r="49" spans="1:7" x14ac:dyDescent="0.25">
      <c r="A49" s="1">
        <v>2024</v>
      </c>
      <c r="B49" s="1">
        <v>3</v>
      </c>
      <c r="C49" s="1">
        <v>2</v>
      </c>
      <c r="D49">
        <v>5.9969999999999999</v>
      </c>
      <c r="E49">
        <f t="shared" si="2"/>
        <v>147.21000000000004</v>
      </c>
      <c r="F49" t="s">
        <v>11</v>
      </c>
      <c r="G49" t="s">
        <v>12</v>
      </c>
    </row>
    <row r="50" spans="1:7" x14ac:dyDescent="0.25">
      <c r="A50" s="1">
        <v>2024</v>
      </c>
      <c r="B50" s="1">
        <v>3</v>
      </c>
      <c r="C50" s="1">
        <v>3</v>
      </c>
      <c r="D50">
        <v>45.728000000000002</v>
      </c>
      <c r="E50">
        <f t="shared" si="2"/>
        <v>192.93800000000005</v>
      </c>
      <c r="F50" t="s">
        <v>21</v>
      </c>
      <c r="G50" t="s">
        <v>22</v>
      </c>
    </row>
    <row r="51" spans="1:7" x14ac:dyDescent="0.25">
      <c r="A51" s="1">
        <v>2024</v>
      </c>
      <c r="B51" s="1">
        <v>3</v>
      </c>
      <c r="C51" s="1">
        <v>3</v>
      </c>
      <c r="D51">
        <v>7.6760000000000002</v>
      </c>
      <c r="E51">
        <f t="shared" si="2"/>
        <v>200.61400000000003</v>
      </c>
      <c r="F51" t="s">
        <v>25</v>
      </c>
      <c r="G51" t="s">
        <v>22</v>
      </c>
    </row>
    <row r="52" spans="1:7" x14ac:dyDescent="0.25">
      <c r="A52" s="1">
        <v>2024</v>
      </c>
      <c r="B52" s="1">
        <v>3</v>
      </c>
      <c r="C52" s="1">
        <v>6</v>
      </c>
      <c r="D52">
        <v>4.0869999999999997</v>
      </c>
      <c r="E52">
        <f t="shared" si="2"/>
        <v>204.70100000000002</v>
      </c>
      <c r="F52" t="s">
        <v>19</v>
      </c>
      <c r="G52" t="s">
        <v>20</v>
      </c>
    </row>
    <row r="53" spans="1:7" x14ac:dyDescent="0.25">
      <c r="A53" s="1">
        <v>2024</v>
      </c>
      <c r="B53" s="1">
        <v>3</v>
      </c>
      <c r="C53" s="1">
        <v>9</v>
      </c>
      <c r="D53">
        <v>16.093</v>
      </c>
      <c r="E53">
        <f t="shared" si="2"/>
        <v>220.79400000000001</v>
      </c>
      <c r="F53" t="s">
        <v>11</v>
      </c>
      <c r="G53" t="s">
        <v>12</v>
      </c>
    </row>
    <row r="54" spans="1:7" x14ac:dyDescent="0.25">
      <c r="A54" s="1">
        <v>2024</v>
      </c>
      <c r="B54" s="1">
        <v>3</v>
      </c>
      <c r="C54" s="1">
        <v>12</v>
      </c>
      <c r="D54">
        <v>10.956</v>
      </c>
      <c r="E54">
        <f t="shared" si="2"/>
        <v>231.75</v>
      </c>
      <c r="F54" t="s">
        <v>16</v>
      </c>
      <c r="G54" t="s">
        <v>12</v>
      </c>
    </row>
    <row r="55" spans="1:7" x14ac:dyDescent="0.25">
      <c r="A55" s="1">
        <v>2024</v>
      </c>
      <c r="B55" s="1">
        <v>3</v>
      </c>
      <c r="C55" s="1">
        <v>12</v>
      </c>
      <c r="D55">
        <v>5.7050000000000001</v>
      </c>
      <c r="E55">
        <f t="shared" si="2"/>
        <v>237.45500000000001</v>
      </c>
      <c r="F55" t="s">
        <v>11</v>
      </c>
      <c r="G55" t="s">
        <v>12</v>
      </c>
    </row>
    <row r="56" spans="1:7" x14ac:dyDescent="0.25">
      <c r="A56" s="1">
        <v>2024</v>
      </c>
      <c r="B56" s="1">
        <v>3</v>
      </c>
      <c r="C56" s="1">
        <v>14</v>
      </c>
      <c r="D56">
        <v>27.439</v>
      </c>
      <c r="E56">
        <f t="shared" si="2"/>
        <v>264.89400000000001</v>
      </c>
      <c r="F56" t="s">
        <v>26</v>
      </c>
      <c r="G56" t="s">
        <v>22</v>
      </c>
    </row>
    <row r="57" spans="1:7" x14ac:dyDescent="0.25">
      <c r="A57" s="1">
        <v>2024</v>
      </c>
      <c r="B57" s="1">
        <v>3</v>
      </c>
      <c r="C57" s="1">
        <v>14</v>
      </c>
      <c r="D57">
        <v>47.88</v>
      </c>
      <c r="E57">
        <f t="shared" si="2"/>
        <v>312.774</v>
      </c>
      <c r="F57" t="s">
        <v>26</v>
      </c>
      <c r="G57" t="s">
        <v>22</v>
      </c>
    </row>
    <row r="58" spans="1:7" x14ac:dyDescent="0.25">
      <c r="A58" s="1">
        <v>2024</v>
      </c>
      <c r="B58" s="1">
        <v>3</v>
      </c>
      <c r="C58" s="1">
        <v>14</v>
      </c>
      <c r="D58">
        <v>70.849999999999994</v>
      </c>
      <c r="E58">
        <f t="shared" si="2"/>
        <v>383.62400000000002</v>
      </c>
      <c r="F58" t="s">
        <v>26</v>
      </c>
      <c r="G58" t="s">
        <v>22</v>
      </c>
    </row>
    <row r="59" spans="1:7" x14ac:dyDescent="0.25">
      <c r="A59" s="1">
        <v>2024</v>
      </c>
      <c r="B59" s="1">
        <v>3</v>
      </c>
      <c r="C59" s="1">
        <v>14</v>
      </c>
      <c r="D59">
        <v>15.766999999999999</v>
      </c>
      <c r="E59">
        <f t="shared" si="2"/>
        <v>399.39100000000002</v>
      </c>
      <c r="F59" t="s">
        <v>11</v>
      </c>
      <c r="G59" t="s">
        <v>12</v>
      </c>
    </row>
    <row r="60" spans="1:7" x14ac:dyDescent="0.25">
      <c r="A60" s="1">
        <v>2024</v>
      </c>
      <c r="B60" s="1">
        <v>3</v>
      </c>
      <c r="C60" s="1">
        <v>15</v>
      </c>
      <c r="D60">
        <v>9.9649999999999999</v>
      </c>
      <c r="E60">
        <f t="shared" si="2"/>
        <v>409.35599999999999</v>
      </c>
      <c r="F60" t="s">
        <v>27</v>
      </c>
      <c r="G60" t="s">
        <v>28</v>
      </c>
    </row>
    <row r="61" spans="1:7" x14ac:dyDescent="0.25">
      <c r="A61" s="1">
        <v>2024</v>
      </c>
      <c r="B61" s="1">
        <v>3</v>
      </c>
      <c r="C61" s="1">
        <v>15</v>
      </c>
      <c r="D61">
        <v>10.186999999999999</v>
      </c>
      <c r="E61">
        <f t="shared" si="2"/>
        <v>419.54300000000001</v>
      </c>
      <c r="F61" t="s">
        <v>27</v>
      </c>
      <c r="G61" t="s">
        <v>28</v>
      </c>
    </row>
    <row r="62" spans="1:7" x14ac:dyDescent="0.25">
      <c r="A62" s="1">
        <v>2024</v>
      </c>
      <c r="B62" s="1">
        <v>3</v>
      </c>
      <c r="C62" s="1">
        <v>16</v>
      </c>
      <c r="D62">
        <v>6.492</v>
      </c>
      <c r="E62">
        <f t="shared" si="2"/>
        <v>426.03500000000003</v>
      </c>
      <c r="F62" t="s">
        <v>27</v>
      </c>
      <c r="G62" t="s">
        <v>28</v>
      </c>
    </row>
    <row r="63" spans="1:7" x14ac:dyDescent="0.25">
      <c r="A63" s="1">
        <v>2024</v>
      </c>
      <c r="B63" s="1">
        <v>3</v>
      </c>
      <c r="C63" s="1">
        <v>18</v>
      </c>
      <c r="D63">
        <v>3.8010000000000002</v>
      </c>
      <c r="E63">
        <f t="shared" si="2"/>
        <v>429.83600000000001</v>
      </c>
      <c r="F63" t="s">
        <v>7</v>
      </c>
      <c r="G63" t="s">
        <v>8</v>
      </c>
    </row>
    <row r="64" spans="1:7" x14ac:dyDescent="0.25">
      <c r="A64" s="1">
        <v>2024</v>
      </c>
      <c r="B64" s="1">
        <v>3</v>
      </c>
      <c r="C64" s="1">
        <v>18</v>
      </c>
      <c r="D64">
        <v>16.099</v>
      </c>
      <c r="E64">
        <f t="shared" si="2"/>
        <v>445.935</v>
      </c>
      <c r="F64" t="s">
        <v>11</v>
      </c>
      <c r="G64" t="s">
        <v>12</v>
      </c>
    </row>
    <row r="65" spans="1:7" x14ac:dyDescent="0.25">
      <c r="A65" s="1">
        <v>2024</v>
      </c>
      <c r="B65" s="1">
        <v>3</v>
      </c>
      <c r="C65" s="1">
        <v>20</v>
      </c>
      <c r="D65">
        <v>26.161000000000001</v>
      </c>
      <c r="E65">
        <f t="shared" si="2"/>
        <v>472.096</v>
      </c>
      <c r="F65" t="s">
        <v>17</v>
      </c>
      <c r="G65" t="s">
        <v>18</v>
      </c>
    </row>
    <row r="66" spans="1:7" x14ac:dyDescent="0.25">
      <c r="A66" s="1">
        <v>2024</v>
      </c>
      <c r="B66" s="1">
        <v>3</v>
      </c>
      <c r="C66" s="1">
        <v>20</v>
      </c>
      <c r="D66">
        <v>17.684999999999999</v>
      </c>
      <c r="E66">
        <f t="shared" si="2"/>
        <v>489.78100000000001</v>
      </c>
      <c r="F66" t="s">
        <v>17</v>
      </c>
      <c r="G66" t="s">
        <v>18</v>
      </c>
    </row>
    <row r="67" spans="1:7" x14ac:dyDescent="0.25">
      <c r="A67" s="1">
        <v>2024</v>
      </c>
      <c r="B67" s="1">
        <v>3</v>
      </c>
      <c r="C67" s="1">
        <v>20</v>
      </c>
      <c r="D67">
        <v>5.226</v>
      </c>
      <c r="E67">
        <f t="shared" si="2"/>
        <v>495.00700000000001</v>
      </c>
      <c r="F67" t="s">
        <v>7</v>
      </c>
      <c r="G67" t="s">
        <v>8</v>
      </c>
    </row>
    <row r="68" spans="1:7" x14ac:dyDescent="0.25">
      <c r="A68" s="1">
        <v>2024</v>
      </c>
      <c r="B68" s="1">
        <v>3</v>
      </c>
      <c r="C68" s="1">
        <v>23</v>
      </c>
      <c r="D68">
        <v>77.968999999999994</v>
      </c>
      <c r="E68">
        <f t="shared" si="2"/>
        <v>572.976</v>
      </c>
      <c r="F68" t="s">
        <v>30</v>
      </c>
      <c r="G68" t="s">
        <v>31</v>
      </c>
    </row>
    <row r="69" spans="1:7" x14ac:dyDescent="0.25">
      <c r="A69" s="1">
        <v>2024</v>
      </c>
      <c r="B69" s="1">
        <v>3</v>
      </c>
      <c r="C69" s="1">
        <v>25</v>
      </c>
      <c r="D69">
        <v>14.295999999999999</v>
      </c>
      <c r="E69">
        <f t="shared" si="2"/>
        <v>587.27200000000005</v>
      </c>
      <c r="F69" t="s">
        <v>16</v>
      </c>
      <c r="G69" t="s">
        <v>12</v>
      </c>
    </row>
    <row r="70" spans="1:7" x14ac:dyDescent="0.25">
      <c r="A70" s="1">
        <v>2024</v>
      </c>
      <c r="B70" s="1">
        <v>3</v>
      </c>
      <c r="C70" s="1">
        <v>25</v>
      </c>
      <c r="D70">
        <v>16.561</v>
      </c>
      <c r="E70">
        <f t="shared" si="2"/>
        <v>603.83300000000008</v>
      </c>
      <c r="F70" t="s">
        <v>11</v>
      </c>
      <c r="G70" t="s">
        <v>12</v>
      </c>
    </row>
    <row r="71" spans="1:7" x14ac:dyDescent="0.25">
      <c r="A71" s="1">
        <v>2024</v>
      </c>
      <c r="B71" s="1">
        <v>3</v>
      </c>
      <c r="C71" s="1">
        <v>29</v>
      </c>
      <c r="D71">
        <v>17.097000000000001</v>
      </c>
      <c r="E71">
        <f t="shared" si="2"/>
        <v>620.93000000000006</v>
      </c>
      <c r="F71" t="s">
        <v>11</v>
      </c>
      <c r="G71" t="s">
        <v>12</v>
      </c>
    </row>
    <row r="72" spans="1:7" x14ac:dyDescent="0.25">
      <c r="A72" s="1">
        <v>2024</v>
      </c>
      <c r="B72" s="1">
        <v>4</v>
      </c>
      <c r="C72" s="1">
        <v>1</v>
      </c>
      <c r="D72">
        <v>5.6449999999999996</v>
      </c>
      <c r="E72">
        <f>D72</f>
        <v>5.6449999999999996</v>
      </c>
      <c r="F72" t="s">
        <v>29</v>
      </c>
      <c r="G72" t="s">
        <v>22</v>
      </c>
    </row>
    <row r="73" spans="1:7" x14ac:dyDescent="0.25">
      <c r="A73" s="1">
        <v>2024</v>
      </c>
      <c r="B73" s="1">
        <v>4</v>
      </c>
      <c r="C73" s="1">
        <v>1</v>
      </c>
      <c r="D73">
        <v>12.673999999999999</v>
      </c>
      <c r="E73">
        <f>E72+D73</f>
        <v>18.318999999999999</v>
      </c>
      <c r="F73" t="s">
        <v>26</v>
      </c>
      <c r="G73" t="s">
        <v>22</v>
      </c>
    </row>
    <row r="74" spans="1:7" x14ac:dyDescent="0.25">
      <c r="A74" s="1">
        <v>2024</v>
      </c>
      <c r="B74" s="1">
        <v>4</v>
      </c>
      <c r="C74" s="1">
        <v>1</v>
      </c>
      <c r="D74">
        <v>12.673999999999999</v>
      </c>
      <c r="E74">
        <f t="shared" ref="E74:E93" si="3">E73+D74</f>
        <v>30.992999999999999</v>
      </c>
      <c r="F74" t="s">
        <v>26</v>
      </c>
      <c r="G74" t="s">
        <v>22</v>
      </c>
    </row>
    <row r="75" spans="1:7" x14ac:dyDescent="0.25">
      <c r="A75" s="1">
        <v>2024</v>
      </c>
      <c r="B75" s="1">
        <v>4</v>
      </c>
      <c r="C75" s="1">
        <v>1</v>
      </c>
      <c r="D75">
        <v>9.8510000000000009</v>
      </c>
      <c r="E75">
        <f t="shared" si="3"/>
        <v>40.844000000000001</v>
      </c>
      <c r="F75" t="s">
        <v>26</v>
      </c>
      <c r="G75" t="s">
        <v>22</v>
      </c>
    </row>
    <row r="76" spans="1:7" x14ac:dyDescent="0.25">
      <c r="A76" s="1">
        <v>2024</v>
      </c>
      <c r="B76" s="1">
        <v>4</v>
      </c>
      <c r="C76" s="1">
        <v>1</v>
      </c>
      <c r="D76">
        <v>4.4180000000000001</v>
      </c>
      <c r="E76">
        <f t="shared" si="3"/>
        <v>45.262</v>
      </c>
      <c r="F76" t="s">
        <v>35</v>
      </c>
      <c r="G76" t="s">
        <v>36</v>
      </c>
    </row>
    <row r="77" spans="1:7" x14ac:dyDescent="0.25">
      <c r="A77" s="1">
        <v>2024</v>
      </c>
      <c r="B77" s="1">
        <v>4</v>
      </c>
      <c r="C77" s="1">
        <v>2</v>
      </c>
      <c r="D77">
        <v>16.715</v>
      </c>
      <c r="E77">
        <f t="shared" si="3"/>
        <v>61.977000000000004</v>
      </c>
      <c r="F77" t="s">
        <v>11</v>
      </c>
      <c r="G77" t="s">
        <v>12</v>
      </c>
    </row>
    <row r="78" spans="1:7" x14ac:dyDescent="0.25">
      <c r="A78" s="1">
        <v>2024</v>
      </c>
      <c r="B78" s="1">
        <v>4</v>
      </c>
      <c r="C78" s="1">
        <v>3</v>
      </c>
      <c r="D78">
        <v>4.5890000000000004</v>
      </c>
      <c r="E78">
        <f t="shared" si="3"/>
        <v>66.566000000000003</v>
      </c>
      <c r="F78" t="s">
        <v>29</v>
      </c>
      <c r="G78" t="s">
        <v>22</v>
      </c>
    </row>
    <row r="79" spans="1:7" x14ac:dyDescent="0.25">
      <c r="A79" s="1">
        <v>2024</v>
      </c>
      <c r="B79" s="1">
        <v>4</v>
      </c>
      <c r="C79" s="1">
        <v>3</v>
      </c>
      <c r="D79">
        <v>17.541</v>
      </c>
      <c r="E79">
        <f t="shared" si="3"/>
        <v>84.106999999999999</v>
      </c>
      <c r="F79" t="s">
        <v>26</v>
      </c>
      <c r="G79" t="s">
        <v>22</v>
      </c>
    </row>
    <row r="80" spans="1:7" x14ac:dyDescent="0.25">
      <c r="A80" s="1">
        <v>2024</v>
      </c>
      <c r="B80" s="1">
        <v>4</v>
      </c>
      <c r="C80" s="1">
        <v>3</v>
      </c>
      <c r="D80">
        <v>10.175000000000001</v>
      </c>
      <c r="E80">
        <f t="shared" si="3"/>
        <v>94.281999999999996</v>
      </c>
      <c r="F80" t="s">
        <v>26</v>
      </c>
      <c r="G80" t="s">
        <v>22</v>
      </c>
    </row>
    <row r="81" spans="1:7" x14ac:dyDescent="0.25">
      <c r="A81" s="1">
        <v>2024</v>
      </c>
      <c r="B81" s="1">
        <v>4</v>
      </c>
      <c r="C81" s="1">
        <v>3</v>
      </c>
      <c r="D81">
        <v>8.0090000000000003</v>
      </c>
      <c r="E81">
        <f t="shared" si="3"/>
        <v>102.291</v>
      </c>
      <c r="F81" t="s">
        <v>26</v>
      </c>
      <c r="G81" t="s">
        <v>22</v>
      </c>
    </row>
    <row r="82" spans="1:7" x14ac:dyDescent="0.25">
      <c r="A82" s="1">
        <v>2024</v>
      </c>
      <c r="B82" s="1">
        <v>4</v>
      </c>
      <c r="C82" s="1">
        <v>3</v>
      </c>
      <c r="D82">
        <v>61.872</v>
      </c>
      <c r="E82">
        <f t="shared" si="3"/>
        <v>164.16300000000001</v>
      </c>
      <c r="F82" t="s">
        <v>15</v>
      </c>
      <c r="G82" t="s">
        <v>10</v>
      </c>
    </row>
    <row r="83" spans="1:7" x14ac:dyDescent="0.25">
      <c r="A83" s="1">
        <v>2024</v>
      </c>
      <c r="B83" s="1">
        <v>4</v>
      </c>
      <c r="C83" s="1">
        <v>4</v>
      </c>
      <c r="D83">
        <v>41.975000000000001</v>
      </c>
      <c r="E83">
        <f t="shared" si="3"/>
        <v>206.13800000000001</v>
      </c>
      <c r="F83" t="s">
        <v>32</v>
      </c>
      <c r="G83" t="s">
        <v>33</v>
      </c>
    </row>
    <row r="84" spans="1:7" x14ac:dyDescent="0.25">
      <c r="A84" s="1">
        <v>2024</v>
      </c>
      <c r="B84" s="1">
        <v>4</v>
      </c>
      <c r="C84" s="1">
        <v>4</v>
      </c>
      <c r="D84">
        <v>26.731000000000002</v>
      </c>
      <c r="E84">
        <f t="shared" si="3"/>
        <v>232.869</v>
      </c>
      <c r="F84" t="s">
        <v>13</v>
      </c>
      <c r="G84" t="s">
        <v>14</v>
      </c>
    </row>
    <row r="85" spans="1:7" x14ac:dyDescent="0.25">
      <c r="A85" s="1">
        <v>2024</v>
      </c>
      <c r="B85" s="1">
        <v>4</v>
      </c>
      <c r="C85" s="1">
        <v>7</v>
      </c>
      <c r="D85">
        <v>98.23</v>
      </c>
      <c r="E85">
        <f t="shared" si="3"/>
        <v>331.09899999999999</v>
      </c>
      <c r="F85" t="s">
        <v>4</v>
      </c>
      <c r="G85" t="s">
        <v>5</v>
      </c>
    </row>
    <row r="86" spans="1:7" x14ac:dyDescent="0.25">
      <c r="A86" s="1">
        <v>2024</v>
      </c>
      <c r="B86" s="1">
        <v>4</v>
      </c>
      <c r="C86" s="1">
        <v>14</v>
      </c>
      <c r="D86">
        <v>15.779</v>
      </c>
      <c r="E86">
        <f t="shared" si="3"/>
        <v>346.87799999999999</v>
      </c>
      <c r="F86" t="s">
        <v>11</v>
      </c>
      <c r="G86" t="s">
        <v>12</v>
      </c>
    </row>
    <row r="87" spans="1:7" x14ac:dyDescent="0.25">
      <c r="A87" s="1">
        <v>2024</v>
      </c>
      <c r="B87" s="1">
        <v>4</v>
      </c>
      <c r="C87" s="1">
        <v>17</v>
      </c>
      <c r="D87">
        <v>75.986999999999995</v>
      </c>
      <c r="E87">
        <f t="shared" si="3"/>
        <v>422.86500000000001</v>
      </c>
      <c r="F87" t="s">
        <v>34</v>
      </c>
      <c r="G87" t="s">
        <v>18</v>
      </c>
    </row>
    <row r="88" spans="1:7" x14ac:dyDescent="0.25">
      <c r="A88" s="1">
        <v>2024</v>
      </c>
      <c r="B88" s="1">
        <v>4</v>
      </c>
      <c r="C88" s="1">
        <v>20</v>
      </c>
      <c r="D88">
        <v>63.107999999999997</v>
      </c>
      <c r="E88">
        <f t="shared" si="3"/>
        <v>485.97300000000001</v>
      </c>
      <c r="F88" t="s">
        <v>9</v>
      </c>
      <c r="G88" t="s">
        <v>10</v>
      </c>
    </row>
    <row r="89" spans="1:7" x14ac:dyDescent="0.25">
      <c r="A89" s="1">
        <v>2024</v>
      </c>
      <c r="B89" s="1">
        <v>4</v>
      </c>
      <c r="C89" s="1">
        <v>20</v>
      </c>
      <c r="D89">
        <v>6.54</v>
      </c>
      <c r="E89">
        <f t="shared" si="3"/>
        <v>492.51300000000003</v>
      </c>
      <c r="F89" t="s">
        <v>39</v>
      </c>
      <c r="G89" t="s">
        <v>20</v>
      </c>
    </row>
    <row r="90" spans="1:7" x14ac:dyDescent="0.25">
      <c r="A90" s="1">
        <v>2024</v>
      </c>
      <c r="B90" s="1">
        <v>4</v>
      </c>
      <c r="C90" s="1">
        <v>23</v>
      </c>
      <c r="D90">
        <v>15.817</v>
      </c>
      <c r="E90">
        <f t="shared" si="3"/>
        <v>508.33000000000004</v>
      </c>
      <c r="F90" t="s">
        <v>11</v>
      </c>
      <c r="G90" t="s">
        <v>12</v>
      </c>
    </row>
    <row r="91" spans="1:7" x14ac:dyDescent="0.25">
      <c r="A91" s="1">
        <v>2024</v>
      </c>
      <c r="B91" s="1">
        <v>4</v>
      </c>
      <c r="C91" s="1">
        <v>29</v>
      </c>
      <c r="D91">
        <v>66.453999999999994</v>
      </c>
      <c r="E91">
        <f t="shared" si="3"/>
        <v>574.78399999999999</v>
      </c>
      <c r="F91" t="s">
        <v>30</v>
      </c>
      <c r="G91" t="s">
        <v>31</v>
      </c>
    </row>
    <row r="92" spans="1:7" x14ac:dyDescent="0.25">
      <c r="A92" s="1">
        <v>2024</v>
      </c>
      <c r="B92" s="1">
        <v>4</v>
      </c>
      <c r="C92" s="1">
        <v>29</v>
      </c>
      <c r="D92">
        <v>16.661000000000001</v>
      </c>
      <c r="E92">
        <f t="shared" si="3"/>
        <v>591.44499999999994</v>
      </c>
      <c r="F92" t="s">
        <v>11</v>
      </c>
      <c r="G92" t="s">
        <v>12</v>
      </c>
    </row>
    <row r="93" spans="1:7" x14ac:dyDescent="0.25">
      <c r="A93" s="1">
        <v>2024</v>
      </c>
      <c r="B93" s="1">
        <v>4</v>
      </c>
      <c r="C93" s="1">
        <v>30</v>
      </c>
      <c r="D93">
        <v>28.741</v>
      </c>
      <c r="E93">
        <f t="shared" si="3"/>
        <v>620.18599999999992</v>
      </c>
      <c r="F93" t="s">
        <v>35</v>
      </c>
      <c r="G93" t="s">
        <v>36</v>
      </c>
    </row>
    <row r="94" spans="1:7" x14ac:dyDescent="0.25">
      <c r="A94" s="1">
        <v>2024</v>
      </c>
      <c r="B94" s="1">
        <v>5</v>
      </c>
      <c r="C94" s="1">
        <v>1</v>
      </c>
      <c r="D94">
        <v>103.79600000000001</v>
      </c>
      <c r="E94">
        <f>D94</f>
        <v>103.79600000000001</v>
      </c>
      <c r="F94" t="s">
        <v>4</v>
      </c>
      <c r="G94" t="s">
        <v>5</v>
      </c>
    </row>
    <row r="95" spans="1:7" x14ac:dyDescent="0.25">
      <c r="A95" s="1">
        <v>2024</v>
      </c>
      <c r="B95" s="1">
        <v>5</v>
      </c>
      <c r="C95" s="1">
        <v>4</v>
      </c>
      <c r="D95">
        <v>15.779</v>
      </c>
      <c r="E95">
        <f>E94+D95</f>
        <v>119.575</v>
      </c>
      <c r="F95" t="s">
        <v>11</v>
      </c>
      <c r="G95" t="s">
        <v>12</v>
      </c>
    </row>
    <row r="96" spans="1:7" x14ac:dyDescent="0.25">
      <c r="A96" s="1">
        <v>2024</v>
      </c>
      <c r="B96" s="1">
        <v>5</v>
      </c>
      <c r="C96" s="1">
        <v>6</v>
      </c>
      <c r="D96">
        <v>16.707000000000001</v>
      </c>
      <c r="E96">
        <f t="shared" ref="E96:E109" si="4">E95+D96</f>
        <v>136.28200000000001</v>
      </c>
      <c r="F96" t="s">
        <v>11</v>
      </c>
      <c r="G96" t="s">
        <v>12</v>
      </c>
    </row>
    <row r="97" spans="1:7" x14ac:dyDescent="0.25">
      <c r="A97" s="1">
        <v>2024</v>
      </c>
      <c r="B97" s="1">
        <v>5</v>
      </c>
      <c r="C97" s="1">
        <v>9</v>
      </c>
      <c r="D97">
        <v>91.429000000000002</v>
      </c>
      <c r="E97">
        <f t="shared" si="4"/>
        <v>227.71100000000001</v>
      </c>
      <c r="F97" t="s">
        <v>9</v>
      </c>
      <c r="G97" t="s">
        <v>10</v>
      </c>
    </row>
    <row r="98" spans="1:7" x14ac:dyDescent="0.25">
      <c r="A98" s="1">
        <v>2024</v>
      </c>
      <c r="B98" s="1">
        <v>5</v>
      </c>
      <c r="C98" s="1">
        <v>12</v>
      </c>
      <c r="D98">
        <v>39.814999999999998</v>
      </c>
      <c r="E98">
        <f t="shared" si="4"/>
        <v>267.52600000000001</v>
      </c>
      <c r="F98" t="s">
        <v>15</v>
      </c>
      <c r="G98" t="s">
        <v>10</v>
      </c>
    </row>
    <row r="99" spans="1:7" x14ac:dyDescent="0.25">
      <c r="A99" s="1">
        <v>2024</v>
      </c>
      <c r="B99" s="1">
        <v>5</v>
      </c>
      <c r="C99" s="1">
        <v>12</v>
      </c>
      <c r="D99">
        <v>31.585000000000001</v>
      </c>
      <c r="E99">
        <f t="shared" si="4"/>
        <v>299.11099999999999</v>
      </c>
      <c r="F99" t="s">
        <v>40</v>
      </c>
      <c r="G99" t="s">
        <v>41</v>
      </c>
    </row>
    <row r="100" spans="1:7" x14ac:dyDescent="0.25">
      <c r="A100" s="1">
        <v>2024</v>
      </c>
      <c r="B100" s="1">
        <v>5</v>
      </c>
      <c r="C100" s="1">
        <v>13</v>
      </c>
      <c r="D100">
        <v>17.631</v>
      </c>
      <c r="E100">
        <f t="shared" si="4"/>
        <v>316.74199999999996</v>
      </c>
      <c r="F100" t="s">
        <v>11</v>
      </c>
      <c r="G100" t="s">
        <v>12</v>
      </c>
    </row>
    <row r="101" spans="1:7" x14ac:dyDescent="0.25">
      <c r="A101" s="1">
        <v>2024</v>
      </c>
      <c r="B101" s="1">
        <v>5</v>
      </c>
      <c r="C101" s="1">
        <v>14</v>
      </c>
      <c r="D101">
        <v>16.661000000000001</v>
      </c>
      <c r="E101">
        <f t="shared" si="4"/>
        <v>333.40299999999996</v>
      </c>
      <c r="F101" t="s">
        <v>11</v>
      </c>
      <c r="G101" t="s">
        <v>12</v>
      </c>
    </row>
    <row r="102" spans="1:7" x14ac:dyDescent="0.25">
      <c r="A102" s="1">
        <v>2024</v>
      </c>
      <c r="B102" s="1">
        <v>5</v>
      </c>
      <c r="C102" s="1">
        <v>17</v>
      </c>
      <c r="D102">
        <v>7.673</v>
      </c>
      <c r="E102">
        <f t="shared" si="4"/>
        <v>341.07599999999996</v>
      </c>
      <c r="F102" t="s">
        <v>11</v>
      </c>
      <c r="G102" t="s">
        <v>12</v>
      </c>
    </row>
    <row r="103" spans="1:7" x14ac:dyDescent="0.25">
      <c r="A103" s="1">
        <v>2024</v>
      </c>
      <c r="B103" s="1">
        <v>5</v>
      </c>
      <c r="C103" s="1">
        <v>21</v>
      </c>
      <c r="D103">
        <v>9.0419999999999998</v>
      </c>
      <c r="E103">
        <f t="shared" si="4"/>
        <v>350.11799999999994</v>
      </c>
      <c r="F103" t="s">
        <v>11</v>
      </c>
      <c r="G103" t="s">
        <v>12</v>
      </c>
    </row>
    <row r="104" spans="1:7" x14ac:dyDescent="0.25">
      <c r="A104" s="1">
        <v>2024</v>
      </c>
      <c r="B104" s="1">
        <v>5</v>
      </c>
      <c r="C104" s="1">
        <v>22</v>
      </c>
      <c r="D104">
        <v>16.661000000000001</v>
      </c>
      <c r="E104">
        <f t="shared" si="4"/>
        <v>366.77899999999994</v>
      </c>
      <c r="F104" t="s">
        <v>11</v>
      </c>
      <c r="G104" t="s">
        <v>12</v>
      </c>
    </row>
    <row r="105" spans="1:7" x14ac:dyDescent="0.25">
      <c r="A105" s="1">
        <v>2024</v>
      </c>
      <c r="B105" s="1">
        <v>5</v>
      </c>
      <c r="C105" s="1">
        <v>28</v>
      </c>
      <c r="D105">
        <v>47.475000000000001</v>
      </c>
      <c r="E105">
        <f t="shared" si="4"/>
        <v>414.25399999999996</v>
      </c>
      <c r="F105" t="s">
        <v>15</v>
      </c>
      <c r="G105" t="s">
        <v>10</v>
      </c>
    </row>
    <row r="106" spans="1:7" x14ac:dyDescent="0.25">
      <c r="A106" s="1">
        <v>2024</v>
      </c>
      <c r="B106" s="1">
        <v>5</v>
      </c>
      <c r="C106" s="1">
        <v>29</v>
      </c>
      <c r="D106">
        <v>11.358000000000001</v>
      </c>
      <c r="E106">
        <f t="shared" si="4"/>
        <v>425.61199999999997</v>
      </c>
      <c r="F106" t="s">
        <v>37</v>
      </c>
      <c r="G106" t="s">
        <v>38</v>
      </c>
    </row>
    <row r="107" spans="1:7" x14ac:dyDescent="0.25">
      <c r="A107" s="1">
        <v>2024</v>
      </c>
      <c r="B107" s="1">
        <v>5</v>
      </c>
      <c r="C107" s="1">
        <v>29</v>
      </c>
      <c r="D107">
        <v>11.358000000000001</v>
      </c>
      <c r="E107">
        <f t="shared" si="4"/>
        <v>436.96999999999997</v>
      </c>
      <c r="F107" t="s">
        <v>37</v>
      </c>
      <c r="G107" t="s">
        <v>38</v>
      </c>
    </row>
    <row r="108" spans="1:7" x14ac:dyDescent="0.25">
      <c r="A108" s="1">
        <v>2024</v>
      </c>
      <c r="B108" s="1">
        <v>5</v>
      </c>
      <c r="C108" s="1">
        <v>31</v>
      </c>
      <c r="D108">
        <v>2.7240000000000002</v>
      </c>
      <c r="E108">
        <f t="shared" si="4"/>
        <v>439.69399999999996</v>
      </c>
      <c r="F108" t="s">
        <v>39</v>
      </c>
      <c r="G108" t="s">
        <v>20</v>
      </c>
    </row>
    <row r="109" spans="1:7" x14ac:dyDescent="0.25">
      <c r="A109" s="1">
        <v>2024</v>
      </c>
      <c r="B109" s="1">
        <v>5</v>
      </c>
      <c r="C109" s="1">
        <v>31</v>
      </c>
      <c r="D109">
        <v>5.9939999999999998</v>
      </c>
      <c r="E109">
        <f t="shared" si="4"/>
        <v>445.68799999999999</v>
      </c>
      <c r="F109" t="s">
        <v>42</v>
      </c>
      <c r="G109" t="s">
        <v>20</v>
      </c>
    </row>
    <row r="110" spans="1:7" x14ac:dyDescent="0.25">
      <c r="A110" s="1">
        <v>2024</v>
      </c>
      <c r="B110" s="1">
        <v>6</v>
      </c>
      <c r="C110" s="1">
        <v>3</v>
      </c>
      <c r="D110">
        <v>16.163</v>
      </c>
      <c r="E110">
        <f>D110</f>
        <v>16.163</v>
      </c>
      <c r="F110" t="s">
        <v>11</v>
      </c>
      <c r="G110" t="s">
        <v>12</v>
      </c>
    </row>
    <row r="111" spans="1:7" x14ac:dyDescent="0.25">
      <c r="A111" s="1">
        <v>2024</v>
      </c>
      <c r="B111" s="1">
        <v>6</v>
      </c>
      <c r="C111" s="1">
        <v>4</v>
      </c>
      <c r="D111">
        <v>91.677000000000007</v>
      </c>
      <c r="E111">
        <f t="shared" ref="E111:E116" si="5">E110+D111</f>
        <v>107.84</v>
      </c>
      <c r="F111" t="s">
        <v>4</v>
      </c>
      <c r="G111" t="s">
        <v>5</v>
      </c>
    </row>
    <row r="112" spans="1:7" x14ac:dyDescent="0.25">
      <c r="A112" s="1">
        <v>2024</v>
      </c>
      <c r="B112" s="1">
        <v>6</v>
      </c>
      <c r="C112" s="1">
        <v>12</v>
      </c>
      <c r="D112">
        <v>15.817</v>
      </c>
      <c r="E112">
        <f t="shared" si="5"/>
        <v>123.65700000000001</v>
      </c>
      <c r="F112" t="s">
        <v>11</v>
      </c>
      <c r="G112" t="s">
        <v>12</v>
      </c>
    </row>
    <row r="113" spans="1:7" x14ac:dyDescent="0.25">
      <c r="A113" s="1">
        <v>2024</v>
      </c>
      <c r="B113" s="1">
        <v>6</v>
      </c>
      <c r="C113" s="1">
        <v>13</v>
      </c>
      <c r="D113">
        <v>9.6739999999999995</v>
      </c>
      <c r="E113">
        <f t="shared" si="5"/>
        <v>133.33100000000002</v>
      </c>
      <c r="F113" t="s">
        <v>7</v>
      </c>
      <c r="G113" t="s">
        <v>8</v>
      </c>
    </row>
    <row r="114" spans="1:7" x14ac:dyDescent="0.25">
      <c r="A114" s="1">
        <v>2024</v>
      </c>
      <c r="B114" s="1">
        <v>6</v>
      </c>
      <c r="C114" s="1">
        <v>19</v>
      </c>
      <c r="D114">
        <v>16.707000000000001</v>
      </c>
      <c r="E114">
        <f t="shared" si="5"/>
        <v>150.03800000000001</v>
      </c>
      <c r="F114" t="s">
        <v>11</v>
      </c>
      <c r="G114" t="s">
        <v>12</v>
      </c>
    </row>
    <row r="115" spans="1:7" x14ac:dyDescent="0.25">
      <c r="A115" s="1">
        <v>2024</v>
      </c>
      <c r="B115" s="1">
        <v>6</v>
      </c>
      <c r="C115" s="1">
        <v>22</v>
      </c>
      <c r="D115">
        <v>16.933</v>
      </c>
      <c r="E115">
        <f t="shared" si="5"/>
        <v>166.971</v>
      </c>
      <c r="F115" t="s">
        <v>11</v>
      </c>
      <c r="G115" t="s">
        <v>12</v>
      </c>
    </row>
    <row r="116" spans="1:7" x14ac:dyDescent="0.25">
      <c r="A116" s="1">
        <v>2024</v>
      </c>
      <c r="B116" s="1">
        <v>6</v>
      </c>
      <c r="C116" s="1">
        <v>28</v>
      </c>
      <c r="D116">
        <v>16.707000000000001</v>
      </c>
      <c r="E116">
        <f t="shared" si="5"/>
        <v>183.678</v>
      </c>
      <c r="F116" t="s">
        <v>11</v>
      </c>
      <c r="G116" t="s">
        <v>12</v>
      </c>
    </row>
    <row r="117" spans="1:7" x14ac:dyDescent="0.25">
      <c r="A117" s="1">
        <v>2024</v>
      </c>
      <c r="B117" s="1">
        <v>7</v>
      </c>
      <c r="C117" s="1">
        <v>2</v>
      </c>
      <c r="D117">
        <v>52.012</v>
      </c>
      <c r="E117">
        <f>D117</f>
        <v>52.012</v>
      </c>
      <c r="F117" t="s">
        <v>43</v>
      </c>
      <c r="G117" t="s">
        <v>44</v>
      </c>
    </row>
    <row r="118" spans="1:7" x14ac:dyDescent="0.25">
      <c r="A118" s="1">
        <v>2024</v>
      </c>
      <c r="B118" s="1">
        <v>7</v>
      </c>
      <c r="C118" s="1">
        <v>4</v>
      </c>
      <c r="D118">
        <v>15.817</v>
      </c>
      <c r="E118">
        <f>E117+D118</f>
        <v>67.829000000000008</v>
      </c>
      <c r="F118" t="s">
        <v>11</v>
      </c>
      <c r="G118" t="s">
        <v>12</v>
      </c>
    </row>
    <row r="119" spans="1:7" x14ac:dyDescent="0.25">
      <c r="A119" s="1">
        <v>2024</v>
      </c>
      <c r="B119" s="1">
        <v>7</v>
      </c>
      <c r="C119" s="1">
        <v>9</v>
      </c>
      <c r="D119">
        <v>10.177</v>
      </c>
      <c r="E119">
        <f t="shared" ref="E119:E136" si="6">E118+D119</f>
        <v>78.006</v>
      </c>
      <c r="F119" t="s">
        <v>11</v>
      </c>
      <c r="G119" t="s">
        <v>12</v>
      </c>
    </row>
    <row r="120" spans="1:7" x14ac:dyDescent="0.25">
      <c r="A120" s="1">
        <v>2024</v>
      </c>
      <c r="B120" s="1">
        <v>7</v>
      </c>
      <c r="C120" s="1">
        <v>10</v>
      </c>
      <c r="D120">
        <v>37.780999999999999</v>
      </c>
      <c r="E120">
        <f t="shared" si="6"/>
        <v>115.78700000000001</v>
      </c>
      <c r="F120" t="s">
        <v>45</v>
      </c>
      <c r="G120" t="s">
        <v>28</v>
      </c>
    </row>
    <row r="121" spans="1:7" x14ac:dyDescent="0.25">
      <c r="A121" s="1">
        <v>2024</v>
      </c>
      <c r="B121" s="1">
        <v>7</v>
      </c>
      <c r="C121" s="1">
        <v>11</v>
      </c>
      <c r="D121">
        <v>2.77</v>
      </c>
      <c r="E121">
        <f t="shared" si="6"/>
        <v>118.557</v>
      </c>
      <c r="F121" t="s">
        <v>27</v>
      </c>
      <c r="G121" t="s">
        <v>28</v>
      </c>
    </row>
    <row r="122" spans="1:7" x14ac:dyDescent="0.25">
      <c r="A122" s="1">
        <v>2024</v>
      </c>
      <c r="B122" s="1">
        <v>7</v>
      </c>
      <c r="C122" s="1">
        <v>12</v>
      </c>
      <c r="D122">
        <v>15.779</v>
      </c>
      <c r="E122">
        <f t="shared" si="6"/>
        <v>134.33600000000001</v>
      </c>
      <c r="F122" t="s">
        <v>11</v>
      </c>
      <c r="G122" t="s">
        <v>12</v>
      </c>
    </row>
    <row r="123" spans="1:7" x14ac:dyDescent="0.25">
      <c r="A123" s="1">
        <v>2024</v>
      </c>
      <c r="B123" s="1">
        <v>7</v>
      </c>
      <c r="C123" s="1">
        <v>13</v>
      </c>
      <c r="D123">
        <v>2.1789999999999998</v>
      </c>
      <c r="E123">
        <f t="shared" si="6"/>
        <v>136.51500000000001</v>
      </c>
      <c r="F123" t="s">
        <v>39</v>
      </c>
      <c r="G123" t="s">
        <v>20</v>
      </c>
    </row>
    <row r="124" spans="1:7" x14ac:dyDescent="0.25">
      <c r="A124" s="1">
        <v>2024</v>
      </c>
      <c r="B124" s="1">
        <v>7</v>
      </c>
      <c r="C124" s="1">
        <v>13</v>
      </c>
      <c r="D124">
        <v>41.384</v>
      </c>
      <c r="E124">
        <f t="shared" si="6"/>
        <v>177.899</v>
      </c>
      <c r="F124" t="s">
        <v>30</v>
      </c>
      <c r="G124" t="s">
        <v>31</v>
      </c>
    </row>
    <row r="125" spans="1:7" x14ac:dyDescent="0.25">
      <c r="A125" s="1">
        <v>2024</v>
      </c>
      <c r="B125" s="1">
        <v>7</v>
      </c>
      <c r="C125" s="1">
        <v>13</v>
      </c>
      <c r="D125">
        <v>5.4489999999999998</v>
      </c>
      <c r="E125">
        <f t="shared" si="6"/>
        <v>183.34800000000001</v>
      </c>
      <c r="F125" t="s">
        <v>39</v>
      </c>
      <c r="G125" t="s">
        <v>20</v>
      </c>
    </row>
    <row r="126" spans="1:7" x14ac:dyDescent="0.25">
      <c r="A126" s="1">
        <v>2024</v>
      </c>
      <c r="B126" s="1">
        <v>7</v>
      </c>
      <c r="C126" s="1">
        <v>14</v>
      </c>
      <c r="D126">
        <v>95.991</v>
      </c>
      <c r="E126">
        <f t="shared" si="6"/>
        <v>279.339</v>
      </c>
      <c r="F126" t="s">
        <v>4</v>
      </c>
      <c r="G126" t="s">
        <v>5</v>
      </c>
    </row>
    <row r="127" spans="1:7" x14ac:dyDescent="0.25">
      <c r="A127" s="1">
        <v>2024</v>
      </c>
      <c r="B127" s="1">
        <v>7</v>
      </c>
      <c r="C127" s="1">
        <v>16</v>
      </c>
      <c r="D127">
        <v>50.362000000000002</v>
      </c>
      <c r="E127">
        <f t="shared" si="6"/>
        <v>329.70100000000002</v>
      </c>
      <c r="F127" t="s">
        <v>15</v>
      </c>
      <c r="G127" t="s">
        <v>10</v>
      </c>
    </row>
    <row r="128" spans="1:7" x14ac:dyDescent="0.25">
      <c r="A128" s="1">
        <v>2024</v>
      </c>
      <c r="B128" s="1">
        <v>7</v>
      </c>
      <c r="C128" s="1">
        <v>19</v>
      </c>
      <c r="D128">
        <v>41.08</v>
      </c>
      <c r="E128">
        <f t="shared" si="6"/>
        <v>370.78100000000001</v>
      </c>
      <c r="F128" t="s">
        <v>26</v>
      </c>
      <c r="G128" t="s">
        <v>22</v>
      </c>
    </row>
    <row r="129" spans="1:7" x14ac:dyDescent="0.25">
      <c r="A129" s="1">
        <v>2024</v>
      </c>
      <c r="B129" s="1">
        <v>7</v>
      </c>
      <c r="C129" s="1">
        <v>19</v>
      </c>
      <c r="D129">
        <v>58.692999999999998</v>
      </c>
      <c r="E129">
        <f t="shared" si="6"/>
        <v>429.47399999999999</v>
      </c>
      <c r="F129" t="s">
        <v>26</v>
      </c>
      <c r="G129" t="s">
        <v>22</v>
      </c>
    </row>
    <row r="130" spans="1:7" x14ac:dyDescent="0.25">
      <c r="A130" s="1">
        <v>2024</v>
      </c>
      <c r="B130" s="1">
        <v>7</v>
      </c>
      <c r="C130" s="1">
        <v>19</v>
      </c>
      <c r="D130">
        <v>44.036000000000001</v>
      </c>
      <c r="E130">
        <f t="shared" si="6"/>
        <v>473.51</v>
      </c>
      <c r="F130" t="s">
        <v>26</v>
      </c>
      <c r="G130" t="s">
        <v>22</v>
      </c>
    </row>
    <row r="131" spans="1:7" x14ac:dyDescent="0.25">
      <c r="A131" s="1">
        <v>2024</v>
      </c>
      <c r="B131" s="1">
        <v>7</v>
      </c>
      <c r="C131" s="1">
        <v>20</v>
      </c>
      <c r="D131">
        <v>9.4979999999999993</v>
      </c>
      <c r="E131">
        <f t="shared" si="6"/>
        <v>483.00799999999998</v>
      </c>
      <c r="F131" t="s">
        <v>11</v>
      </c>
      <c r="G131" t="s">
        <v>12</v>
      </c>
    </row>
    <row r="132" spans="1:7" x14ac:dyDescent="0.25">
      <c r="A132" s="1">
        <v>2024</v>
      </c>
      <c r="B132" s="1">
        <v>7</v>
      </c>
      <c r="C132" s="1">
        <v>22</v>
      </c>
      <c r="D132">
        <v>16.661000000000001</v>
      </c>
      <c r="E132">
        <f t="shared" si="6"/>
        <v>499.66899999999998</v>
      </c>
      <c r="F132" t="s">
        <v>11</v>
      </c>
      <c r="G132" t="s">
        <v>12</v>
      </c>
    </row>
    <row r="133" spans="1:7" x14ac:dyDescent="0.25">
      <c r="A133" s="1">
        <v>2024</v>
      </c>
      <c r="B133" s="1">
        <v>7</v>
      </c>
      <c r="C133" s="1">
        <v>25</v>
      </c>
      <c r="D133">
        <v>27.738</v>
      </c>
      <c r="E133">
        <f t="shared" si="6"/>
        <v>527.40699999999993</v>
      </c>
      <c r="F133" t="s">
        <v>9</v>
      </c>
      <c r="G133" t="s">
        <v>10</v>
      </c>
    </row>
    <row r="134" spans="1:7" x14ac:dyDescent="0.25">
      <c r="A134" s="1">
        <v>2024</v>
      </c>
      <c r="B134" s="1">
        <v>7</v>
      </c>
      <c r="C134" s="1">
        <v>28</v>
      </c>
      <c r="D134">
        <v>8.1419999999999995</v>
      </c>
      <c r="E134">
        <f t="shared" si="6"/>
        <v>535.54899999999998</v>
      </c>
      <c r="F134" t="s">
        <v>11</v>
      </c>
      <c r="G134" t="s">
        <v>12</v>
      </c>
    </row>
    <row r="135" spans="1:7" x14ac:dyDescent="0.25">
      <c r="A135" s="1">
        <v>2024</v>
      </c>
      <c r="B135" s="1">
        <v>7</v>
      </c>
      <c r="C135" s="1">
        <v>31</v>
      </c>
      <c r="D135">
        <v>28.7</v>
      </c>
      <c r="E135">
        <f t="shared" si="6"/>
        <v>564.24900000000002</v>
      </c>
      <c r="F135" t="s">
        <v>15</v>
      </c>
      <c r="G135" t="s">
        <v>10</v>
      </c>
    </row>
    <row r="136" spans="1:7" x14ac:dyDescent="0.25">
      <c r="A136" s="1">
        <v>2024</v>
      </c>
      <c r="B136" s="1">
        <v>7</v>
      </c>
      <c r="C136" s="1">
        <v>31</v>
      </c>
      <c r="D136">
        <v>16.933</v>
      </c>
      <c r="E136">
        <f t="shared" si="6"/>
        <v>581.18200000000002</v>
      </c>
      <c r="F136" t="s">
        <v>11</v>
      </c>
      <c r="G136" t="s">
        <v>12</v>
      </c>
    </row>
    <row r="137" spans="1:7" x14ac:dyDescent="0.25">
      <c r="A137" s="1">
        <v>2024</v>
      </c>
      <c r="B137" s="1">
        <v>8</v>
      </c>
      <c r="C137" s="1">
        <v>3</v>
      </c>
      <c r="D137">
        <v>16.661000000000001</v>
      </c>
      <c r="E137">
        <f>D137</f>
        <v>16.661000000000001</v>
      </c>
      <c r="F137" t="s">
        <v>11</v>
      </c>
      <c r="G137" t="s">
        <v>12</v>
      </c>
    </row>
    <row r="138" spans="1:7" x14ac:dyDescent="0.25">
      <c r="A138" s="1">
        <v>2024</v>
      </c>
      <c r="B138" s="1">
        <v>8</v>
      </c>
      <c r="C138" s="1">
        <v>7</v>
      </c>
      <c r="D138">
        <v>16.722000000000001</v>
      </c>
      <c r="E138">
        <f>E137+D138</f>
        <v>33.383000000000003</v>
      </c>
      <c r="F138" t="s">
        <v>11</v>
      </c>
      <c r="G138" t="s">
        <v>12</v>
      </c>
    </row>
    <row r="139" spans="1:7" x14ac:dyDescent="0.25">
      <c r="A139" s="1">
        <v>2024</v>
      </c>
      <c r="B139" s="1">
        <v>8</v>
      </c>
      <c r="C139" s="1">
        <v>11</v>
      </c>
      <c r="D139">
        <v>16.715</v>
      </c>
      <c r="E139">
        <f t="shared" ref="E139:E152" si="7">E138+D139</f>
        <v>50.097999999999999</v>
      </c>
      <c r="F139" t="s">
        <v>11</v>
      </c>
      <c r="G139" t="s">
        <v>12</v>
      </c>
    </row>
    <row r="140" spans="1:7" x14ac:dyDescent="0.25">
      <c r="A140" s="1">
        <v>2024</v>
      </c>
      <c r="B140" s="1">
        <v>8</v>
      </c>
      <c r="C140" s="1">
        <v>12</v>
      </c>
      <c r="D140">
        <v>76.334000000000003</v>
      </c>
      <c r="E140">
        <f t="shared" si="7"/>
        <v>126.432</v>
      </c>
      <c r="F140" t="s">
        <v>9</v>
      </c>
      <c r="G140" t="s">
        <v>10</v>
      </c>
    </row>
    <row r="141" spans="1:7" x14ac:dyDescent="0.25">
      <c r="A141" s="1">
        <v>2024</v>
      </c>
      <c r="B141" s="1">
        <v>8</v>
      </c>
      <c r="C141" s="1">
        <v>13</v>
      </c>
      <c r="D141">
        <v>54.38</v>
      </c>
      <c r="E141">
        <f t="shared" si="7"/>
        <v>180.81200000000001</v>
      </c>
      <c r="F141" t="s">
        <v>15</v>
      </c>
      <c r="G141" t="s">
        <v>10</v>
      </c>
    </row>
    <row r="142" spans="1:7" x14ac:dyDescent="0.25">
      <c r="A142" s="1">
        <v>2024</v>
      </c>
      <c r="B142" s="1">
        <v>8</v>
      </c>
      <c r="C142" s="1">
        <v>15</v>
      </c>
      <c r="D142">
        <v>16.722000000000001</v>
      </c>
      <c r="E142">
        <f t="shared" si="7"/>
        <v>197.53400000000002</v>
      </c>
      <c r="F142" t="s">
        <v>11</v>
      </c>
      <c r="G142" t="s">
        <v>12</v>
      </c>
    </row>
    <row r="143" spans="1:7" x14ac:dyDescent="0.25">
      <c r="A143" s="1">
        <v>2024</v>
      </c>
      <c r="B143" s="1">
        <v>8</v>
      </c>
      <c r="C143" s="1">
        <v>17</v>
      </c>
      <c r="D143">
        <v>47.362000000000002</v>
      </c>
      <c r="E143">
        <f t="shared" si="7"/>
        <v>244.89600000000002</v>
      </c>
      <c r="F143" t="s">
        <v>4</v>
      </c>
      <c r="G143" t="s">
        <v>5</v>
      </c>
    </row>
    <row r="144" spans="1:7" x14ac:dyDescent="0.25">
      <c r="A144" s="1">
        <v>2024</v>
      </c>
      <c r="B144" s="1">
        <v>8</v>
      </c>
      <c r="C144" s="1">
        <v>18</v>
      </c>
      <c r="D144">
        <v>6.7690000000000001</v>
      </c>
      <c r="E144">
        <f t="shared" si="7"/>
        <v>251.66500000000002</v>
      </c>
      <c r="F144" t="s">
        <v>11</v>
      </c>
      <c r="G144" t="s">
        <v>12</v>
      </c>
    </row>
    <row r="145" spans="1:7" x14ac:dyDescent="0.25">
      <c r="A145" s="1">
        <v>2024</v>
      </c>
      <c r="B145" s="1">
        <v>8</v>
      </c>
      <c r="C145" s="1">
        <v>19</v>
      </c>
      <c r="D145">
        <v>48.941000000000003</v>
      </c>
      <c r="E145">
        <f t="shared" si="7"/>
        <v>300.60599999999999</v>
      </c>
      <c r="F145" t="s">
        <v>4</v>
      </c>
      <c r="G145" t="s">
        <v>5</v>
      </c>
    </row>
    <row r="146" spans="1:7" x14ac:dyDescent="0.25">
      <c r="A146" s="1">
        <v>2024</v>
      </c>
      <c r="B146" s="1">
        <v>8</v>
      </c>
      <c r="C146" s="1">
        <v>24</v>
      </c>
      <c r="D146">
        <v>16.722000000000001</v>
      </c>
      <c r="E146">
        <f t="shared" si="7"/>
        <v>317.32799999999997</v>
      </c>
      <c r="F146" t="s">
        <v>11</v>
      </c>
      <c r="G146" t="s">
        <v>12</v>
      </c>
    </row>
    <row r="147" spans="1:7" x14ac:dyDescent="0.25">
      <c r="A147" s="1">
        <v>2024</v>
      </c>
      <c r="B147" s="1">
        <v>8</v>
      </c>
      <c r="C147" s="1">
        <v>25</v>
      </c>
      <c r="D147">
        <v>8.1750000000000007</v>
      </c>
      <c r="E147">
        <f t="shared" si="7"/>
        <v>325.50299999999999</v>
      </c>
      <c r="F147" t="s">
        <v>39</v>
      </c>
      <c r="G147" t="s">
        <v>20</v>
      </c>
    </row>
    <row r="148" spans="1:7" x14ac:dyDescent="0.25">
      <c r="A148" s="1">
        <v>2024</v>
      </c>
      <c r="B148" s="1">
        <v>8</v>
      </c>
      <c r="C148" s="1">
        <v>30</v>
      </c>
      <c r="D148">
        <v>43.225000000000001</v>
      </c>
      <c r="E148">
        <f t="shared" si="7"/>
        <v>368.72800000000001</v>
      </c>
      <c r="F148" t="s">
        <v>26</v>
      </c>
      <c r="G148" t="s">
        <v>22</v>
      </c>
    </row>
    <row r="149" spans="1:7" x14ac:dyDescent="0.25">
      <c r="A149" s="1">
        <v>2024</v>
      </c>
      <c r="B149" s="1">
        <v>8</v>
      </c>
      <c r="C149" s="1">
        <v>30</v>
      </c>
      <c r="D149">
        <v>36.651000000000003</v>
      </c>
      <c r="E149">
        <f t="shared" si="7"/>
        <v>405.37900000000002</v>
      </c>
      <c r="F149" t="s">
        <v>26</v>
      </c>
      <c r="G149" t="s">
        <v>22</v>
      </c>
    </row>
    <row r="150" spans="1:7" x14ac:dyDescent="0.25">
      <c r="A150" s="1">
        <v>2024</v>
      </c>
      <c r="B150" s="1">
        <v>8</v>
      </c>
      <c r="C150" s="1">
        <v>30</v>
      </c>
      <c r="D150">
        <v>22.167000000000002</v>
      </c>
      <c r="E150">
        <f t="shared" si="7"/>
        <v>427.54600000000005</v>
      </c>
      <c r="F150" t="s">
        <v>29</v>
      </c>
      <c r="G150" t="s">
        <v>22</v>
      </c>
    </row>
    <row r="151" spans="1:7" x14ac:dyDescent="0.25">
      <c r="A151" s="1">
        <v>2024</v>
      </c>
      <c r="B151" s="1">
        <v>8</v>
      </c>
      <c r="C151" s="1">
        <v>30</v>
      </c>
      <c r="D151">
        <v>19.568999999999999</v>
      </c>
      <c r="E151">
        <f t="shared" si="7"/>
        <v>447.11500000000007</v>
      </c>
      <c r="F151" t="s">
        <v>26</v>
      </c>
      <c r="G151" t="s">
        <v>22</v>
      </c>
    </row>
    <row r="152" spans="1:7" x14ac:dyDescent="0.25">
      <c r="A152" s="1">
        <v>2024</v>
      </c>
      <c r="B152" s="1">
        <v>8</v>
      </c>
      <c r="C152" s="1">
        <v>30</v>
      </c>
      <c r="D152">
        <v>27.195</v>
      </c>
      <c r="E152">
        <f t="shared" si="7"/>
        <v>474.31000000000006</v>
      </c>
      <c r="F152" t="s">
        <v>26</v>
      </c>
      <c r="G152" t="s">
        <v>22</v>
      </c>
    </row>
    <row r="153" spans="1:7" x14ac:dyDescent="0.25">
      <c r="A153" s="1">
        <v>2024</v>
      </c>
      <c r="B153" s="1">
        <v>9</v>
      </c>
      <c r="C153" s="1">
        <v>1</v>
      </c>
      <c r="D153">
        <v>13.044</v>
      </c>
      <c r="E153">
        <f>D153</f>
        <v>13.044</v>
      </c>
      <c r="F153" t="s">
        <v>11</v>
      </c>
      <c r="G153" t="s">
        <v>12</v>
      </c>
    </row>
    <row r="154" spans="1:7" x14ac:dyDescent="0.25">
      <c r="A154" s="1">
        <v>2024</v>
      </c>
      <c r="B154" s="1">
        <v>9</v>
      </c>
      <c r="C154" s="1">
        <v>4</v>
      </c>
      <c r="D154">
        <v>3.5059999999999998</v>
      </c>
      <c r="E154">
        <f>E153+D154</f>
        <v>16.55</v>
      </c>
      <c r="F154" t="s">
        <v>11</v>
      </c>
      <c r="G154" t="s">
        <v>12</v>
      </c>
    </row>
    <row r="155" spans="1:7" x14ac:dyDescent="0.25">
      <c r="A155" s="1">
        <v>2024</v>
      </c>
      <c r="B155" s="1">
        <v>9</v>
      </c>
      <c r="C155" s="1">
        <v>5</v>
      </c>
      <c r="D155">
        <v>8.59</v>
      </c>
      <c r="E155">
        <f t="shared" ref="E155:E170" si="8">E154+D155</f>
        <v>25.14</v>
      </c>
      <c r="F155" t="s">
        <v>11</v>
      </c>
      <c r="G155" t="s">
        <v>12</v>
      </c>
    </row>
    <row r="156" spans="1:7" x14ac:dyDescent="0.25">
      <c r="A156" s="1">
        <v>2024</v>
      </c>
      <c r="B156" s="1">
        <v>9</v>
      </c>
      <c r="C156" s="1">
        <v>5</v>
      </c>
      <c r="D156">
        <v>2.5430000000000001</v>
      </c>
      <c r="E156">
        <f t="shared" si="8"/>
        <v>27.683</v>
      </c>
      <c r="F156" t="s">
        <v>11</v>
      </c>
      <c r="G156" t="s">
        <v>12</v>
      </c>
    </row>
    <row r="157" spans="1:7" x14ac:dyDescent="0.25">
      <c r="A157" s="1">
        <v>2024</v>
      </c>
      <c r="B157" s="1">
        <v>9</v>
      </c>
      <c r="C157" s="1">
        <v>7</v>
      </c>
      <c r="D157">
        <v>4.5019999999999998</v>
      </c>
      <c r="E157">
        <f t="shared" si="8"/>
        <v>32.185000000000002</v>
      </c>
      <c r="F157" t="s">
        <v>46</v>
      </c>
      <c r="G157" t="s">
        <v>47</v>
      </c>
    </row>
    <row r="158" spans="1:7" x14ac:dyDescent="0.25">
      <c r="A158" s="1">
        <v>2024</v>
      </c>
      <c r="B158" s="1">
        <v>9</v>
      </c>
      <c r="C158" s="1">
        <v>7</v>
      </c>
      <c r="D158">
        <v>23.306999999999999</v>
      </c>
      <c r="E158">
        <f t="shared" si="8"/>
        <v>55.492000000000004</v>
      </c>
      <c r="F158" t="s">
        <v>48</v>
      </c>
      <c r="G158" t="s">
        <v>8</v>
      </c>
    </row>
    <row r="159" spans="1:7" x14ac:dyDescent="0.25">
      <c r="A159" s="1">
        <v>2024</v>
      </c>
      <c r="B159" s="1">
        <v>9</v>
      </c>
      <c r="C159" s="1">
        <v>9</v>
      </c>
      <c r="D159">
        <v>61.207999999999998</v>
      </c>
      <c r="E159">
        <f t="shared" si="8"/>
        <v>116.7</v>
      </c>
      <c r="F159" t="s">
        <v>15</v>
      </c>
      <c r="G159" t="s">
        <v>10</v>
      </c>
    </row>
    <row r="160" spans="1:7" x14ac:dyDescent="0.25">
      <c r="A160" s="1">
        <v>2024</v>
      </c>
      <c r="B160" s="1">
        <v>9</v>
      </c>
      <c r="C160" s="1">
        <v>10</v>
      </c>
      <c r="D160">
        <v>16.55</v>
      </c>
      <c r="E160">
        <f t="shared" si="8"/>
        <v>133.25</v>
      </c>
      <c r="F160" t="s">
        <v>11</v>
      </c>
      <c r="G160" t="s">
        <v>12</v>
      </c>
    </row>
    <row r="161" spans="1:7" x14ac:dyDescent="0.25">
      <c r="A161" s="1">
        <v>2024</v>
      </c>
      <c r="B161" s="1">
        <v>9</v>
      </c>
      <c r="C161" s="1">
        <v>12</v>
      </c>
      <c r="D161">
        <v>42.154000000000003</v>
      </c>
      <c r="E161">
        <f t="shared" si="8"/>
        <v>175.404</v>
      </c>
      <c r="F161" t="s">
        <v>49</v>
      </c>
      <c r="G161" t="s">
        <v>50</v>
      </c>
    </row>
    <row r="162" spans="1:7" x14ac:dyDescent="0.25">
      <c r="A162" s="1">
        <v>2024</v>
      </c>
      <c r="B162" s="1">
        <v>9</v>
      </c>
      <c r="C162" s="1">
        <v>13</v>
      </c>
      <c r="D162">
        <v>67.924999999999997</v>
      </c>
      <c r="E162">
        <f t="shared" si="8"/>
        <v>243.32900000000001</v>
      </c>
      <c r="F162" t="s">
        <v>4</v>
      </c>
      <c r="G162" t="s">
        <v>5</v>
      </c>
    </row>
    <row r="163" spans="1:7" x14ac:dyDescent="0.25">
      <c r="A163" s="1">
        <v>2024</v>
      </c>
      <c r="B163" s="1">
        <v>9</v>
      </c>
      <c r="C163" s="1">
        <v>13</v>
      </c>
      <c r="D163">
        <v>16.722000000000001</v>
      </c>
      <c r="E163">
        <f t="shared" si="8"/>
        <v>260.05099999999999</v>
      </c>
      <c r="F163" t="s">
        <v>11</v>
      </c>
      <c r="G163" t="s">
        <v>12</v>
      </c>
    </row>
    <row r="164" spans="1:7" x14ac:dyDescent="0.25">
      <c r="A164" s="1">
        <v>2024</v>
      </c>
      <c r="B164" s="1">
        <v>9</v>
      </c>
      <c r="C164" s="1">
        <v>18</v>
      </c>
      <c r="D164">
        <v>60.524999999999999</v>
      </c>
      <c r="E164">
        <f t="shared" si="8"/>
        <v>320.57599999999996</v>
      </c>
      <c r="F164" t="s">
        <v>13</v>
      </c>
      <c r="G164" t="s">
        <v>14</v>
      </c>
    </row>
    <row r="165" spans="1:7" x14ac:dyDescent="0.25">
      <c r="A165" s="1">
        <v>2024</v>
      </c>
      <c r="B165" s="1">
        <v>9</v>
      </c>
      <c r="C165" s="1">
        <v>20</v>
      </c>
      <c r="D165">
        <v>16.722000000000001</v>
      </c>
      <c r="E165">
        <f t="shared" si="8"/>
        <v>337.29799999999994</v>
      </c>
      <c r="F165" t="s">
        <v>11</v>
      </c>
      <c r="G165" t="s">
        <v>12</v>
      </c>
    </row>
    <row r="166" spans="1:7" x14ac:dyDescent="0.25">
      <c r="A166" s="1">
        <v>2024</v>
      </c>
      <c r="B166" s="1">
        <v>9</v>
      </c>
      <c r="C166" s="1">
        <v>23</v>
      </c>
      <c r="D166">
        <v>67.144999999999996</v>
      </c>
      <c r="E166">
        <f t="shared" si="8"/>
        <v>404.44299999999993</v>
      </c>
      <c r="F166" t="s">
        <v>15</v>
      </c>
      <c r="G166" t="s">
        <v>10</v>
      </c>
    </row>
    <row r="167" spans="1:7" x14ac:dyDescent="0.25">
      <c r="A167" s="1">
        <v>2024</v>
      </c>
      <c r="B167" s="1">
        <v>9</v>
      </c>
      <c r="C167" s="1">
        <v>23</v>
      </c>
      <c r="D167">
        <v>16.707000000000001</v>
      </c>
      <c r="E167">
        <f t="shared" si="8"/>
        <v>421.14999999999992</v>
      </c>
      <c r="F167" t="s">
        <v>11</v>
      </c>
      <c r="G167" t="s">
        <v>12</v>
      </c>
    </row>
    <row r="168" spans="1:7" x14ac:dyDescent="0.25">
      <c r="A168" s="1">
        <v>2024</v>
      </c>
      <c r="B168" s="1">
        <v>9</v>
      </c>
      <c r="C168" s="1">
        <v>24</v>
      </c>
      <c r="D168">
        <v>43.6</v>
      </c>
      <c r="E168">
        <f t="shared" si="8"/>
        <v>464.74999999999994</v>
      </c>
      <c r="F168" t="s">
        <v>30</v>
      </c>
      <c r="G168" t="s">
        <v>31</v>
      </c>
    </row>
    <row r="169" spans="1:7" x14ac:dyDescent="0.25">
      <c r="A169" s="1">
        <v>2024</v>
      </c>
      <c r="B169" s="1">
        <v>9</v>
      </c>
      <c r="C169" s="1">
        <v>26</v>
      </c>
      <c r="D169">
        <v>4.931</v>
      </c>
      <c r="E169">
        <f t="shared" si="8"/>
        <v>469.68099999999993</v>
      </c>
      <c r="F169" t="s">
        <v>7</v>
      </c>
      <c r="G169" t="s">
        <v>8</v>
      </c>
    </row>
    <row r="170" spans="1:7" x14ac:dyDescent="0.25">
      <c r="A170" s="1">
        <v>2024</v>
      </c>
      <c r="B170" s="1">
        <v>9</v>
      </c>
      <c r="C170" s="1">
        <v>29</v>
      </c>
      <c r="D170">
        <v>16.509</v>
      </c>
      <c r="E170">
        <f t="shared" si="8"/>
        <v>486.18999999999994</v>
      </c>
      <c r="F170" t="s">
        <v>11</v>
      </c>
      <c r="G170" t="s">
        <v>12</v>
      </c>
    </row>
    <row r="171" spans="1:7" x14ac:dyDescent="0.25">
      <c r="A171" s="1">
        <v>2024</v>
      </c>
      <c r="B171" s="1">
        <v>10</v>
      </c>
      <c r="C171" s="1">
        <v>2</v>
      </c>
      <c r="D171">
        <v>2.4550000000000001</v>
      </c>
      <c r="E171">
        <f>D171</f>
        <v>2.4550000000000001</v>
      </c>
      <c r="F171" t="s">
        <v>7</v>
      </c>
      <c r="G171" t="s">
        <v>8</v>
      </c>
    </row>
    <row r="172" spans="1:7" x14ac:dyDescent="0.25">
      <c r="A172" s="1">
        <v>2024</v>
      </c>
      <c r="B172" s="1">
        <v>10</v>
      </c>
      <c r="C172" s="1">
        <v>3</v>
      </c>
      <c r="D172">
        <v>16.722000000000001</v>
      </c>
      <c r="E172">
        <f>D172+E171</f>
        <v>19.177</v>
      </c>
      <c r="F172" t="s">
        <v>11</v>
      </c>
      <c r="G172" t="s">
        <v>12</v>
      </c>
    </row>
    <row r="173" spans="1:7" x14ac:dyDescent="0.25">
      <c r="A173" s="1">
        <v>2024</v>
      </c>
      <c r="B173" s="1">
        <v>10</v>
      </c>
      <c r="C173" s="1">
        <v>7</v>
      </c>
      <c r="D173">
        <v>70.039000000000001</v>
      </c>
      <c r="E173">
        <f t="shared" ref="E173:E184" si="9">D173+E172</f>
        <v>89.216000000000008</v>
      </c>
      <c r="F173" t="s">
        <v>9</v>
      </c>
      <c r="G173" t="s">
        <v>10</v>
      </c>
    </row>
    <row r="174" spans="1:7" x14ac:dyDescent="0.25">
      <c r="A174" s="1">
        <v>2024</v>
      </c>
      <c r="B174" s="1">
        <v>10</v>
      </c>
      <c r="C174" s="1">
        <v>7</v>
      </c>
      <c r="D174">
        <v>37.695</v>
      </c>
      <c r="E174">
        <f t="shared" si="9"/>
        <v>126.911</v>
      </c>
      <c r="F174" t="s">
        <v>35</v>
      </c>
      <c r="G174" t="s">
        <v>36</v>
      </c>
    </row>
    <row r="175" spans="1:7" x14ac:dyDescent="0.25">
      <c r="A175" s="1">
        <v>2024</v>
      </c>
      <c r="B175" s="1">
        <v>10</v>
      </c>
      <c r="C175" s="1">
        <v>7</v>
      </c>
      <c r="D175">
        <v>15.779</v>
      </c>
      <c r="E175">
        <f t="shared" si="9"/>
        <v>142.69</v>
      </c>
      <c r="F175" t="s">
        <v>11</v>
      </c>
      <c r="G175" t="s">
        <v>12</v>
      </c>
    </row>
    <row r="176" spans="1:7" x14ac:dyDescent="0.25">
      <c r="A176" s="1">
        <v>2024</v>
      </c>
      <c r="B176" s="1">
        <v>10</v>
      </c>
      <c r="C176" s="1">
        <v>10</v>
      </c>
      <c r="D176">
        <v>17.332999999999998</v>
      </c>
      <c r="E176">
        <f t="shared" si="9"/>
        <v>160.023</v>
      </c>
      <c r="F176" t="s">
        <v>13</v>
      </c>
      <c r="G176" t="s">
        <v>14</v>
      </c>
    </row>
    <row r="177" spans="1:20" x14ac:dyDescent="0.25">
      <c r="A177" s="1">
        <v>2024</v>
      </c>
      <c r="B177" s="1">
        <v>10</v>
      </c>
      <c r="C177" s="1">
        <v>14</v>
      </c>
      <c r="D177">
        <v>93.992000000000004</v>
      </c>
      <c r="E177">
        <f t="shared" si="9"/>
        <v>254.01499999999999</v>
      </c>
      <c r="F177" t="s">
        <v>4</v>
      </c>
      <c r="G177" t="s">
        <v>5</v>
      </c>
    </row>
    <row r="178" spans="1:20" x14ac:dyDescent="0.25">
      <c r="A178" s="1">
        <v>2024</v>
      </c>
      <c r="B178" s="1">
        <v>10</v>
      </c>
      <c r="C178" s="1">
        <v>16</v>
      </c>
      <c r="D178">
        <v>15.779</v>
      </c>
      <c r="E178">
        <f t="shared" si="9"/>
        <v>269.79399999999998</v>
      </c>
      <c r="F178" t="s">
        <v>11</v>
      </c>
      <c r="G178" t="s">
        <v>12</v>
      </c>
    </row>
    <row r="179" spans="1:20" x14ac:dyDescent="0.25">
      <c r="A179" s="1">
        <v>2024</v>
      </c>
      <c r="B179" s="1">
        <v>10</v>
      </c>
      <c r="C179" s="1">
        <v>19</v>
      </c>
      <c r="D179">
        <v>33.545000000000002</v>
      </c>
      <c r="E179">
        <f t="shared" si="9"/>
        <v>303.339</v>
      </c>
      <c r="F179" t="s">
        <v>51</v>
      </c>
      <c r="G179" t="s">
        <v>20</v>
      </c>
    </row>
    <row r="180" spans="1:20" x14ac:dyDescent="0.25">
      <c r="A180" s="1">
        <v>2024</v>
      </c>
      <c r="B180" s="1">
        <v>10</v>
      </c>
      <c r="C180" s="1">
        <v>24</v>
      </c>
      <c r="D180">
        <v>35.106999999999999</v>
      </c>
      <c r="E180">
        <f t="shared" si="9"/>
        <v>338.44600000000003</v>
      </c>
      <c r="F180" t="s">
        <v>15</v>
      </c>
      <c r="G180" t="s">
        <v>10</v>
      </c>
    </row>
    <row r="181" spans="1:20" x14ac:dyDescent="0.25">
      <c r="A181" s="1">
        <v>2024</v>
      </c>
      <c r="B181" s="1">
        <v>10</v>
      </c>
      <c r="C181" s="1">
        <v>26</v>
      </c>
      <c r="D181">
        <v>35.106999999999999</v>
      </c>
      <c r="E181">
        <f t="shared" si="9"/>
        <v>373.553</v>
      </c>
      <c r="F181" t="s">
        <v>15</v>
      </c>
      <c r="G181" t="s">
        <v>10</v>
      </c>
    </row>
    <row r="182" spans="1:20" x14ac:dyDescent="0.25">
      <c r="A182" s="1">
        <v>2024</v>
      </c>
      <c r="B182" s="1">
        <v>10</v>
      </c>
      <c r="C182" s="1">
        <v>26</v>
      </c>
      <c r="D182">
        <v>68.768000000000001</v>
      </c>
      <c r="E182">
        <f t="shared" si="9"/>
        <v>442.32100000000003</v>
      </c>
      <c r="F182" t="s">
        <v>13</v>
      </c>
      <c r="G182" t="s">
        <v>14</v>
      </c>
    </row>
    <row r="183" spans="1:20" x14ac:dyDescent="0.25">
      <c r="A183" s="1">
        <v>2024</v>
      </c>
      <c r="B183" s="1">
        <v>10</v>
      </c>
      <c r="C183" s="1">
        <v>27</v>
      </c>
      <c r="D183">
        <v>1.462</v>
      </c>
      <c r="E183">
        <f t="shared" si="9"/>
        <v>443.78300000000002</v>
      </c>
      <c r="F183" t="s">
        <v>52</v>
      </c>
      <c r="G183" t="s">
        <v>53</v>
      </c>
    </row>
    <row r="184" spans="1:20" x14ac:dyDescent="0.25">
      <c r="A184" s="1">
        <v>2024</v>
      </c>
      <c r="B184" s="1">
        <v>10</v>
      </c>
      <c r="C184" s="1">
        <v>28</v>
      </c>
      <c r="D184">
        <v>16.722000000000001</v>
      </c>
      <c r="E184">
        <f t="shared" si="9"/>
        <v>460.505</v>
      </c>
      <c r="F184" t="s">
        <v>11</v>
      </c>
      <c r="G184" t="s">
        <v>12</v>
      </c>
    </row>
    <row r="185" spans="1:20" x14ac:dyDescent="0.25">
      <c r="A185" s="1">
        <v>2024</v>
      </c>
      <c r="B185" s="1">
        <v>10</v>
      </c>
      <c r="C185" s="1">
        <v>31</v>
      </c>
      <c r="D185">
        <v>16.594000000000001</v>
      </c>
      <c r="E185">
        <f>D185+E184</f>
        <v>477.09899999999999</v>
      </c>
      <c r="F185" t="s">
        <v>11</v>
      </c>
      <c r="G185" t="s">
        <v>12</v>
      </c>
    </row>
    <row r="186" spans="1:20" x14ac:dyDescent="0.25">
      <c r="A186" s="1">
        <v>2024</v>
      </c>
      <c r="B186" s="1">
        <v>11</v>
      </c>
      <c r="C186" s="1">
        <v>1</v>
      </c>
      <c r="D186" s="1">
        <v>9.5</v>
      </c>
      <c r="E186" s="1">
        <f>D186</f>
        <v>9.5</v>
      </c>
      <c r="F186" s="1"/>
      <c r="G186" s="1" t="s">
        <v>6</v>
      </c>
      <c r="H186" s="1"/>
      <c r="I186" s="1"/>
      <c r="J186" s="1"/>
      <c r="T186">
        <f>E186</f>
        <v>9.5</v>
      </c>
    </row>
    <row r="187" spans="1:20" x14ac:dyDescent="0.25">
      <c r="A187" s="1">
        <v>2024</v>
      </c>
      <c r="B187" s="1">
        <v>11</v>
      </c>
      <c r="C187" s="1">
        <v>2</v>
      </c>
      <c r="D187" s="1">
        <v>8.6</v>
      </c>
      <c r="E187" s="1">
        <f>E186+D187</f>
        <v>18.100000000000001</v>
      </c>
      <c r="F187" s="1"/>
      <c r="G187" s="1" t="s">
        <v>14</v>
      </c>
      <c r="H187" s="1"/>
      <c r="I187" s="1"/>
      <c r="J187" s="1"/>
      <c r="T187">
        <f>T186+D187</f>
        <v>18.100000000000001</v>
      </c>
    </row>
    <row r="188" spans="1:20" x14ac:dyDescent="0.25">
      <c r="A188" s="1">
        <v>2024</v>
      </c>
      <c r="B188" s="1">
        <v>11</v>
      </c>
      <c r="C188" s="1">
        <v>3</v>
      </c>
      <c r="D188" s="1">
        <v>16.100000000000001</v>
      </c>
      <c r="E188" s="1">
        <f t="shared" ref="E188:E204" si="10">E187+D188</f>
        <v>34.200000000000003</v>
      </c>
      <c r="F188" s="1"/>
      <c r="G188" s="1" t="s">
        <v>12</v>
      </c>
      <c r="H188" s="1"/>
      <c r="I188" s="1"/>
      <c r="J188" s="1"/>
      <c r="T188">
        <f t="shared" ref="T188:T251" si="11">T187+D188</f>
        <v>34.200000000000003</v>
      </c>
    </row>
    <row r="189" spans="1:20" x14ac:dyDescent="0.25">
      <c r="A189" s="1">
        <v>2024</v>
      </c>
      <c r="B189" s="1">
        <v>11</v>
      </c>
      <c r="C189" s="1">
        <v>4</v>
      </c>
      <c r="D189" s="1">
        <v>2.2999999999999998</v>
      </c>
      <c r="E189" s="1">
        <f t="shared" si="10"/>
        <v>36.5</v>
      </c>
      <c r="F189" s="1"/>
      <c r="G189" s="1" t="s">
        <v>36</v>
      </c>
      <c r="H189" s="1"/>
      <c r="I189" s="1"/>
      <c r="J189" s="1"/>
      <c r="T189">
        <f t="shared" si="11"/>
        <v>36.5</v>
      </c>
    </row>
    <row r="190" spans="1:20" x14ac:dyDescent="0.25">
      <c r="A190" s="1">
        <v>2024</v>
      </c>
      <c r="B190" s="1">
        <v>11</v>
      </c>
      <c r="C190" s="1">
        <v>5</v>
      </c>
      <c r="D190" s="1">
        <v>100.5</v>
      </c>
      <c r="E190" s="1">
        <f t="shared" si="10"/>
        <v>137</v>
      </c>
      <c r="F190" s="1" t="s">
        <v>30</v>
      </c>
      <c r="G190" t="s">
        <v>31</v>
      </c>
      <c r="H190" s="1"/>
      <c r="I190" s="1"/>
      <c r="J190" s="1"/>
      <c r="T190">
        <f>T189+D190</f>
        <v>137</v>
      </c>
    </row>
    <row r="191" spans="1:20" x14ac:dyDescent="0.25">
      <c r="A191" s="1">
        <v>2024</v>
      </c>
      <c r="B191" s="1">
        <v>11</v>
      </c>
      <c r="C191" s="1">
        <v>8</v>
      </c>
      <c r="D191" s="1">
        <v>15.1</v>
      </c>
      <c r="E191" s="1">
        <f t="shared" si="10"/>
        <v>152.1</v>
      </c>
      <c r="F191" s="1"/>
      <c r="G191" s="1" t="s">
        <v>12</v>
      </c>
      <c r="H191" s="1"/>
      <c r="I191" s="1"/>
      <c r="J191" s="1"/>
      <c r="T191">
        <f t="shared" si="11"/>
        <v>152.1</v>
      </c>
    </row>
    <row r="192" spans="1:20" x14ac:dyDescent="0.25">
      <c r="A192" s="2">
        <v>2024</v>
      </c>
      <c r="B192" s="1">
        <v>11</v>
      </c>
      <c r="C192" s="1">
        <v>13</v>
      </c>
      <c r="D192" s="1">
        <v>15.6</v>
      </c>
      <c r="E192" s="1">
        <f t="shared" si="10"/>
        <v>167.7</v>
      </c>
      <c r="F192" s="1"/>
      <c r="G192" s="1" t="s">
        <v>12</v>
      </c>
      <c r="H192" s="1"/>
      <c r="I192" s="1"/>
      <c r="J192" s="1"/>
      <c r="T192">
        <f t="shared" si="11"/>
        <v>167.7</v>
      </c>
    </row>
    <row r="193" spans="1:20" x14ac:dyDescent="0.25">
      <c r="A193" s="1">
        <v>2024</v>
      </c>
      <c r="B193" s="1">
        <v>11</v>
      </c>
      <c r="C193" s="1">
        <v>13</v>
      </c>
      <c r="D193" s="1">
        <v>15.4</v>
      </c>
      <c r="E193" s="1">
        <f t="shared" si="10"/>
        <v>183.1</v>
      </c>
      <c r="F193" s="1"/>
      <c r="G193" s="1" t="s">
        <v>6</v>
      </c>
      <c r="H193" s="1"/>
      <c r="I193" s="1"/>
      <c r="J193" s="1"/>
      <c r="T193">
        <f t="shared" si="11"/>
        <v>183.1</v>
      </c>
    </row>
    <row r="194" spans="1:20" x14ac:dyDescent="0.25">
      <c r="A194">
        <v>2024</v>
      </c>
      <c r="B194" s="1">
        <v>11</v>
      </c>
      <c r="C194" s="1">
        <v>15</v>
      </c>
      <c r="D194" s="1">
        <v>30.3</v>
      </c>
      <c r="E194" s="1">
        <f t="shared" si="10"/>
        <v>213.4</v>
      </c>
      <c r="F194" s="1"/>
      <c r="G194" s="1" t="s">
        <v>5</v>
      </c>
      <c r="H194" s="1"/>
      <c r="I194" s="1"/>
      <c r="J194" s="1"/>
      <c r="T194">
        <f t="shared" si="11"/>
        <v>213.4</v>
      </c>
    </row>
    <row r="195" spans="1:20" x14ac:dyDescent="0.25">
      <c r="A195">
        <v>2024</v>
      </c>
      <c r="B195" s="1">
        <v>11</v>
      </c>
      <c r="C195" s="1">
        <v>17</v>
      </c>
      <c r="D195" s="1">
        <v>15.6</v>
      </c>
      <c r="E195" s="1">
        <f t="shared" si="10"/>
        <v>229</v>
      </c>
      <c r="F195" s="1"/>
      <c r="G195" s="1" t="s">
        <v>12</v>
      </c>
      <c r="H195" s="1"/>
      <c r="I195" s="1"/>
      <c r="J195" s="1"/>
      <c r="T195">
        <f t="shared" si="11"/>
        <v>229</v>
      </c>
    </row>
    <row r="196" spans="1:20" x14ac:dyDescent="0.25">
      <c r="A196">
        <v>2024</v>
      </c>
      <c r="B196" s="1">
        <v>11</v>
      </c>
      <c r="C196" s="1">
        <v>19</v>
      </c>
      <c r="D196" s="1">
        <v>16.7</v>
      </c>
      <c r="E196" s="1">
        <f t="shared" si="10"/>
        <v>245.7</v>
      </c>
      <c r="F196" s="1"/>
      <c r="G196" s="1" t="s">
        <v>6</v>
      </c>
      <c r="H196" s="1"/>
      <c r="I196" s="1"/>
      <c r="J196" s="1"/>
      <c r="T196">
        <f t="shared" si="11"/>
        <v>245.7</v>
      </c>
    </row>
    <row r="197" spans="1:20" x14ac:dyDescent="0.25">
      <c r="A197">
        <v>2024</v>
      </c>
      <c r="B197" s="1">
        <v>11</v>
      </c>
      <c r="C197" s="1">
        <v>20</v>
      </c>
      <c r="D197" s="1">
        <v>11.1</v>
      </c>
      <c r="E197" s="1">
        <f t="shared" si="10"/>
        <v>256.8</v>
      </c>
      <c r="F197" s="1"/>
      <c r="G197" s="1" t="s">
        <v>12</v>
      </c>
      <c r="H197" s="1"/>
      <c r="I197" s="1"/>
      <c r="J197" s="1"/>
      <c r="T197">
        <f t="shared" si="11"/>
        <v>256.8</v>
      </c>
    </row>
    <row r="198" spans="1:20" x14ac:dyDescent="0.25">
      <c r="A198" s="1">
        <v>2024</v>
      </c>
      <c r="B198" s="1">
        <v>11</v>
      </c>
      <c r="C198" s="1">
        <v>21</v>
      </c>
      <c r="D198" s="1">
        <v>15.8</v>
      </c>
      <c r="E198" s="1">
        <f t="shared" si="10"/>
        <v>272.60000000000002</v>
      </c>
      <c r="F198" s="1"/>
      <c r="G198" s="1" t="s">
        <v>12</v>
      </c>
      <c r="H198" s="1"/>
      <c r="I198" s="1"/>
      <c r="J198" s="1"/>
      <c r="T198">
        <f t="shared" si="11"/>
        <v>272.60000000000002</v>
      </c>
    </row>
    <row r="199" spans="1:20" x14ac:dyDescent="0.25">
      <c r="A199" s="1">
        <v>2024</v>
      </c>
      <c r="B199" s="1">
        <v>11</v>
      </c>
      <c r="C199" s="1">
        <v>23</v>
      </c>
      <c r="D199" s="1">
        <v>100</v>
      </c>
      <c r="E199" s="1">
        <f t="shared" si="10"/>
        <v>372.6</v>
      </c>
      <c r="F199" s="1"/>
      <c r="G199" s="1" t="s">
        <v>10</v>
      </c>
      <c r="H199" s="1"/>
      <c r="I199" s="1"/>
      <c r="J199" s="1"/>
      <c r="T199">
        <f t="shared" si="11"/>
        <v>372.6</v>
      </c>
    </row>
    <row r="200" spans="1:20" x14ac:dyDescent="0.25">
      <c r="A200" s="1">
        <v>2024</v>
      </c>
      <c r="B200" s="1">
        <v>11</v>
      </c>
      <c r="C200" s="1">
        <v>27</v>
      </c>
      <c r="D200" s="1">
        <v>70</v>
      </c>
      <c r="E200" s="1">
        <f t="shared" si="10"/>
        <v>442.6</v>
      </c>
      <c r="F200" s="1"/>
      <c r="G200" s="1" t="s">
        <v>10</v>
      </c>
      <c r="H200" s="1"/>
      <c r="I200" s="1"/>
      <c r="J200" s="1"/>
      <c r="T200">
        <f t="shared" si="11"/>
        <v>442.6</v>
      </c>
    </row>
    <row r="201" spans="1:20" x14ac:dyDescent="0.25">
      <c r="A201" s="1">
        <v>2024</v>
      </c>
      <c r="B201" s="1">
        <v>11</v>
      </c>
      <c r="C201" s="1">
        <v>28</v>
      </c>
      <c r="D201" s="1">
        <v>54.4</v>
      </c>
      <c r="E201" s="1">
        <f t="shared" si="10"/>
        <v>497</v>
      </c>
      <c r="F201" s="1"/>
      <c r="G201" s="1" t="s">
        <v>55</v>
      </c>
      <c r="H201" s="1"/>
      <c r="I201" s="1"/>
      <c r="J201" s="1"/>
      <c r="T201">
        <f t="shared" si="11"/>
        <v>497</v>
      </c>
    </row>
    <row r="202" spans="1:20" x14ac:dyDescent="0.25">
      <c r="A202" s="1">
        <v>2024</v>
      </c>
      <c r="B202" s="1">
        <v>11</v>
      </c>
      <c r="C202" s="1">
        <v>29</v>
      </c>
      <c r="D202" s="1">
        <v>70.2</v>
      </c>
      <c r="E202" s="1">
        <f t="shared" si="10"/>
        <v>567.20000000000005</v>
      </c>
      <c r="F202" s="1"/>
      <c r="G202" t="s">
        <v>10</v>
      </c>
      <c r="H202" s="1"/>
      <c r="I202" s="1"/>
      <c r="J202" s="1"/>
      <c r="T202">
        <f t="shared" si="11"/>
        <v>567.20000000000005</v>
      </c>
    </row>
    <row r="203" spans="1:20" x14ac:dyDescent="0.25">
      <c r="A203" s="1">
        <v>2024</v>
      </c>
      <c r="B203" s="1">
        <v>11</v>
      </c>
      <c r="C203" s="1">
        <v>29</v>
      </c>
      <c r="D203" s="1">
        <v>55</v>
      </c>
      <c r="E203" s="1">
        <f t="shared" si="10"/>
        <v>622.20000000000005</v>
      </c>
      <c r="F203" s="1"/>
      <c r="G203" s="1" t="s">
        <v>54</v>
      </c>
      <c r="H203" s="1"/>
      <c r="I203" s="1"/>
      <c r="J203" s="1"/>
      <c r="T203">
        <f t="shared" si="11"/>
        <v>622.20000000000005</v>
      </c>
    </row>
    <row r="204" spans="1:20" x14ac:dyDescent="0.25">
      <c r="A204" s="1">
        <v>2024</v>
      </c>
      <c r="B204" s="1">
        <v>11</v>
      </c>
      <c r="C204" s="1">
        <v>30</v>
      </c>
      <c r="D204" s="1">
        <v>29</v>
      </c>
      <c r="E204" s="1">
        <f t="shared" si="10"/>
        <v>651.20000000000005</v>
      </c>
      <c r="F204" s="1"/>
      <c r="G204" s="1" t="s">
        <v>5</v>
      </c>
      <c r="H204" s="1"/>
      <c r="I204" s="1"/>
      <c r="J204" s="1"/>
      <c r="T204">
        <f t="shared" si="11"/>
        <v>651.20000000000005</v>
      </c>
    </row>
    <row r="205" spans="1:20" x14ac:dyDescent="0.25">
      <c r="A205" s="1">
        <v>2024</v>
      </c>
      <c r="B205" s="1">
        <v>12</v>
      </c>
      <c r="C205" s="1">
        <v>1</v>
      </c>
      <c r="D205" s="1">
        <v>15.193</v>
      </c>
      <c r="E205" s="1">
        <f>D205</f>
        <v>15.193</v>
      </c>
      <c r="F205" s="1"/>
      <c r="G205" s="1" t="s">
        <v>12</v>
      </c>
      <c r="H205" s="1"/>
      <c r="I205" s="1"/>
      <c r="J205" s="1"/>
      <c r="T205">
        <f t="shared" si="11"/>
        <v>666.39300000000003</v>
      </c>
    </row>
    <row r="206" spans="1:20" x14ac:dyDescent="0.25">
      <c r="A206" s="3">
        <v>2024</v>
      </c>
      <c r="B206" s="1">
        <v>12</v>
      </c>
      <c r="C206" s="1">
        <v>3</v>
      </c>
      <c r="D206" s="1">
        <v>15.817</v>
      </c>
      <c r="E206" s="1">
        <f>E205+D206</f>
        <v>31.009999999999998</v>
      </c>
      <c r="F206" s="1"/>
      <c r="G206" s="1" t="s">
        <v>6</v>
      </c>
      <c r="H206" s="1"/>
      <c r="I206" s="1"/>
      <c r="J206" s="1"/>
      <c r="T206">
        <f t="shared" si="11"/>
        <v>682.21</v>
      </c>
    </row>
    <row r="207" spans="1:20" x14ac:dyDescent="0.25">
      <c r="A207" s="3">
        <v>2024</v>
      </c>
      <c r="B207" s="1">
        <v>12</v>
      </c>
      <c r="C207" s="1">
        <v>5</v>
      </c>
      <c r="D207" s="1">
        <v>15.029</v>
      </c>
      <c r="E207" s="1">
        <f t="shared" ref="E207:E226" si="12">E206+D207</f>
        <v>46.039000000000001</v>
      </c>
      <c r="F207" s="1"/>
      <c r="G207" s="1" t="s">
        <v>12</v>
      </c>
      <c r="H207" s="1"/>
      <c r="I207" s="1"/>
      <c r="J207" s="1"/>
      <c r="T207">
        <f t="shared" si="11"/>
        <v>697.23900000000003</v>
      </c>
    </row>
    <row r="208" spans="1:20" x14ac:dyDescent="0.25">
      <c r="A208" s="3">
        <v>2024</v>
      </c>
      <c r="B208" s="1">
        <v>12</v>
      </c>
      <c r="C208" s="1">
        <v>7</v>
      </c>
      <c r="D208" s="1">
        <v>15.779</v>
      </c>
      <c r="E208" s="1">
        <f t="shared" si="12"/>
        <v>61.817999999999998</v>
      </c>
      <c r="F208" s="1"/>
      <c r="G208" s="1" t="s">
        <v>6</v>
      </c>
      <c r="H208" s="1"/>
      <c r="I208" s="1"/>
      <c r="J208" s="1"/>
      <c r="T208">
        <f t="shared" si="11"/>
        <v>713.01800000000003</v>
      </c>
    </row>
    <row r="209" spans="1:20" x14ac:dyDescent="0.25">
      <c r="A209" s="3">
        <v>2024</v>
      </c>
      <c r="B209" s="1">
        <v>12</v>
      </c>
      <c r="C209" s="1">
        <v>9</v>
      </c>
      <c r="D209" s="1">
        <v>16.343</v>
      </c>
      <c r="E209" s="1">
        <f t="shared" si="12"/>
        <v>78.161000000000001</v>
      </c>
      <c r="F209" s="1"/>
      <c r="G209" s="1" t="s">
        <v>12</v>
      </c>
      <c r="H209" s="1"/>
      <c r="I209" s="1"/>
      <c r="J209" s="1"/>
      <c r="T209">
        <f t="shared" si="11"/>
        <v>729.36099999999999</v>
      </c>
    </row>
    <row r="210" spans="1:20" x14ac:dyDescent="0.25">
      <c r="A210" s="3">
        <v>2024</v>
      </c>
      <c r="B210" s="1">
        <v>12</v>
      </c>
      <c r="C210" s="1">
        <v>10</v>
      </c>
      <c r="D210" s="1">
        <v>1.6850000000000001</v>
      </c>
      <c r="E210" s="1">
        <f t="shared" si="12"/>
        <v>79.846000000000004</v>
      </c>
      <c r="F210" s="1"/>
      <c r="G210" s="1" t="s">
        <v>8</v>
      </c>
      <c r="H210" s="1"/>
      <c r="I210" s="1"/>
      <c r="J210" s="1"/>
      <c r="T210">
        <f t="shared" si="11"/>
        <v>731.04599999999994</v>
      </c>
    </row>
    <row r="211" spans="1:20" x14ac:dyDescent="0.25">
      <c r="A211" s="3">
        <v>2024</v>
      </c>
      <c r="B211" s="1">
        <v>12</v>
      </c>
      <c r="C211" s="1">
        <v>11</v>
      </c>
      <c r="D211" s="1">
        <v>13.804</v>
      </c>
      <c r="E211" s="1">
        <f t="shared" si="12"/>
        <v>93.65</v>
      </c>
      <c r="F211" s="1"/>
      <c r="G211" s="1" t="s">
        <v>6</v>
      </c>
      <c r="H211" s="1"/>
      <c r="I211" s="1"/>
      <c r="J211" s="1"/>
      <c r="T211">
        <f t="shared" si="11"/>
        <v>744.84999999999991</v>
      </c>
    </row>
    <row r="212" spans="1:20" x14ac:dyDescent="0.25">
      <c r="A212" s="3">
        <v>2024</v>
      </c>
      <c r="B212" s="1">
        <v>12</v>
      </c>
      <c r="C212" s="1">
        <v>11</v>
      </c>
      <c r="D212" s="1">
        <v>4.4950000000000001</v>
      </c>
      <c r="E212" s="1">
        <f t="shared" si="12"/>
        <v>98.14500000000001</v>
      </c>
      <c r="F212" s="1"/>
      <c r="G212" s="1" t="s">
        <v>8</v>
      </c>
      <c r="H212" s="1"/>
      <c r="I212" s="1"/>
      <c r="J212" s="1"/>
      <c r="T212">
        <f t="shared" si="11"/>
        <v>749.34499999999991</v>
      </c>
    </row>
    <row r="213" spans="1:20" x14ac:dyDescent="0.25">
      <c r="A213" s="3">
        <v>2024</v>
      </c>
      <c r="B213" s="1">
        <v>12</v>
      </c>
      <c r="C213" s="1">
        <v>12</v>
      </c>
      <c r="D213" s="1">
        <v>7.02</v>
      </c>
      <c r="E213" s="1">
        <f t="shared" si="12"/>
        <v>105.16500000000001</v>
      </c>
      <c r="F213" s="1"/>
      <c r="G213" s="1" t="s">
        <v>6</v>
      </c>
      <c r="H213" s="1"/>
      <c r="I213" s="1"/>
      <c r="J213" s="1"/>
      <c r="T213">
        <f t="shared" si="11"/>
        <v>756.3649999999999</v>
      </c>
    </row>
    <row r="214" spans="1:20" x14ac:dyDescent="0.25">
      <c r="A214" s="3">
        <v>2024</v>
      </c>
      <c r="B214" s="1">
        <v>12</v>
      </c>
      <c r="C214" s="1">
        <v>12</v>
      </c>
      <c r="D214" s="1">
        <v>7.5279999999999996</v>
      </c>
      <c r="E214" s="1">
        <f t="shared" si="12"/>
        <v>112.69300000000001</v>
      </c>
      <c r="F214" s="1"/>
      <c r="G214" s="1" t="s">
        <v>6</v>
      </c>
      <c r="H214" s="1"/>
      <c r="I214" s="1"/>
      <c r="J214" s="1"/>
      <c r="T214">
        <f t="shared" si="11"/>
        <v>763.89299999999992</v>
      </c>
    </row>
    <row r="215" spans="1:20" x14ac:dyDescent="0.25">
      <c r="A215" s="3">
        <v>2024</v>
      </c>
      <c r="B215" s="1">
        <v>12</v>
      </c>
      <c r="C215" s="1">
        <v>14</v>
      </c>
      <c r="D215" s="1">
        <v>1.371</v>
      </c>
      <c r="E215" s="1">
        <f t="shared" si="12"/>
        <v>114.06400000000001</v>
      </c>
      <c r="F215" s="1"/>
      <c r="G215" s="1" t="s">
        <v>6</v>
      </c>
      <c r="H215" s="1"/>
      <c r="I215" s="1"/>
      <c r="J215" s="1"/>
      <c r="T215">
        <f t="shared" si="11"/>
        <v>765.2639999999999</v>
      </c>
    </row>
    <row r="216" spans="1:20" x14ac:dyDescent="0.25">
      <c r="A216" s="3">
        <v>2024</v>
      </c>
      <c r="B216" s="1">
        <v>12</v>
      </c>
      <c r="C216" s="1">
        <v>14</v>
      </c>
      <c r="D216" s="1">
        <v>15.817</v>
      </c>
      <c r="E216" s="1">
        <f t="shared" si="12"/>
        <v>129.881</v>
      </c>
      <c r="F216" s="1"/>
      <c r="G216" s="1" t="s">
        <v>12</v>
      </c>
      <c r="H216" s="1"/>
      <c r="I216" s="1"/>
      <c r="J216" s="1"/>
      <c r="T216">
        <f t="shared" si="11"/>
        <v>781.0809999999999</v>
      </c>
    </row>
    <row r="217" spans="1:20" x14ac:dyDescent="0.25">
      <c r="A217" s="3">
        <v>2024</v>
      </c>
      <c r="B217" s="1">
        <v>12</v>
      </c>
      <c r="C217" s="1">
        <v>15</v>
      </c>
      <c r="D217" s="1">
        <v>9.5449999999999999</v>
      </c>
      <c r="E217" s="1">
        <f t="shared" si="12"/>
        <v>139.42599999999999</v>
      </c>
      <c r="F217" s="1"/>
      <c r="G217" s="1" t="s">
        <v>6</v>
      </c>
      <c r="H217" s="1"/>
      <c r="I217" s="1"/>
      <c r="J217" s="1"/>
      <c r="T217">
        <f t="shared" si="11"/>
        <v>790.62599999999986</v>
      </c>
    </row>
    <row r="218" spans="1:20" x14ac:dyDescent="0.25">
      <c r="A218" s="3">
        <v>2024</v>
      </c>
      <c r="B218" s="1">
        <v>12</v>
      </c>
      <c r="C218" s="1">
        <v>16</v>
      </c>
      <c r="D218" s="1">
        <v>16.722000000000001</v>
      </c>
      <c r="E218" s="1">
        <f t="shared" si="12"/>
        <v>156.148</v>
      </c>
      <c r="F218" s="1"/>
      <c r="G218" s="1" t="s">
        <v>12</v>
      </c>
      <c r="H218" s="1"/>
      <c r="I218" s="1"/>
      <c r="J218" s="1"/>
      <c r="T218">
        <f t="shared" si="11"/>
        <v>807.34799999999984</v>
      </c>
    </row>
    <row r="219" spans="1:20" x14ac:dyDescent="0.25">
      <c r="A219" s="3">
        <v>2024</v>
      </c>
      <c r="B219" s="1">
        <v>12</v>
      </c>
      <c r="C219" s="1">
        <v>19</v>
      </c>
      <c r="D219" s="1">
        <v>16.661000000000001</v>
      </c>
      <c r="E219" s="1">
        <f t="shared" si="12"/>
        <v>172.809</v>
      </c>
      <c r="F219" s="1"/>
      <c r="G219" s="1" t="s">
        <v>6</v>
      </c>
      <c r="H219" s="1"/>
      <c r="I219" s="1"/>
      <c r="J219" s="1"/>
      <c r="T219">
        <f t="shared" si="11"/>
        <v>824.00899999999979</v>
      </c>
    </row>
    <row r="220" spans="1:20" x14ac:dyDescent="0.25">
      <c r="A220" s="3">
        <v>2024</v>
      </c>
      <c r="B220" s="1">
        <v>12</v>
      </c>
      <c r="C220" s="1">
        <v>19</v>
      </c>
      <c r="D220" s="1">
        <v>12.664</v>
      </c>
      <c r="E220" s="1">
        <f t="shared" si="12"/>
        <v>185.47299999999998</v>
      </c>
      <c r="F220" s="1"/>
      <c r="G220" s="1" t="s">
        <v>6</v>
      </c>
      <c r="H220" s="1"/>
      <c r="I220" s="1"/>
      <c r="J220" s="1"/>
      <c r="T220">
        <f t="shared" si="11"/>
        <v>836.67299999999977</v>
      </c>
    </row>
    <row r="221" spans="1:20" x14ac:dyDescent="0.25">
      <c r="A221" s="3">
        <v>2024</v>
      </c>
      <c r="B221" s="1">
        <v>12</v>
      </c>
      <c r="C221" s="1">
        <v>20</v>
      </c>
      <c r="D221" s="1">
        <v>16.343</v>
      </c>
      <c r="E221" s="1">
        <f t="shared" si="12"/>
        <v>201.81599999999997</v>
      </c>
      <c r="F221" s="1"/>
      <c r="G221" s="1" t="s">
        <v>12</v>
      </c>
      <c r="H221" s="1"/>
      <c r="I221" s="1"/>
      <c r="J221" s="1"/>
      <c r="T221">
        <f t="shared" si="11"/>
        <v>853.01599999999974</v>
      </c>
    </row>
    <row r="222" spans="1:20" x14ac:dyDescent="0.25">
      <c r="A222" s="3">
        <v>2024</v>
      </c>
      <c r="B222" s="1">
        <v>12</v>
      </c>
      <c r="C222" s="1">
        <v>22</v>
      </c>
      <c r="D222" s="1">
        <v>71.081000000000003</v>
      </c>
      <c r="E222" s="1">
        <f t="shared" si="12"/>
        <v>272.89699999999999</v>
      </c>
      <c r="F222" s="1"/>
      <c r="G222" s="1" t="s">
        <v>54</v>
      </c>
      <c r="H222" s="1"/>
      <c r="I222" s="1"/>
      <c r="J222" s="1"/>
      <c r="T222">
        <f t="shared" si="11"/>
        <v>924.09699999999975</v>
      </c>
    </row>
    <row r="223" spans="1:20" x14ac:dyDescent="0.25">
      <c r="A223" s="3">
        <v>2024</v>
      </c>
      <c r="B223" s="1">
        <v>12</v>
      </c>
      <c r="C223" s="1">
        <v>24</v>
      </c>
      <c r="D223" s="1">
        <v>16.443000000000001</v>
      </c>
      <c r="E223" s="1">
        <f t="shared" si="12"/>
        <v>289.33999999999997</v>
      </c>
      <c r="F223" s="1"/>
      <c r="G223" s="1" t="s">
        <v>12</v>
      </c>
      <c r="H223" s="1"/>
      <c r="I223" s="1"/>
      <c r="J223" s="1"/>
      <c r="T223">
        <f t="shared" si="11"/>
        <v>940.53999999999974</v>
      </c>
    </row>
    <row r="224" spans="1:20" x14ac:dyDescent="0.25">
      <c r="A224" s="3">
        <v>2024</v>
      </c>
      <c r="B224" s="1">
        <v>12</v>
      </c>
      <c r="C224" s="1">
        <v>24</v>
      </c>
      <c r="D224" s="1">
        <v>16.707000000000001</v>
      </c>
      <c r="E224" s="1">
        <f t="shared" si="12"/>
        <v>306.04699999999997</v>
      </c>
      <c r="F224" s="1"/>
      <c r="G224" s="1" t="s">
        <v>6</v>
      </c>
      <c r="H224" s="1"/>
      <c r="I224" s="1"/>
      <c r="J224" s="1"/>
      <c r="T224">
        <f t="shared" si="11"/>
        <v>957.24699999999973</v>
      </c>
    </row>
    <row r="225" spans="1:20" x14ac:dyDescent="0.25">
      <c r="A225" s="3">
        <v>2024</v>
      </c>
      <c r="B225" s="1">
        <v>12</v>
      </c>
      <c r="C225" s="1">
        <v>26</v>
      </c>
      <c r="D225" s="1">
        <v>27.899000000000001</v>
      </c>
      <c r="E225" s="1">
        <f t="shared" si="12"/>
        <v>333.94599999999997</v>
      </c>
      <c r="F225" s="1"/>
      <c r="G225" s="1" t="s">
        <v>36</v>
      </c>
      <c r="H225" s="1"/>
      <c r="I225" s="1"/>
      <c r="J225" s="1"/>
      <c r="T225">
        <f t="shared" si="11"/>
        <v>985.14599999999973</v>
      </c>
    </row>
    <row r="226" spans="1:20" x14ac:dyDescent="0.25">
      <c r="A226" s="3">
        <v>2024</v>
      </c>
      <c r="B226" s="1">
        <v>12</v>
      </c>
      <c r="C226" s="1">
        <v>26</v>
      </c>
      <c r="D226" s="1">
        <v>16.722000000000001</v>
      </c>
      <c r="E226" s="1">
        <f t="shared" si="12"/>
        <v>350.66799999999995</v>
      </c>
      <c r="F226" s="1"/>
      <c r="G226" s="1" t="s">
        <v>12</v>
      </c>
      <c r="H226" s="1"/>
      <c r="I226" s="1"/>
      <c r="J226" s="1"/>
      <c r="T226">
        <f t="shared" si="11"/>
        <v>1001.8679999999997</v>
      </c>
    </row>
    <row r="227" spans="1:20" x14ac:dyDescent="0.25">
      <c r="A227">
        <v>2025</v>
      </c>
      <c r="B227" s="1">
        <v>1</v>
      </c>
      <c r="C227" s="1">
        <v>3</v>
      </c>
      <c r="D227" s="1">
        <v>15.8</v>
      </c>
      <c r="E227" s="1">
        <f>D227</f>
        <v>15.8</v>
      </c>
      <c r="F227" s="1"/>
      <c r="G227" s="1" t="s">
        <v>12</v>
      </c>
      <c r="H227" s="1"/>
      <c r="I227" s="1"/>
      <c r="J227" s="1"/>
      <c r="T227">
        <f t="shared" si="11"/>
        <v>1017.6679999999997</v>
      </c>
    </row>
    <row r="228" spans="1:20" x14ac:dyDescent="0.25">
      <c r="A228">
        <v>2025</v>
      </c>
      <c r="B228" s="1">
        <v>1</v>
      </c>
      <c r="C228" s="1">
        <v>6</v>
      </c>
      <c r="D228" s="1">
        <v>39.9</v>
      </c>
      <c r="E228" s="1">
        <f>E227+D228</f>
        <v>55.7</v>
      </c>
      <c r="F228" s="1"/>
      <c r="G228" s="1" t="s">
        <v>5</v>
      </c>
      <c r="H228" s="1"/>
      <c r="I228" s="1"/>
      <c r="J228" s="1"/>
      <c r="T228">
        <f t="shared" si="11"/>
        <v>1057.5679999999998</v>
      </c>
    </row>
    <row r="229" spans="1:20" x14ac:dyDescent="0.25">
      <c r="A229">
        <v>2025</v>
      </c>
      <c r="B229" s="1">
        <v>1</v>
      </c>
      <c r="C229" s="1">
        <v>6</v>
      </c>
      <c r="D229" s="1">
        <v>16.7</v>
      </c>
      <c r="E229" s="1">
        <f t="shared" ref="E229:E246" si="13">E228+D229</f>
        <v>72.400000000000006</v>
      </c>
      <c r="F229" s="1"/>
      <c r="G229" s="1" t="s">
        <v>12</v>
      </c>
      <c r="H229" s="1"/>
      <c r="I229" s="1"/>
      <c r="J229" s="1"/>
      <c r="T229">
        <f t="shared" si="11"/>
        <v>1074.2679999999998</v>
      </c>
    </row>
    <row r="230" spans="1:20" x14ac:dyDescent="0.25">
      <c r="A230">
        <v>2025</v>
      </c>
      <c r="B230" s="1">
        <v>1</v>
      </c>
      <c r="C230" s="1">
        <v>7</v>
      </c>
      <c r="D230" s="1">
        <v>16.7</v>
      </c>
      <c r="E230">
        <f t="shared" si="13"/>
        <v>89.100000000000009</v>
      </c>
      <c r="F230" s="1"/>
      <c r="G230" s="1" t="s">
        <v>12</v>
      </c>
      <c r="H230" s="1"/>
      <c r="I230" s="1"/>
      <c r="J230" s="1"/>
      <c r="T230">
        <f t="shared" si="11"/>
        <v>1090.9679999999998</v>
      </c>
    </row>
    <row r="231" spans="1:20" x14ac:dyDescent="0.25">
      <c r="A231">
        <v>2025</v>
      </c>
      <c r="B231" s="1">
        <v>1</v>
      </c>
      <c r="C231" s="1">
        <v>9</v>
      </c>
      <c r="D231" s="1">
        <v>40.1</v>
      </c>
      <c r="E231">
        <f t="shared" si="13"/>
        <v>129.20000000000002</v>
      </c>
      <c r="F231" s="1" t="s">
        <v>30</v>
      </c>
      <c r="G231" t="s">
        <v>31</v>
      </c>
      <c r="H231" s="1"/>
      <c r="I231" s="1"/>
      <c r="J231" s="1"/>
      <c r="T231">
        <f t="shared" si="11"/>
        <v>1131.0679999999998</v>
      </c>
    </row>
    <row r="232" spans="1:20" x14ac:dyDescent="0.25">
      <c r="A232">
        <v>2025</v>
      </c>
      <c r="B232" s="1">
        <v>1</v>
      </c>
      <c r="C232" s="1">
        <v>11</v>
      </c>
      <c r="D232" s="1">
        <v>15.6</v>
      </c>
      <c r="E232">
        <f t="shared" si="13"/>
        <v>144.80000000000001</v>
      </c>
      <c r="F232" s="1"/>
      <c r="G232" s="1" t="s">
        <v>12</v>
      </c>
      <c r="H232" s="1"/>
      <c r="I232" s="1"/>
      <c r="J232" s="1"/>
      <c r="T232">
        <f t="shared" si="11"/>
        <v>1146.6679999999997</v>
      </c>
    </row>
    <row r="233" spans="1:20" x14ac:dyDescent="0.25">
      <c r="A233">
        <v>2025</v>
      </c>
      <c r="B233" s="1">
        <v>1</v>
      </c>
      <c r="C233" s="1">
        <v>12</v>
      </c>
      <c r="D233" s="1">
        <v>100</v>
      </c>
      <c r="E233">
        <f t="shared" si="13"/>
        <v>244.8</v>
      </c>
      <c r="F233" s="1"/>
      <c r="G233" t="s">
        <v>24</v>
      </c>
      <c r="H233" s="1"/>
      <c r="I233" s="1"/>
      <c r="J233" s="1"/>
      <c r="T233">
        <f t="shared" si="11"/>
        <v>1246.6679999999997</v>
      </c>
    </row>
    <row r="234" spans="1:20" x14ac:dyDescent="0.25">
      <c r="A234">
        <v>2025</v>
      </c>
      <c r="B234" s="1">
        <v>1</v>
      </c>
      <c r="C234" s="1">
        <v>15</v>
      </c>
      <c r="D234" s="1">
        <v>109.8</v>
      </c>
      <c r="E234">
        <f t="shared" si="13"/>
        <v>354.6</v>
      </c>
      <c r="F234" s="1" t="s">
        <v>30</v>
      </c>
      <c r="G234" t="s">
        <v>31</v>
      </c>
      <c r="H234" s="1"/>
      <c r="I234" s="1"/>
      <c r="J234" s="1"/>
      <c r="T234">
        <f t="shared" si="11"/>
        <v>1356.4679999999996</v>
      </c>
    </row>
    <row r="235" spans="1:20" x14ac:dyDescent="0.25">
      <c r="A235">
        <v>2025</v>
      </c>
      <c r="B235" s="1">
        <v>1</v>
      </c>
      <c r="C235" s="1">
        <v>15</v>
      </c>
      <c r="D235" s="1">
        <v>120</v>
      </c>
      <c r="E235">
        <f t="shared" si="13"/>
        <v>474.6</v>
      </c>
      <c r="F235" s="1"/>
      <c r="G235" t="s">
        <v>24</v>
      </c>
      <c r="H235" s="1"/>
      <c r="I235" s="1"/>
      <c r="J235" s="1"/>
      <c r="T235">
        <f t="shared" si="11"/>
        <v>1476.4679999999996</v>
      </c>
    </row>
    <row r="236" spans="1:20" x14ac:dyDescent="0.25">
      <c r="A236">
        <v>2025</v>
      </c>
      <c r="B236" s="1">
        <v>1</v>
      </c>
      <c r="C236" s="1">
        <v>16</v>
      </c>
      <c r="D236" s="1">
        <v>6</v>
      </c>
      <c r="E236">
        <f t="shared" si="13"/>
        <v>480.6</v>
      </c>
      <c r="F236" s="1"/>
      <c r="G236" s="1" t="s">
        <v>12</v>
      </c>
      <c r="H236" s="1"/>
      <c r="I236" s="1"/>
      <c r="J236" s="1"/>
      <c r="T236">
        <f t="shared" si="11"/>
        <v>1482.4679999999996</v>
      </c>
    </row>
    <row r="237" spans="1:20" x14ac:dyDescent="0.25">
      <c r="A237">
        <v>2025</v>
      </c>
      <c r="B237" s="1">
        <v>1</v>
      </c>
      <c r="C237" s="1">
        <v>16</v>
      </c>
      <c r="D237" s="1">
        <v>60</v>
      </c>
      <c r="E237">
        <f t="shared" si="13"/>
        <v>540.6</v>
      </c>
      <c r="F237" s="1"/>
      <c r="G237" s="1" t="s">
        <v>54</v>
      </c>
      <c r="H237" s="1"/>
      <c r="I237" s="1"/>
      <c r="J237" s="1"/>
      <c r="T237">
        <f t="shared" si="11"/>
        <v>1542.4679999999996</v>
      </c>
    </row>
    <row r="238" spans="1:20" x14ac:dyDescent="0.25">
      <c r="A238">
        <v>2025</v>
      </c>
      <c r="B238" s="1">
        <v>1</v>
      </c>
      <c r="C238" s="1">
        <v>19</v>
      </c>
      <c r="D238" s="1">
        <v>15.7</v>
      </c>
      <c r="E238">
        <f t="shared" si="13"/>
        <v>556.30000000000007</v>
      </c>
      <c r="F238" s="1"/>
      <c r="G238" s="1" t="s">
        <v>12</v>
      </c>
      <c r="H238" s="1"/>
      <c r="I238" s="1"/>
      <c r="J238" s="1"/>
      <c r="T238">
        <f t="shared" si="11"/>
        <v>1558.1679999999997</v>
      </c>
    </row>
    <row r="239" spans="1:20" x14ac:dyDescent="0.25">
      <c r="A239">
        <v>2025</v>
      </c>
      <c r="B239" s="1">
        <v>1</v>
      </c>
      <c r="C239" s="1">
        <v>20</v>
      </c>
      <c r="D239" s="1">
        <v>38.700000000000003</v>
      </c>
      <c r="E239">
        <f t="shared" si="13"/>
        <v>595.00000000000011</v>
      </c>
      <c r="F239" s="1"/>
      <c r="G239" s="1" t="s">
        <v>5</v>
      </c>
      <c r="H239" s="1"/>
      <c r="I239" s="1"/>
      <c r="J239" s="1"/>
      <c r="T239">
        <f t="shared" si="11"/>
        <v>1596.8679999999997</v>
      </c>
    </row>
    <row r="240" spans="1:20" x14ac:dyDescent="0.25">
      <c r="A240">
        <v>2025</v>
      </c>
      <c r="B240" s="1">
        <v>1</v>
      </c>
      <c r="C240" s="1">
        <v>21</v>
      </c>
      <c r="D240" s="1">
        <v>17</v>
      </c>
      <c r="E240">
        <f t="shared" si="13"/>
        <v>612.00000000000011</v>
      </c>
      <c r="F240" s="1"/>
      <c r="G240" s="1" t="s">
        <v>12</v>
      </c>
      <c r="H240" s="1"/>
      <c r="I240" s="1"/>
      <c r="J240" s="1"/>
      <c r="T240">
        <f t="shared" si="11"/>
        <v>1613.8679999999997</v>
      </c>
    </row>
    <row r="241" spans="1:20" x14ac:dyDescent="0.25">
      <c r="A241">
        <v>2025</v>
      </c>
      <c r="B241" s="1">
        <v>1</v>
      </c>
      <c r="C241" s="1">
        <v>22</v>
      </c>
      <c r="D241" s="1">
        <v>116.5</v>
      </c>
      <c r="E241" s="1">
        <f t="shared" si="13"/>
        <v>728.50000000000011</v>
      </c>
      <c r="F241" s="1"/>
      <c r="G241" t="s">
        <v>24</v>
      </c>
      <c r="H241" s="1"/>
      <c r="I241" s="1"/>
      <c r="J241" s="1"/>
      <c r="T241">
        <f t="shared" si="11"/>
        <v>1730.3679999999997</v>
      </c>
    </row>
    <row r="242" spans="1:20" x14ac:dyDescent="0.25">
      <c r="A242">
        <v>2025</v>
      </c>
      <c r="B242" s="1">
        <v>1</v>
      </c>
      <c r="C242" s="1">
        <v>24</v>
      </c>
      <c r="D242" s="1">
        <v>80</v>
      </c>
      <c r="E242" s="1">
        <f t="shared" si="13"/>
        <v>808.50000000000011</v>
      </c>
      <c r="F242" s="1"/>
      <c r="G242" s="1" t="s">
        <v>58</v>
      </c>
      <c r="H242" s="1"/>
      <c r="I242" s="1"/>
      <c r="J242" s="1"/>
      <c r="T242">
        <f t="shared" si="11"/>
        <v>1810.3679999999997</v>
      </c>
    </row>
    <row r="243" spans="1:20" x14ac:dyDescent="0.25">
      <c r="A243">
        <v>2025</v>
      </c>
      <c r="B243" s="1">
        <v>1</v>
      </c>
      <c r="C243" s="1">
        <v>24</v>
      </c>
      <c r="D243" s="1">
        <v>15.8</v>
      </c>
      <c r="E243" s="1">
        <f t="shared" si="13"/>
        <v>824.30000000000007</v>
      </c>
      <c r="F243" s="1"/>
      <c r="G243" s="1" t="s">
        <v>12</v>
      </c>
      <c r="H243" s="1"/>
      <c r="I243" s="1"/>
      <c r="J243" s="1"/>
      <c r="T243">
        <f t="shared" si="11"/>
        <v>1826.1679999999997</v>
      </c>
    </row>
    <row r="244" spans="1:20" x14ac:dyDescent="0.25">
      <c r="A244">
        <v>2025</v>
      </c>
      <c r="B244" s="1">
        <v>1</v>
      </c>
      <c r="C244" s="1">
        <v>27</v>
      </c>
      <c r="D244" s="1">
        <v>80</v>
      </c>
      <c r="E244" s="1">
        <f t="shared" si="13"/>
        <v>904.30000000000007</v>
      </c>
      <c r="F244" s="1" t="s">
        <v>59</v>
      </c>
      <c r="G244" t="s">
        <v>31</v>
      </c>
      <c r="H244" s="1"/>
      <c r="I244" s="1"/>
      <c r="J244" s="1"/>
      <c r="T244">
        <f t="shared" si="11"/>
        <v>1906.1679999999997</v>
      </c>
    </row>
    <row r="245" spans="1:20" x14ac:dyDescent="0.25">
      <c r="A245">
        <v>2025</v>
      </c>
      <c r="B245" s="1">
        <v>1</v>
      </c>
      <c r="C245" s="1">
        <v>28</v>
      </c>
      <c r="D245" s="1">
        <v>140</v>
      </c>
      <c r="E245" s="1">
        <f t="shared" si="13"/>
        <v>1044.3000000000002</v>
      </c>
      <c r="F245" s="1"/>
      <c r="G245" t="s">
        <v>24</v>
      </c>
      <c r="H245" s="1"/>
      <c r="I245" s="1"/>
      <c r="J245" s="1"/>
      <c r="T245">
        <f t="shared" si="11"/>
        <v>2046.1679999999997</v>
      </c>
    </row>
    <row r="246" spans="1:20" x14ac:dyDescent="0.25">
      <c r="A246">
        <v>2025</v>
      </c>
      <c r="B246" s="1">
        <v>1</v>
      </c>
      <c r="C246" s="1">
        <v>29</v>
      </c>
      <c r="D246" s="1">
        <v>16.7</v>
      </c>
      <c r="E246" s="1">
        <f t="shared" si="13"/>
        <v>1061.0000000000002</v>
      </c>
      <c r="F246" s="1"/>
      <c r="G246" s="1" t="s">
        <v>12</v>
      </c>
      <c r="H246" s="1"/>
      <c r="I246" s="1"/>
      <c r="J246" s="1"/>
      <c r="T246">
        <f t="shared" si="11"/>
        <v>2062.8679999999995</v>
      </c>
    </row>
    <row r="247" spans="1:20" x14ac:dyDescent="0.25">
      <c r="A247">
        <v>2025</v>
      </c>
      <c r="B247">
        <v>2</v>
      </c>
      <c r="C247" s="13">
        <v>2</v>
      </c>
      <c r="D247">
        <v>70</v>
      </c>
      <c r="E247" s="1">
        <f>D247</f>
        <v>70</v>
      </c>
      <c r="F247" s="1"/>
      <c r="G247" s="14" t="s">
        <v>5</v>
      </c>
      <c r="H247" s="14" t="s">
        <v>101</v>
      </c>
      <c r="I247" s="1"/>
      <c r="J247" s="1"/>
      <c r="T247">
        <f t="shared" si="11"/>
        <v>2132.8679999999995</v>
      </c>
    </row>
    <row r="248" spans="1:20" x14ac:dyDescent="0.25">
      <c r="A248">
        <v>2025</v>
      </c>
      <c r="B248">
        <v>2</v>
      </c>
      <c r="C248" s="13">
        <v>4</v>
      </c>
      <c r="D248">
        <v>16.600000000000001</v>
      </c>
      <c r="E248" s="1">
        <f>D248+E247</f>
        <v>86.6</v>
      </c>
      <c r="F248" s="1"/>
      <c r="G248" s="14" t="s">
        <v>12</v>
      </c>
      <c r="H248" s="14" t="s">
        <v>102</v>
      </c>
      <c r="I248" s="1"/>
      <c r="J248" s="1"/>
      <c r="T248">
        <f t="shared" si="11"/>
        <v>2149.4679999999994</v>
      </c>
    </row>
    <row r="249" spans="1:20" x14ac:dyDescent="0.25">
      <c r="A249">
        <v>2025</v>
      </c>
      <c r="B249">
        <v>2</v>
      </c>
      <c r="C249" s="13">
        <v>4</v>
      </c>
      <c r="D249">
        <v>6</v>
      </c>
      <c r="E249" s="1">
        <f t="shared" ref="E249:E265" si="14">D249+E248</f>
        <v>92.6</v>
      </c>
      <c r="F249" s="1"/>
      <c r="G249" s="14" t="s">
        <v>12</v>
      </c>
      <c r="H249" s="14" t="s">
        <v>103</v>
      </c>
      <c r="I249" s="1"/>
      <c r="J249" s="1"/>
      <c r="T249">
        <f t="shared" si="11"/>
        <v>2155.4679999999994</v>
      </c>
    </row>
    <row r="250" spans="1:20" x14ac:dyDescent="0.25">
      <c r="A250">
        <v>2025</v>
      </c>
      <c r="B250">
        <v>2</v>
      </c>
      <c r="C250" s="13">
        <v>5</v>
      </c>
      <c r="D250">
        <v>14.8</v>
      </c>
      <c r="E250" s="1">
        <f t="shared" si="14"/>
        <v>107.39999999999999</v>
      </c>
      <c r="F250" s="1"/>
      <c r="G250" s="14" t="s">
        <v>8</v>
      </c>
      <c r="H250" s="14" t="s">
        <v>110</v>
      </c>
      <c r="I250" s="1"/>
      <c r="J250" s="1"/>
      <c r="T250">
        <f t="shared" si="11"/>
        <v>2170.2679999999996</v>
      </c>
    </row>
    <row r="251" spans="1:20" x14ac:dyDescent="0.25">
      <c r="A251">
        <v>2025</v>
      </c>
      <c r="B251">
        <v>2</v>
      </c>
      <c r="C251" s="13">
        <v>8</v>
      </c>
      <c r="D251">
        <v>110</v>
      </c>
      <c r="E251" s="1">
        <f t="shared" si="14"/>
        <v>217.39999999999998</v>
      </c>
      <c r="F251" s="1"/>
      <c r="G251" s="14" t="s">
        <v>108</v>
      </c>
      <c r="H251" s="14" t="s">
        <v>64</v>
      </c>
      <c r="I251" s="1"/>
      <c r="J251" s="1"/>
      <c r="T251">
        <f t="shared" si="11"/>
        <v>2280.2679999999996</v>
      </c>
    </row>
    <row r="252" spans="1:20" x14ac:dyDescent="0.25">
      <c r="A252">
        <v>2025</v>
      </c>
      <c r="B252">
        <v>2</v>
      </c>
      <c r="C252" s="13">
        <v>8</v>
      </c>
      <c r="D252" s="13">
        <v>-90</v>
      </c>
      <c r="E252" s="1">
        <f t="shared" si="14"/>
        <v>127.39999999999998</v>
      </c>
      <c r="F252" s="1"/>
      <c r="G252" s="14" t="s">
        <v>130</v>
      </c>
      <c r="H252" s="14" t="s">
        <v>101</v>
      </c>
      <c r="I252" s="1"/>
      <c r="J252" s="1"/>
      <c r="T252">
        <f t="shared" ref="T252:T286" si="15">T251+D252</f>
        <v>2190.2679999999996</v>
      </c>
    </row>
    <row r="253" spans="1:20" x14ac:dyDescent="0.25">
      <c r="A253">
        <v>2025</v>
      </c>
      <c r="B253">
        <v>2</v>
      </c>
      <c r="C253" s="13">
        <v>10</v>
      </c>
      <c r="D253">
        <v>15.3</v>
      </c>
      <c r="E253" s="1">
        <f t="shared" si="14"/>
        <v>142.69999999999999</v>
      </c>
      <c r="F253" s="1"/>
      <c r="G253" s="14" t="s">
        <v>12</v>
      </c>
      <c r="H253" s="14" t="s">
        <v>104</v>
      </c>
      <c r="I253" s="1"/>
      <c r="J253" s="1"/>
      <c r="T253">
        <f t="shared" si="15"/>
        <v>2205.5679999999998</v>
      </c>
    </row>
    <row r="254" spans="1:20" x14ac:dyDescent="0.25">
      <c r="A254">
        <v>2025</v>
      </c>
      <c r="B254">
        <v>2</v>
      </c>
      <c r="C254" s="13">
        <v>10</v>
      </c>
      <c r="D254">
        <v>110</v>
      </c>
      <c r="E254" s="1">
        <f t="shared" si="14"/>
        <v>252.7</v>
      </c>
      <c r="F254" s="1"/>
      <c r="G254" s="14" t="s">
        <v>108</v>
      </c>
      <c r="H254" s="14" t="s">
        <v>68</v>
      </c>
      <c r="I254" s="1"/>
      <c r="J254" s="1"/>
      <c r="T254">
        <f t="shared" si="15"/>
        <v>2315.5679999999998</v>
      </c>
    </row>
    <row r="255" spans="1:20" x14ac:dyDescent="0.25">
      <c r="A255">
        <v>2025</v>
      </c>
      <c r="B255">
        <v>2</v>
      </c>
      <c r="C255" s="13">
        <v>12</v>
      </c>
      <c r="D255">
        <v>16.7</v>
      </c>
      <c r="E255" s="1">
        <f t="shared" si="14"/>
        <v>269.39999999999998</v>
      </c>
      <c r="F255" s="1"/>
      <c r="G255" s="14" t="s">
        <v>12</v>
      </c>
      <c r="H255" s="14" t="s">
        <v>111</v>
      </c>
      <c r="I255" s="1"/>
      <c r="J255" s="1"/>
      <c r="T255">
        <f t="shared" si="15"/>
        <v>2332.2679999999996</v>
      </c>
    </row>
    <row r="256" spans="1:20" x14ac:dyDescent="0.25">
      <c r="A256">
        <v>2025</v>
      </c>
      <c r="B256">
        <v>2</v>
      </c>
      <c r="C256" s="13">
        <v>13</v>
      </c>
      <c r="D256">
        <v>16.7</v>
      </c>
      <c r="E256" s="1">
        <f t="shared" si="14"/>
        <v>286.09999999999997</v>
      </c>
      <c r="F256" s="1"/>
      <c r="G256" s="14" t="s">
        <v>12</v>
      </c>
      <c r="H256" s="14" t="s">
        <v>105</v>
      </c>
      <c r="I256" s="1"/>
      <c r="J256" s="1"/>
      <c r="T256">
        <f t="shared" si="15"/>
        <v>2348.9679999999994</v>
      </c>
    </row>
    <row r="257" spans="1:20" x14ac:dyDescent="0.25">
      <c r="A257">
        <v>2025</v>
      </c>
      <c r="B257">
        <v>2</v>
      </c>
      <c r="C257" s="13">
        <v>13</v>
      </c>
      <c r="D257" s="1">
        <v>14.2</v>
      </c>
      <c r="E257" s="1">
        <f t="shared" si="14"/>
        <v>300.29999999999995</v>
      </c>
      <c r="F257" s="1"/>
      <c r="G257" s="14" t="s">
        <v>36</v>
      </c>
      <c r="H257" s="14" t="s">
        <v>112</v>
      </c>
      <c r="I257" s="1"/>
      <c r="J257" s="1"/>
      <c r="T257">
        <f t="shared" si="15"/>
        <v>2363.1679999999992</v>
      </c>
    </row>
    <row r="258" spans="1:20" x14ac:dyDescent="0.25">
      <c r="A258">
        <v>2025</v>
      </c>
      <c r="B258">
        <v>2</v>
      </c>
      <c r="C258" s="13">
        <v>17</v>
      </c>
      <c r="D258" s="1">
        <v>16.100000000000001</v>
      </c>
      <c r="E258" s="1">
        <f t="shared" si="14"/>
        <v>316.39999999999998</v>
      </c>
      <c r="F258" s="1"/>
      <c r="G258" s="14" t="s">
        <v>12</v>
      </c>
      <c r="H258" s="14" t="s">
        <v>106</v>
      </c>
      <c r="I258" s="1"/>
      <c r="J258" s="1"/>
      <c r="T258">
        <f t="shared" si="15"/>
        <v>2379.2679999999991</v>
      </c>
    </row>
    <row r="259" spans="1:20" x14ac:dyDescent="0.25">
      <c r="A259">
        <v>2025</v>
      </c>
      <c r="B259">
        <v>2</v>
      </c>
      <c r="C259" s="13">
        <v>18</v>
      </c>
      <c r="D259" s="1">
        <v>16.7</v>
      </c>
      <c r="E259" s="1">
        <f t="shared" si="14"/>
        <v>333.09999999999997</v>
      </c>
      <c r="F259" s="1"/>
      <c r="G259" s="14" t="s">
        <v>12</v>
      </c>
      <c r="H259" s="14" t="s">
        <v>113</v>
      </c>
      <c r="I259" s="1"/>
      <c r="J259" s="1"/>
      <c r="T259">
        <f t="shared" si="15"/>
        <v>2395.9679999999989</v>
      </c>
    </row>
    <row r="260" spans="1:20" x14ac:dyDescent="0.25">
      <c r="A260">
        <v>2025</v>
      </c>
      <c r="B260">
        <v>2</v>
      </c>
      <c r="C260" s="13">
        <v>20</v>
      </c>
      <c r="D260" s="1">
        <v>130</v>
      </c>
      <c r="E260" s="1">
        <f t="shared" si="14"/>
        <v>463.09999999999997</v>
      </c>
      <c r="F260" s="1"/>
      <c r="G260" s="14" t="s">
        <v>109</v>
      </c>
      <c r="H260" s="14" t="s">
        <v>107</v>
      </c>
      <c r="I260" s="1"/>
      <c r="J260" s="1"/>
      <c r="T260">
        <f t="shared" si="15"/>
        <v>2525.9679999999989</v>
      </c>
    </row>
    <row r="261" spans="1:20" x14ac:dyDescent="0.25">
      <c r="A261">
        <v>2025</v>
      </c>
      <c r="B261">
        <v>2</v>
      </c>
      <c r="C261" s="13">
        <v>22</v>
      </c>
      <c r="D261" s="1">
        <v>92</v>
      </c>
      <c r="E261" s="1">
        <f t="shared" si="14"/>
        <v>555.09999999999991</v>
      </c>
      <c r="F261" s="1"/>
      <c r="G261" s="14" t="s">
        <v>5</v>
      </c>
      <c r="H261" s="14" t="s">
        <v>114</v>
      </c>
      <c r="I261" s="1"/>
      <c r="J261" s="1"/>
      <c r="T261">
        <f t="shared" si="15"/>
        <v>2617.9679999999989</v>
      </c>
    </row>
    <row r="262" spans="1:20" x14ac:dyDescent="0.25">
      <c r="A262">
        <v>2025</v>
      </c>
      <c r="B262">
        <v>2</v>
      </c>
      <c r="C262" s="13">
        <v>25</v>
      </c>
      <c r="D262" s="1">
        <v>70</v>
      </c>
      <c r="E262" s="1">
        <f t="shared" si="14"/>
        <v>625.09999999999991</v>
      </c>
      <c r="F262" s="1"/>
      <c r="G262" s="14" t="s">
        <v>125</v>
      </c>
      <c r="H262" s="14" t="s">
        <v>115</v>
      </c>
      <c r="I262" s="1"/>
      <c r="J262" s="1"/>
      <c r="T262">
        <f t="shared" si="15"/>
        <v>2687.9679999999989</v>
      </c>
    </row>
    <row r="263" spans="1:20" x14ac:dyDescent="0.25">
      <c r="A263">
        <v>2025</v>
      </c>
      <c r="B263">
        <v>2</v>
      </c>
      <c r="C263" s="13">
        <v>26</v>
      </c>
      <c r="D263" s="1">
        <v>16.7</v>
      </c>
      <c r="E263" s="1">
        <f t="shared" si="14"/>
        <v>641.79999999999995</v>
      </c>
      <c r="F263" s="1"/>
      <c r="G263" s="14" t="s">
        <v>12</v>
      </c>
      <c r="H263" s="14" t="s">
        <v>106</v>
      </c>
      <c r="I263" s="1"/>
      <c r="J263" s="1"/>
      <c r="T263">
        <f t="shared" si="15"/>
        <v>2704.6679999999988</v>
      </c>
    </row>
    <row r="264" spans="1:20" x14ac:dyDescent="0.25">
      <c r="A264">
        <v>2025</v>
      </c>
      <c r="B264">
        <v>2</v>
      </c>
      <c r="C264" s="13">
        <v>28</v>
      </c>
      <c r="D264" s="1">
        <v>50</v>
      </c>
      <c r="E264" s="1">
        <f t="shared" si="14"/>
        <v>691.8</v>
      </c>
      <c r="F264" s="1"/>
      <c r="G264" s="14" t="s">
        <v>109</v>
      </c>
      <c r="H264" s="14" t="s">
        <v>116</v>
      </c>
      <c r="I264" s="1"/>
      <c r="J264" s="1"/>
      <c r="T264">
        <f t="shared" si="15"/>
        <v>2754.6679999999988</v>
      </c>
    </row>
    <row r="265" spans="1:20" x14ac:dyDescent="0.25">
      <c r="A265">
        <v>2025</v>
      </c>
      <c r="B265">
        <v>2</v>
      </c>
      <c r="C265" s="13">
        <v>28</v>
      </c>
      <c r="D265" s="1">
        <v>11.4</v>
      </c>
      <c r="E265" s="1">
        <f t="shared" si="14"/>
        <v>703.19999999999993</v>
      </c>
      <c r="F265" s="1"/>
      <c r="G265" s="14" t="s">
        <v>12</v>
      </c>
      <c r="H265" s="14" t="s">
        <v>117</v>
      </c>
      <c r="I265" s="1"/>
      <c r="J265" s="1"/>
      <c r="T265">
        <f t="shared" si="15"/>
        <v>2766.0679999999988</v>
      </c>
    </row>
    <row r="266" spans="1:20" x14ac:dyDescent="0.25">
      <c r="A266">
        <v>2025</v>
      </c>
      <c r="B266" s="1">
        <v>3</v>
      </c>
      <c r="C266" s="13">
        <v>5</v>
      </c>
      <c r="D266" s="13">
        <v>17</v>
      </c>
      <c r="E266" s="1">
        <f>D266</f>
        <v>17</v>
      </c>
      <c r="F266" s="1"/>
      <c r="G266" s="14" t="s">
        <v>12</v>
      </c>
      <c r="H266" s="12" t="s">
        <v>104</v>
      </c>
      <c r="I266" s="1"/>
      <c r="J266" s="1"/>
      <c r="T266">
        <f t="shared" si="15"/>
        <v>2783.0679999999988</v>
      </c>
    </row>
    <row r="267" spans="1:20" x14ac:dyDescent="0.25">
      <c r="A267">
        <v>2025</v>
      </c>
      <c r="B267" s="1">
        <v>3</v>
      </c>
      <c r="C267" s="13">
        <v>6</v>
      </c>
      <c r="D267" s="13">
        <v>70</v>
      </c>
      <c r="E267" s="1">
        <f>E266+D267</f>
        <v>87</v>
      </c>
      <c r="F267" s="1"/>
      <c r="G267" s="14" t="s">
        <v>123</v>
      </c>
      <c r="H267" s="12" t="s">
        <v>119</v>
      </c>
      <c r="I267" s="1"/>
      <c r="J267" s="1"/>
      <c r="T267">
        <f t="shared" si="15"/>
        <v>2853.0679999999988</v>
      </c>
    </row>
    <row r="268" spans="1:20" x14ac:dyDescent="0.25">
      <c r="A268">
        <v>2025</v>
      </c>
      <c r="B268" s="1">
        <v>3</v>
      </c>
      <c r="C268" s="13">
        <v>9</v>
      </c>
      <c r="D268" s="13">
        <v>45</v>
      </c>
      <c r="E268" s="1">
        <f t="shared" ref="E268:E278" si="16">E267+D268</f>
        <v>132</v>
      </c>
      <c r="F268" s="1"/>
      <c r="G268" s="14" t="s">
        <v>122</v>
      </c>
      <c r="H268" s="12" t="s">
        <v>118</v>
      </c>
      <c r="I268" s="1"/>
      <c r="J268" s="1"/>
      <c r="T268">
        <f t="shared" si="15"/>
        <v>2898.0679999999988</v>
      </c>
    </row>
    <row r="269" spans="1:20" x14ac:dyDescent="0.25">
      <c r="A269">
        <v>2025</v>
      </c>
      <c r="B269" s="1">
        <v>3</v>
      </c>
      <c r="C269" s="13">
        <v>9</v>
      </c>
      <c r="D269" s="13">
        <v>17</v>
      </c>
      <c r="E269" s="1">
        <f t="shared" si="16"/>
        <v>149</v>
      </c>
      <c r="F269" s="1"/>
      <c r="G269" s="14" t="s">
        <v>12</v>
      </c>
      <c r="H269" s="12" t="s">
        <v>126</v>
      </c>
      <c r="I269" s="1"/>
      <c r="J269" s="1"/>
      <c r="T269">
        <f t="shared" si="15"/>
        <v>2915.0679999999988</v>
      </c>
    </row>
    <row r="270" spans="1:20" x14ac:dyDescent="0.25">
      <c r="A270">
        <v>2025</v>
      </c>
      <c r="B270" s="1">
        <v>3</v>
      </c>
      <c r="C270" s="13">
        <v>13</v>
      </c>
      <c r="D270" s="13">
        <v>17</v>
      </c>
      <c r="E270" s="1">
        <f t="shared" si="16"/>
        <v>166</v>
      </c>
      <c r="F270" s="1"/>
      <c r="G270" s="14" t="s">
        <v>12</v>
      </c>
      <c r="H270" s="12" t="s">
        <v>113</v>
      </c>
      <c r="I270" s="1"/>
      <c r="J270" s="1"/>
      <c r="T270">
        <f t="shared" si="15"/>
        <v>2932.0679999999988</v>
      </c>
    </row>
    <row r="271" spans="1:20" x14ac:dyDescent="0.25">
      <c r="A271">
        <v>2025</v>
      </c>
      <c r="B271" s="1">
        <v>3</v>
      </c>
      <c r="C271" s="13">
        <v>16</v>
      </c>
      <c r="D271" s="13">
        <v>70</v>
      </c>
      <c r="E271" s="1">
        <f t="shared" si="16"/>
        <v>236</v>
      </c>
      <c r="F271" s="1"/>
      <c r="G271" s="14" t="s">
        <v>123</v>
      </c>
      <c r="H271" s="12" t="s">
        <v>121</v>
      </c>
      <c r="I271" s="1"/>
      <c r="J271" s="1"/>
      <c r="T271">
        <f t="shared" si="15"/>
        <v>3002.0679999999988</v>
      </c>
    </row>
    <row r="272" spans="1:20" x14ac:dyDescent="0.25">
      <c r="A272">
        <v>2025</v>
      </c>
      <c r="B272" s="1">
        <v>3</v>
      </c>
      <c r="C272" s="13">
        <v>17</v>
      </c>
      <c r="D272" s="13">
        <v>70</v>
      </c>
      <c r="E272" s="1">
        <f t="shared" si="16"/>
        <v>306</v>
      </c>
      <c r="F272" s="1"/>
      <c r="G272" s="14" t="s">
        <v>124</v>
      </c>
      <c r="H272" s="12" t="s">
        <v>120</v>
      </c>
      <c r="I272" s="1"/>
      <c r="J272" s="1"/>
      <c r="T272">
        <f t="shared" si="15"/>
        <v>3072.0679999999988</v>
      </c>
    </row>
    <row r="273" spans="1:20" x14ac:dyDescent="0.25">
      <c r="A273">
        <v>2025</v>
      </c>
      <c r="B273" s="1">
        <v>3</v>
      </c>
      <c r="C273" s="13">
        <v>18</v>
      </c>
      <c r="D273" s="13">
        <v>17</v>
      </c>
      <c r="E273" s="1">
        <f t="shared" si="16"/>
        <v>323</v>
      </c>
      <c r="F273" s="1"/>
      <c r="G273" s="14" t="s">
        <v>12</v>
      </c>
      <c r="H273" s="12" t="s">
        <v>131</v>
      </c>
      <c r="I273" s="1"/>
      <c r="J273" s="1"/>
      <c r="T273">
        <f t="shared" si="15"/>
        <v>3089.0679999999988</v>
      </c>
    </row>
    <row r="274" spans="1:20" x14ac:dyDescent="0.25">
      <c r="A274">
        <v>2025</v>
      </c>
      <c r="B274" s="1">
        <v>3</v>
      </c>
      <c r="C274" s="13">
        <v>19</v>
      </c>
      <c r="D274" s="13">
        <v>100</v>
      </c>
      <c r="E274" s="1">
        <f t="shared" si="16"/>
        <v>423</v>
      </c>
      <c r="F274" s="1"/>
      <c r="G274" s="14" t="s">
        <v>5</v>
      </c>
      <c r="H274" s="12" t="s">
        <v>134</v>
      </c>
      <c r="I274" s="1"/>
      <c r="J274" s="1"/>
      <c r="T274">
        <f t="shared" si="15"/>
        <v>3189.0679999999988</v>
      </c>
    </row>
    <row r="275" spans="1:20" x14ac:dyDescent="0.25">
      <c r="A275">
        <v>2025</v>
      </c>
      <c r="B275" s="1">
        <v>3</v>
      </c>
      <c r="C275" s="13">
        <v>20</v>
      </c>
      <c r="D275" s="13">
        <v>70</v>
      </c>
      <c r="E275" s="1">
        <f t="shared" si="16"/>
        <v>493</v>
      </c>
      <c r="F275" s="1"/>
      <c r="G275" s="14" t="s">
        <v>123</v>
      </c>
      <c r="H275" s="12" t="s">
        <v>127</v>
      </c>
      <c r="I275" s="1"/>
      <c r="J275" s="1"/>
      <c r="T275">
        <f t="shared" si="15"/>
        <v>3259.0679999999988</v>
      </c>
    </row>
    <row r="276" spans="1:20" x14ac:dyDescent="0.25">
      <c r="A276">
        <v>2025</v>
      </c>
      <c r="B276" s="1">
        <v>3</v>
      </c>
      <c r="C276" s="13">
        <v>22</v>
      </c>
      <c r="D276" s="13">
        <v>50</v>
      </c>
      <c r="E276" s="1">
        <f t="shared" si="16"/>
        <v>543</v>
      </c>
      <c r="F276" s="1"/>
      <c r="G276" s="14" t="s">
        <v>135</v>
      </c>
      <c r="H276" s="12" t="s">
        <v>136</v>
      </c>
      <c r="I276" s="1"/>
      <c r="J276" s="1"/>
      <c r="T276">
        <f t="shared" si="15"/>
        <v>3309.0679999999988</v>
      </c>
    </row>
    <row r="277" spans="1:20" x14ac:dyDescent="0.25">
      <c r="A277">
        <v>2025</v>
      </c>
      <c r="B277" s="1">
        <v>3</v>
      </c>
      <c r="C277" s="13">
        <v>23</v>
      </c>
      <c r="D277" s="13">
        <v>17</v>
      </c>
      <c r="E277" s="1">
        <f t="shared" si="16"/>
        <v>560</v>
      </c>
      <c r="F277" s="1"/>
      <c r="G277" s="14" t="s">
        <v>12</v>
      </c>
      <c r="H277" s="12" t="s">
        <v>126</v>
      </c>
      <c r="I277" s="1"/>
      <c r="J277" s="1"/>
      <c r="T277">
        <f t="shared" si="15"/>
        <v>3326.0679999999988</v>
      </c>
    </row>
    <row r="278" spans="1:20" x14ac:dyDescent="0.25">
      <c r="A278">
        <v>2025</v>
      </c>
      <c r="B278" s="1">
        <v>3</v>
      </c>
      <c r="C278" s="13">
        <v>28</v>
      </c>
      <c r="D278" s="13">
        <v>17</v>
      </c>
      <c r="E278" s="1">
        <f t="shared" si="16"/>
        <v>577</v>
      </c>
      <c r="F278" s="1"/>
      <c r="G278" s="14" t="s">
        <v>12</v>
      </c>
      <c r="H278" s="12" t="s">
        <v>106</v>
      </c>
      <c r="I278" s="1"/>
      <c r="J278" s="1"/>
      <c r="T278">
        <f t="shared" si="15"/>
        <v>3343.0679999999988</v>
      </c>
    </row>
    <row r="279" spans="1:20" x14ac:dyDescent="0.25">
      <c r="A279">
        <v>2025</v>
      </c>
      <c r="B279" s="1">
        <v>4</v>
      </c>
      <c r="C279" s="1">
        <v>1</v>
      </c>
      <c r="D279">
        <v>21.5</v>
      </c>
      <c r="E279" s="1">
        <f>D279</f>
        <v>21.5</v>
      </c>
      <c r="F279" s="1"/>
      <c r="G279" t="s">
        <v>125</v>
      </c>
      <c r="H279" t="s">
        <v>144</v>
      </c>
      <c r="I279" s="1"/>
      <c r="J279" s="1"/>
      <c r="T279">
        <f t="shared" si="15"/>
        <v>3364.5679999999988</v>
      </c>
    </row>
    <row r="280" spans="1:20" x14ac:dyDescent="0.25">
      <c r="A280" s="1">
        <v>2025</v>
      </c>
      <c r="B280" s="1">
        <v>4</v>
      </c>
      <c r="C280" s="1">
        <v>3</v>
      </c>
      <c r="D280">
        <v>151</v>
      </c>
      <c r="E280" s="1">
        <f>E279+D280</f>
        <v>172.5</v>
      </c>
      <c r="F280" s="1"/>
      <c r="G280" t="s">
        <v>123</v>
      </c>
      <c r="H280" t="s">
        <v>137</v>
      </c>
      <c r="I280" s="1"/>
      <c r="J280" s="1"/>
      <c r="T280">
        <f t="shared" si="15"/>
        <v>3515.5679999999988</v>
      </c>
    </row>
    <row r="281" spans="1:20" x14ac:dyDescent="0.25">
      <c r="A281" s="1">
        <v>2025</v>
      </c>
      <c r="B281" s="1">
        <v>4</v>
      </c>
      <c r="C281" s="1">
        <v>5</v>
      </c>
      <c r="D281">
        <v>70</v>
      </c>
      <c r="E281" s="1">
        <f t="shared" ref="E281:E292" si="17">E280+D281</f>
        <v>242.5</v>
      </c>
      <c r="F281" s="1"/>
      <c r="G281" t="s">
        <v>124</v>
      </c>
      <c r="H281" t="s">
        <v>148</v>
      </c>
      <c r="I281" s="1"/>
      <c r="J281" s="1"/>
      <c r="T281">
        <f>T280+D281</f>
        <v>3585.5679999999988</v>
      </c>
    </row>
    <row r="282" spans="1:20" x14ac:dyDescent="0.25">
      <c r="A282" s="1">
        <v>2025</v>
      </c>
      <c r="B282" s="1">
        <v>4</v>
      </c>
      <c r="C282" s="1">
        <v>6</v>
      </c>
      <c r="D282">
        <v>17</v>
      </c>
      <c r="E282" s="1">
        <f t="shared" si="17"/>
        <v>259.5</v>
      </c>
      <c r="F282" s="1"/>
      <c r="G282" t="s">
        <v>12</v>
      </c>
      <c r="H282" t="s">
        <v>111</v>
      </c>
      <c r="I282" s="1"/>
      <c r="J282" s="1"/>
      <c r="T282">
        <f t="shared" si="15"/>
        <v>3602.5679999999988</v>
      </c>
    </row>
    <row r="283" spans="1:20" x14ac:dyDescent="0.25">
      <c r="A283" s="1">
        <v>2025</v>
      </c>
      <c r="B283" s="1">
        <v>4</v>
      </c>
      <c r="C283" s="1">
        <v>9</v>
      </c>
      <c r="D283">
        <v>34</v>
      </c>
      <c r="E283" s="1">
        <f t="shared" si="17"/>
        <v>293.5</v>
      </c>
      <c r="F283" s="1"/>
      <c r="G283" t="s">
        <v>141</v>
      </c>
      <c r="H283" t="s">
        <v>150</v>
      </c>
      <c r="I283" s="1"/>
      <c r="J283" s="1"/>
    </row>
    <row r="284" spans="1:20" x14ac:dyDescent="0.25">
      <c r="A284">
        <v>2025</v>
      </c>
      <c r="B284" s="1">
        <v>4</v>
      </c>
      <c r="C284" s="1">
        <v>10</v>
      </c>
      <c r="D284">
        <v>17</v>
      </c>
      <c r="E284" s="1">
        <f t="shared" si="17"/>
        <v>310.5</v>
      </c>
      <c r="F284" s="1"/>
      <c r="G284" t="s">
        <v>12</v>
      </c>
      <c r="H284" t="s">
        <v>106</v>
      </c>
      <c r="I284" s="1"/>
      <c r="J284" s="1"/>
      <c r="T284">
        <f>T282+D284</f>
        <v>3619.5679999999988</v>
      </c>
    </row>
    <row r="285" spans="1:20" x14ac:dyDescent="0.25">
      <c r="A285">
        <v>2025</v>
      </c>
      <c r="B285" s="1">
        <v>4</v>
      </c>
      <c r="C285" s="22">
        <v>14</v>
      </c>
      <c r="D285" s="23">
        <v>30</v>
      </c>
      <c r="E285" s="1">
        <f t="shared" si="17"/>
        <v>340.5</v>
      </c>
      <c r="F285" s="1"/>
      <c r="G285" s="23" t="s">
        <v>147</v>
      </c>
      <c r="H285" s="23" t="s">
        <v>145</v>
      </c>
      <c r="I285" s="1"/>
      <c r="J285" s="1"/>
      <c r="T285">
        <f t="shared" si="15"/>
        <v>3649.5679999999988</v>
      </c>
    </row>
    <row r="286" spans="1:20" x14ac:dyDescent="0.25">
      <c r="A286">
        <v>2025</v>
      </c>
      <c r="B286" s="1">
        <v>4</v>
      </c>
      <c r="C286" s="1">
        <v>14</v>
      </c>
      <c r="D286">
        <v>60</v>
      </c>
      <c r="E286" s="1">
        <f t="shared" si="17"/>
        <v>400.5</v>
      </c>
      <c r="F286" s="1"/>
      <c r="G286" t="s">
        <v>5</v>
      </c>
      <c r="H286" t="s">
        <v>148</v>
      </c>
      <c r="I286" s="1"/>
      <c r="J286" s="1"/>
      <c r="T286">
        <f t="shared" si="15"/>
        <v>3709.5679999999988</v>
      </c>
    </row>
    <row r="287" spans="1:20" x14ac:dyDescent="0.25">
      <c r="A287">
        <v>2025</v>
      </c>
      <c r="B287" s="1">
        <v>4</v>
      </c>
      <c r="C287" s="1">
        <v>17</v>
      </c>
      <c r="D287" s="1">
        <v>15</v>
      </c>
      <c r="E287" s="1">
        <f t="shared" si="17"/>
        <v>415.5</v>
      </c>
      <c r="F287" s="1"/>
      <c r="G287" t="s">
        <v>141</v>
      </c>
      <c r="H287" t="s">
        <v>151</v>
      </c>
      <c r="I287" s="1"/>
      <c r="J287" s="1"/>
    </row>
    <row r="288" spans="1:20" x14ac:dyDescent="0.25">
      <c r="A288">
        <v>2025</v>
      </c>
      <c r="B288" s="1">
        <v>4</v>
      </c>
      <c r="C288" s="1">
        <v>18</v>
      </c>
      <c r="D288" s="1">
        <v>15</v>
      </c>
      <c r="E288" s="1">
        <f t="shared" si="17"/>
        <v>430.5</v>
      </c>
      <c r="F288" s="1"/>
      <c r="G288" t="s">
        <v>12</v>
      </c>
      <c r="H288" t="s">
        <v>104</v>
      </c>
      <c r="I288" s="1"/>
      <c r="J288" s="1"/>
    </row>
    <row r="289" spans="1:20" x14ac:dyDescent="0.25">
      <c r="A289">
        <v>2025</v>
      </c>
      <c r="B289" s="1">
        <v>4</v>
      </c>
      <c r="C289" s="1">
        <v>20</v>
      </c>
      <c r="D289">
        <v>70</v>
      </c>
      <c r="E289" s="1">
        <f t="shared" si="17"/>
        <v>500.5</v>
      </c>
      <c r="F289" s="1"/>
      <c r="G289" t="s">
        <v>124</v>
      </c>
      <c r="H289" t="s">
        <v>146</v>
      </c>
      <c r="I289" s="1"/>
      <c r="J289" s="1"/>
      <c r="T289">
        <f>T286+D289</f>
        <v>3779.5679999999988</v>
      </c>
    </row>
    <row r="290" spans="1:20" x14ac:dyDescent="0.25">
      <c r="A290">
        <v>2025</v>
      </c>
      <c r="B290" s="1">
        <v>4</v>
      </c>
      <c r="C290" s="1">
        <v>22</v>
      </c>
      <c r="D290" s="1">
        <v>20</v>
      </c>
      <c r="E290" s="1">
        <f t="shared" si="17"/>
        <v>520.5</v>
      </c>
      <c r="F290" s="1"/>
      <c r="G290" t="s">
        <v>141</v>
      </c>
      <c r="H290" t="s">
        <v>152</v>
      </c>
      <c r="I290" s="1"/>
      <c r="J290" s="1"/>
    </row>
    <row r="291" spans="1:20" x14ac:dyDescent="0.25">
      <c r="A291" s="1">
        <v>2025</v>
      </c>
      <c r="B291" s="1">
        <v>4</v>
      </c>
      <c r="C291" s="1">
        <v>25</v>
      </c>
      <c r="D291">
        <v>100</v>
      </c>
      <c r="E291" s="1">
        <f t="shared" si="17"/>
        <v>620.5</v>
      </c>
      <c r="F291" s="1"/>
      <c r="G291" t="s">
        <v>125</v>
      </c>
      <c r="H291" t="s">
        <v>149</v>
      </c>
      <c r="I291" s="1"/>
      <c r="J291" s="1"/>
    </row>
    <row r="292" spans="1:20" x14ac:dyDescent="0.25">
      <c r="A292" s="1">
        <v>2025</v>
      </c>
      <c r="B292" s="1">
        <v>4</v>
      </c>
      <c r="C292" s="1">
        <v>28</v>
      </c>
      <c r="D292" s="1">
        <v>17</v>
      </c>
      <c r="E292" s="1">
        <f t="shared" si="17"/>
        <v>637.5</v>
      </c>
      <c r="F292" s="1"/>
      <c r="G292" t="s">
        <v>12</v>
      </c>
      <c r="H292" t="s">
        <v>111</v>
      </c>
      <c r="I292" s="1"/>
      <c r="J292" s="1"/>
    </row>
    <row r="293" spans="1:20" x14ac:dyDescent="0.25">
      <c r="A293" s="1">
        <v>2025</v>
      </c>
      <c r="B293" s="1">
        <v>5</v>
      </c>
      <c r="C293" s="1">
        <v>5</v>
      </c>
      <c r="D293">
        <v>15</v>
      </c>
      <c r="E293" s="1">
        <f>D293</f>
        <v>15</v>
      </c>
      <c r="F293" s="1"/>
      <c r="G293" t="s">
        <v>12</v>
      </c>
      <c r="H293" t="s">
        <v>102</v>
      </c>
      <c r="I293" s="1"/>
      <c r="J293" s="1"/>
    </row>
    <row r="294" spans="1:20" x14ac:dyDescent="0.25">
      <c r="A294" s="1">
        <v>2025</v>
      </c>
      <c r="B294" s="1">
        <v>5</v>
      </c>
      <c r="C294" s="1">
        <v>6</v>
      </c>
      <c r="D294">
        <v>100</v>
      </c>
      <c r="E294" s="1">
        <f>E293+D294</f>
        <v>115</v>
      </c>
      <c r="F294" s="1"/>
      <c r="G294" s="13" t="s">
        <v>153</v>
      </c>
      <c r="H294" t="s">
        <v>154</v>
      </c>
      <c r="I294" s="1"/>
      <c r="J294" s="1"/>
    </row>
    <row r="295" spans="1:20" x14ac:dyDescent="0.25">
      <c r="A295" s="1">
        <v>2025</v>
      </c>
      <c r="B295" s="1">
        <v>5</v>
      </c>
      <c r="C295" s="1">
        <v>6</v>
      </c>
      <c r="D295">
        <v>40</v>
      </c>
      <c r="E295" s="1">
        <f t="shared" ref="E295:E304" si="18">E294+D295</f>
        <v>155</v>
      </c>
      <c r="F295" s="1"/>
      <c r="G295" s="13" t="s">
        <v>156</v>
      </c>
      <c r="H295" t="s">
        <v>132</v>
      </c>
      <c r="I295" s="1"/>
      <c r="J295" s="1"/>
    </row>
    <row r="296" spans="1:20" x14ac:dyDescent="0.25">
      <c r="A296" s="1">
        <v>2025</v>
      </c>
      <c r="B296" s="1">
        <v>5</v>
      </c>
      <c r="C296" s="1">
        <v>6</v>
      </c>
      <c r="D296">
        <v>15</v>
      </c>
      <c r="E296" s="1">
        <f t="shared" si="18"/>
        <v>170</v>
      </c>
      <c r="F296" s="1"/>
      <c r="G296" s="13" t="s">
        <v>12</v>
      </c>
      <c r="H296" t="s">
        <v>106</v>
      </c>
      <c r="I296" s="1"/>
      <c r="J296" s="1"/>
    </row>
    <row r="297" spans="1:20" x14ac:dyDescent="0.25">
      <c r="A297" s="1">
        <v>2025</v>
      </c>
      <c r="B297" s="1">
        <v>5</v>
      </c>
      <c r="C297" s="1">
        <v>7</v>
      </c>
      <c r="D297">
        <v>100</v>
      </c>
      <c r="E297" s="1">
        <f t="shared" si="18"/>
        <v>270</v>
      </c>
      <c r="F297" s="1"/>
      <c r="G297" s="13" t="s">
        <v>108</v>
      </c>
      <c r="H297" t="s">
        <v>155</v>
      </c>
      <c r="I297" s="1"/>
      <c r="J297" s="1"/>
    </row>
    <row r="298" spans="1:20" x14ac:dyDescent="0.25">
      <c r="A298" s="1">
        <v>2025</v>
      </c>
      <c r="B298" s="1">
        <v>5</v>
      </c>
      <c r="C298" s="1">
        <v>13</v>
      </c>
      <c r="D298" s="1">
        <v>17</v>
      </c>
      <c r="E298" s="1">
        <f t="shared" si="18"/>
        <v>287</v>
      </c>
      <c r="F298" s="1"/>
      <c r="G298" s="13" t="s">
        <v>12</v>
      </c>
      <c r="H298" t="s">
        <v>158</v>
      </c>
      <c r="I298" s="1"/>
      <c r="J298" s="1"/>
    </row>
    <row r="299" spans="1:20" x14ac:dyDescent="0.25">
      <c r="A299" s="1">
        <v>2025</v>
      </c>
      <c r="B299" s="1">
        <v>5</v>
      </c>
      <c r="C299" s="1">
        <v>14</v>
      </c>
      <c r="D299" s="1">
        <v>17</v>
      </c>
      <c r="E299" s="1">
        <f t="shared" si="18"/>
        <v>304</v>
      </c>
      <c r="F299" s="1"/>
      <c r="G299" s="13" t="s">
        <v>12</v>
      </c>
      <c r="H299" t="s">
        <v>131</v>
      </c>
      <c r="I299" s="1"/>
      <c r="J299" s="1"/>
    </row>
    <row r="300" spans="1:20" x14ac:dyDescent="0.25">
      <c r="A300" s="1">
        <v>2025</v>
      </c>
      <c r="B300" s="1">
        <v>5</v>
      </c>
      <c r="C300" s="1">
        <v>17</v>
      </c>
      <c r="D300" s="1">
        <v>100</v>
      </c>
      <c r="E300" s="1">
        <f t="shared" si="18"/>
        <v>404</v>
      </c>
      <c r="F300" s="1"/>
      <c r="G300" s="13" t="s">
        <v>147</v>
      </c>
      <c r="H300" t="s">
        <v>157</v>
      </c>
      <c r="I300" s="1"/>
      <c r="J300" s="1"/>
    </row>
    <row r="301" spans="1:20" x14ac:dyDescent="0.25">
      <c r="A301" s="1">
        <v>2025</v>
      </c>
      <c r="B301" s="1">
        <v>5</v>
      </c>
      <c r="C301" s="1">
        <v>23</v>
      </c>
      <c r="D301" s="1">
        <v>90</v>
      </c>
      <c r="E301" s="1">
        <f t="shared" si="18"/>
        <v>494</v>
      </c>
      <c r="F301" s="1"/>
      <c r="G301" s="13" t="s">
        <v>160</v>
      </c>
      <c r="H301" t="s">
        <v>161</v>
      </c>
      <c r="I301" s="1"/>
      <c r="J301" s="1"/>
    </row>
    <row r="302" spans="1:20" x14ac:dyDescent="0.25">
      <c r="A302" s="1">
        <v>2025</v>
      </c>
      <c r="B302" s="1">
        <v>5</v>
      </c>
      <c r="C302" s="1">
        <v>25</v>
      </c>
      <c r="D302" s="1">
        <v>60</v>
      </c>
      <c r="E302" s="1">
        <f t="shared" si="18"/>
        <v>554</v>
      </c>
      <c r="F302" s="1"/>
      <c r="G302" s="13" t="s">
        <v>5</v>
      </c>
      <c r="H302" s="1" t="s">
        <v>159</v>
      </c>
      <c r="I302" s="1"/>
      <c r="J302" s="1"/>
    </row>
    <row r="303" spans="1:20" x14ac:dyDescent="0.25">
      <c r="A303" s="1">
        <v>2025</v>
      </c>
      <c r="B303" s="1">
        <v>5</v>
      </c>
      <c r="C303" s="1">
        <v>27</v>
      </c>
      <c r="D303" s="1">
        <v>70</v>
      </c>
      <c r="E303" s="1">
        <f t="shared" si="18"/>
        <v>624</v>
      </c>
      <c r="F303" s="1"/>
      <c r="G303" s="13" t="s">
        <v>123</v>
      </c>
      <c r="H303" s="1" t="s">
        <v>162</v>
      </c>
      <c r="I303" s="1"/>
      <c r="J303" s="1"/>
    </row>
    <row r="304" spans="1:20" x14ac:dyDescent="0.25">
      <c r="A304" s="1">
        <v>2025</v>
      </c>
      <c r="B304" s="1">
        <v>5</v>
      </c>
      <c r="C304" s="1">
        <v>31</v>
      </c>
      <c r="D304" s="1">
        <v>60</v>
      </c>
      <c r="E304" s="1">
        <f t="shared" si="18"/>
        <v>684</v>
      </c>
      <c r="G304" s="13" t="s">
        <v>124</v>
      </c>
      <c r="H304" s="1" t="s">
        <v>120</v>
      </c>
      <c r="I304" s="1"/>
      <c r="J304" s="1"/>
    </row>
    <row r="305" spans="1:10" x14ac:dyDescent="0.25">
      <c r="A305" s="1">
        <v>2025</v>
      </c>
      <c r="B305" s="1">
        <v>6</v>
      </c>
      <c r="C305" s="1">
        <v>5</v>
      </c>
      <c r="D305" s="1">
        <v>40</v>
      </c>
      <c r="E305" s="1">
        <f>D305</f>
        <v>40</v>
      </c>
      <c r="G305" s="13" t="s">
        <v>12</v>
      </c>
      <c r="H305" t="s">
        <v>164</v>
      </c>
      <c r="I305" s="1"/>
      <c r="J305" s="1"/>
    </row>
    <row r="306" spans="1:10" x14ac:dyDescent="0.25">
      <c r="A306" s="1">
        <v>2025</v>
      </c>
      <c r="B306" s="1">
        <v>6</v>
      </c>
      <c r="C306" s="1">
        <v>9</v>
      </c>
      <c r="D306" s="1">
        <v>16</v>
      </c>
      <c r="E306" s="1">
        <f>E305+D306</f>
        <v>56</v>
      </c>
      <c r="G306" s="13" t="s">
        <v>12</v>
      </c>
      <c r="H306" t="s">
        <v>104</v>
      </c>
      <c r="I306" s="1"/>
      <c r="J306" s="1"/>
    </row>
    <row r="307" spans="1:10" x14ac:dyDescent="0.25">
      <c r="A307" s="1">
        <v>2025</v>
      </c>
      <c r="B307" s="1">
        <v>6</v>
      </c>
      <c r="C307" s="1">
        <v>14</v>
      </c>
      <c r="D307" s="1">
        <v>16</v>
      </c>
      <c r="E307" s="1">
        <f>E306+D307</f>
        <v>72</v>
      </c>
      <c r="G307" s="13" t="s">
        <v>12</v>
      </c>
      <c r="H307" t="s">
        <v>131</v>
      </c>
      <c r="I307" s="1"/>
      <c r="J307" s="1"/>
    </row>
    <row r="308" spans="1:10" x14ac:dyDescent="0.25">
      <c r="A308" s="1">
        <v>2025</v>
      </c>
      <c r="B308" s="1">
        <v>6</v>
      </c>
      <c r="C308" s="1">
        <v>18</v>
      </c>
      <c r="D308" s="1">
        <v>60</v>
      </c>
      <c r="E308" s="1">
        <f>E307+D308</f>
        <v>132</v>
      </c>
      <c r="F308" s="1"/>
      <c r="G308" s="13" t="s">
        <v>124</v>
      </c>
      <c r="H308" t="s">
        <v>163</v>
      </c>
      <c r="I308" s="1"/>
      <c r="J308" s="1"/>
    </row>
    <row r="309" spans="1:10" x14ac:dyDescent="0.25">
      <c r="A309" s="1">
        <v>2025</v>
      </c>
      <c r="B309" s="1">
        <v>6</v>
      </c>
      <c r="C309" s="1">
        <v>20</v>
      </c>
      <c r="D309" s="1">
        <v>70</v>
      </c>
      <c r="E309" s="1">
        <f>E308+D309</f>
        <v>202</v>
      </c>
      <c r="F309" s="1"/>
      <c r="G309" s="1" t="s">
        <v>5</v>
      </c>
      <c r="H309" s="1" t="s">
        <v>165</v>
      </c>
      <c r="I309" s="1"/>
      <c r="J309" s="1"/>
    </row>
    <row r="310" spans="1:10" x14ac:dyDescent="0.25">
      <c r="A310" s="1">
        <v>2025</v>
      </c>
      <c r="B310" s="1">
        <v>6</v>
      </c>
      <c r="C310" s="1">
        <v>29</v>
      </c>
      <c r="D310" s="1">
        <v>17</v>
      </c>
      <c r="E310" s="1">
        <f>E309+D310</f>
        <v>219</v>
      </c>
      <c r="F310" s="1"/>
      <c r="G310" s="1" t="s">
        <v>12</v>
      </c>
      <c r="H310" s="1" t="s">
        <v>111</v>
      </c>
      <c r="I310" s="1"/>
      <c r="J310" s="1"/>
    </row>
    <row r="311" spans="1:10" x14ac:dyDescent="0.25">
      <c r="A311" s="1">
        <v>2025</v>
      </c>
      <c r="B311" s="1">
        <v>7</v>
      </c>
      <c r="C311" s="1">
        <v>1</v>
      </c>
      <c r="D311" s="1">
        <v>17</v>
      </c>
      <c r="E311" s="1">
        <f>D311</f>
        <v>17</v>
      </c>
      <c r="F311" s="1"/>
      <c r="G311" s="1" t="s">
        <v>12</v>
      </c>
      <c r="H311" t="s">
        <v>111</v>
      </c>
      <c r="I311" s="1"/>
      <c r="J311" s="1"/>
    </row>
    <row r="312" spans="1:10" x14ac:dyDescent="0.25">
      <c r="A312" s="1">
        <v>2025</v>
      </c>
      <c r="B312" s="1">
        <v>7</v>
      </c>
      <c r="C312" s="1">
        <v>6</v>
      </c>
      <c r="D312" s="1">
        <v>60</v>
      </c>
      <c r="E312" s="1">
        <f t="shared" ref="E312:E320" si="19">E311+D312</f>
        <v>77</v>
      </c>
      <c r="F312" s="1"/>
      <c r="G312" s="1" t="s">
        <v>124</v>
      </c>
      <c r="H312" t="s">
        <v>166</v>
      </c>
      <c r="I312" s="1"/>
      <c r="J312" s="1"/>
    </row>
    <row r="313" spans="1:10" x14ac:dyDescent="0.25">
      <c r="A313" s="1">
        <v>2025</v>
      </c>
      <c r="B313" s="1">
        <v>7</v>
      </c>
      <c r="C313" s="1">
        <v>6</v>
      </c>
      <c r="D313" s="1">
        <v>25</v>
      </c>
      <c r="E313" s="1">
        <f t="shared" si="19"/>
        <v>102</v>
      </c>
      <c r="F313" s="1"/>
      <c r="G313" s="1" t="s">
        <v>5</v>
      </c>
      <c r="H313" t="s">
        <v>168</v>
      </c>
      <c r="I313" s="1"/>
      <c r="J313" s="1"/>
    </row>
    <row r="314" spans="1:10" x14ac:dyDescent="0.25">
      <c r="A314" s="1">
        <v>2025</v>
      </c>
      <c r="B314" s="1">
        <v>7</v>
      </c>
      <c r="C314" s="1">
        <v>6</v>
      </c>
      <c r="D314" s="1">
        <v>10</v>
      </c>
      <c r="E314" s="1">
        <f t="shared" si="19"/>
        <v>112</v>
      </c>
      <c r="F314" s="1"/>
      <c r="G314" s="1" t="s">
        <v>36</v>
      </c>
      <c r="H314" t="s">
        <v>169</v>
      </c>
      <c r="I314" s="1"/>
      <c r="J314" s="1"/>
    </row>
    <row r="315" spans="1:10" x14ac:dyDescent="0.25">
      <c r="A315" s="1">
        <v>2025</v>
      </c>
      <c r="B315" s="1">
        <v>7</v>
      </c>
      <c r="C315" s="1">
        <v>8</v>
      </c>
      <c r="D315" s="1">
        <v>15</v>
      </c>
      <c r="E315" s="1">
        <f t="shared" si="19"/>
        <v>127</v>
      </c>
      <c r="F315" s="1"/>
      <c r="G315" s="1" t="s">
        <v>12</v>
      </c>
      <c r="H315" t="s">
        <v>131</v>
      </c>
      <c r="I315" s="1"/>
      <c r="J315" s="1"/>
    </row>
    <row r="316" spans="1:10" x14ac:dyDescent="0.25">
      <c r="A316" s="1">
        <v>2025</v>
      </c>
      <c r="B316" s="1">
        <v>7</v>
      </c>
      <c r="C316" s="1">
        <v>10</v>
      </c>
      <c r="D316" s="1">
        <v>100</v>
      </c>
      <c r="E316" s="1">
        <f t="shared" si="19"/>
        <v>227</v>
      </c>
      <c r="F316" s="1"/>
      <c r="G316" s="1" t="s">
        <v>109</v>
      </c>
      <c r="H316" t="s">
        <v>170</v>
      </c>
      <c r="I316" s="1"/>
      <c r="J316" s="1"/>
    </row>
    <row r="317" spans="1:10" x14ac:dyDescent="0.25">
      <c r="A317" s="1">
        <v>2025</v>
      </c>
      <c r="B317" s="1">
        <v>7</v>
      </c>
      <c r="C317" s="1">
        <v>13</v>
      </c>
      <c r="D317" s="1">
        <v>15</v>
      </c>
      <c r="E317" s="1">
        <f t="shared" si="19"/>
        <v>242</v>
      </c>
      <c r="F317" s="1"/>
      <c r="G317" s="1" t="s">
        <v>12</v>
      </c>
      <c r="H317" t="s">
        <v>106</v>
      </c>
      <c r="I317" s="1"/>
      <c r="J317" s="1"/>
    </row>
    <row r="318" spans="1:10" ht="14.25" customHeight="1" x14ac:dyDescent="0.25">
      <c r="A318" s="1">
        <v>2025</v>
      </c>
      <c r="B318" s="1">
        <v>7</v>
      </c>
      <c r="C318" s="1">
        <v>17</v>
      </c>
      <c r="D318" s="1">
        <v>120</v>
      </c>
      <c r="E318" s="1">
        <f t="shared" si="19"/>
        <v>362</v>
      </c>
      <c r="F318" s="1"/>
      <c r="G318" s="1" t="s">
        <v>123</v>
      </c>
      <c r="H318" t="s">
        <v>167</v>
      </c>
      <c r="I318" s="1"/>
      <c r="J318" s="1"/>
    </row>
    <row r="319" spans="1:10" ht="14.25" customHeight="1" x14ac:dyDescent="0.25">
      <c r="A319" s="1">
        <v>2025</v>
      </c>
      <c r="B319" s="1">
        <v>7</v>
      </c>
      <c r="C319" s="1">
        <v>17</v>
      </c>
      <c r="D319" s="1">
        <v>16</v>
      </c>
      <c r="E319" s="1">
        <f t="shared" si="19"/>
        <v>378</v>
      </c>
      <c r="F319" s="1"/>
      <c r="G319" s="1" t="s">
        <v>12</v>
      </c>
      <c r="H319" t="s">
        <v>126</v>
      </c>
      <c r="I319" s="1"/>
      <c r="J319" s="1"/>
    </row>
    <row r="320" spans="1:10" ht="14.25" customHeight="1" x14ac:dyDescent="0.25">
      <c r="A320" s="1">
        <v>2025</v>
      </c>
      <c r="B320" s="1">
        <v>7</v>
      </c>
      <c r="C320" s="1">
        <v>22</v>
      </c>
      <c r="D320" s="1">
        <v>16</v>
      </c>
      <c r="E320" s="1">
        <f t="shared" si="19"/>
        <v>394</v>
      </c>
      <c r="F320" s="1"/>
      <c r="G320" s="1" t="s">
        <v>12</v>
      </c>
      <c r="H320" t="s">
        <v>102</v>
      </c>
      <c r="I320" s="1"/>
      <c r="J320" s="1"/>
    </row>
    <row r="321" spans="1:10" x14ac:dyDescent="0.25">
      <c r="A321" s="1">
        <v>2025</v>
      </c>
      <c r="B321" s="1">
        <v>7</v>
      </c>
      <c r="C321" s="1">
        <v>28</v>
      </c>
      <c r="D321" s="1">
        <v>16</v>
      </c>
      <c r="E321" s="1">
        <f t="shared" ref="E321:E322" si="20">E320+D321</f>
        <v>410</v>
      </c>
      <c r="F321" s="1"/>
      <c r="G321" s="1" t="s">
        <v>141</v>
      </c>
      <c r="H321" t="s">
        <v>171</v>
      </c>
      <c r="I321" s="1"/>
      <c r="J321" s="1"/>
    </row>
    <row r="322" spans="1:10" x14ac:dyDescent="0.25">
      <c r="A322" s="1">
        <v>2025</v>
      </c>
      <c r="B322" s="1">
        <v>7</v>
      </c>
      <c r="C322" s="1">
        <v>29</v>
      </c>
      <c r="D322" s="1">
        <v>100</v>
      </c>
      <c r="E322" s="1">
        <f t="shared" si="20"/>
        <v>510</v>
      </c>
      <c r="F322" s="1"/>
      <c r="G322" s="1" t="s">
        <v>153</v>
      </c>
      <c r="H322" t="s">
        <v>172</v>
      </c>
      <c r="I322" s="1"/>
      <c r="J322" s="1"/>
    </row>
    <row r="323" spans="1:10" x14ac:dyDescent="0.25">
      <c r="A323" s="1">
        <v>2025</v>
      </c>
      <c r="B323">
        <v>8</v>
      </c>
      <c r="C323" s="1">
        <v>2</v>
      </c>
      <c r="D323">
        <v>17</v>
      </c>
      <c r="E323" s="1">
        <f>D323</f>
        <v>17</v>
      </c>
      <c r="F323" s="1"/>
      <c r="G323" t="s">
        <v>12</v>
      </c>
      <c r="H323" t="s">
        <v>106</v>
      </c>
      <c r="I323" s="1"/>
      <c r="J323" s="1"/>
    </row>
    <row r="324" spans="1:10" x14ac:dyDescent="0.25">
      <c r="A324" s="1">
        <v>2025</v>
      </c>
      <c r="B324">
        <v>8</v>
      </c>
      <c r="C324" s="1">
        <v>5</v>
      </c>
      <c r="D324">
        <v>40</v>
      </c>
      <c r="E324" s="1">
        <f>E323+D324</f>
        <v>57</v>
      </c>
      <c r="F324" s="1"/>
      <c r="G324" t="s">
        <v>160</v>
      </c>
      <c r="H324" t="s">
        <v>173</v>
      </c>
      <c r="I324" s="1"/>
      <c r="J324" s="1"/>
    </row>
    <row r="325" spans="1:10" x14ac:dyDescent="0.25">
      <c r="A325" s="1">
        <v>2025</v>
      </c>
      <c r="B325">
        <v>8</v>
      </c>
      <c r="C325" s="1">
        <v>5</v>
      </c>
      <c r="D325">
        <v>17</v>
      </c>
      <c r="E325" s="1">
        <f t="shared" ref="E325:E329" si="21">E324+D325</f>
        <v>74</v>
      </c>
      <c r="F325" s="1"/>
      <c r="G325" t="s">
        <v>12</v>
      </c>
      <c r="H325" t="s">
        <v>111</v>
      </c>
      <c r="I325" s="1"/>
      <c r="J325" s="1"/>
    </row>
    <row r="326" spans="1:10" x14ac:dyDescent="0.25">
      <c r="A326" s="1">
        <v>2025</v>
      </c>
      <c r="B326">
        <v>8</v>
      </c>
      <c r="C326" s="1">
        <v>8</v>
      </c>
      <c r="D326">
        <v>17</v>
      </c>
      <c r="E326" s="1">
        <f t="shared" si="21"/>
        <v>91</v>
      </c>
      <c r="F326" s="1"/>
      <c r="G326" t="s">
        <v>141</v>
      </c>
      <c r="H326" t="s">
        <v>106</v>
      </c>
      <c r="I326" s="1"/>
      <c r="J326" s="1"/>
    </row>
    <row r="327" spans="1:10" x14ac:dyDescent="0.25">
      <c r="A327" s="1">
        <v>2025</v>
      </c>
      <c r="B327">
        <v>8</v>
      </c>
      <c r="C327" s="1">
        <v>9</v>
      </c>
      <c r="D327">
        <v>17</v>
      </c>
      <c r="E327" s="1">
        <f t="shared" si="21"/>
        <v>108</v>
      </c>
      <c r="F327" s="1"/>
      <c r="G327" t="s">
        <v>12</v>
      </c>
      <c r="H327" t="s">
        <v>126</v>
      </c>
      <c r="I327" s="1"/>
      <c r="J327" s="1"/>
    </row>
    <row r="328" spans="1:10" x14ac:dyDescent="0.25">
      <c r="A328" s="1">
        <v>2025</v>
      </c>
      <c r="B328">
        <v>8</v>
      </c>
      <c r="C328" s="1">
        <v>12</v>
      </c>
      <c r="D328">
        <v>100</v>
      </c>
      <c r="E328" s="1">
        <f t="shared" si="21"/>
        <v>208</v>
      </c>
      <c r="F328" s="1"/>
      <c r="G328" t="s">
        <v>5</v>
      </c>
      <c r="H328" t="s">
        <v>174</v>
      </c>
      <c r="I328" s="1"/>
      <c r="J328" s="1"/>
    </row>
    <row r="329" spans="1:10" x14ac:dyDescent="0.25">
      <c r="A329" s="1">
        <v>2025</v>
      </c>
      <c r="B329">
        <v>8</v>
      </c>
      <c r="C329" s="1">
        <v>16</v>
      </c>
      <c r="D329">
        <v>50</v>
      </c>
      <c r="E329" s="1">
        <f t="shared" si="21"/>
        <v>258</v>
      </c>
      <c r="F329" s="1"/>
      <c r="G329" t="s">
        <v>124</v>
      </c>
      <c r="H329" t="s">
        <v>176</v>
      </c>
      <c r="I329" s="1"/>
      <c r="J329" s="1"/>
    </row>
    <row r="330" spans="1:10" x14ac:dyDescent="0.25">
      <c r="A330" s="1">
        <v>2025</v>
      </c>
      <c r="B330">
        <v>8</v>
      </c>
      <c r="C330" s="1">
        <v>19</v>
      </c>
      <c r="D330">
        <v>17</v>
      </c>
      <c r="E330" s="1">
        <f t="shared" ref="E330:E332" si="22">E329+D330</f>
        <v>275</v>
      </c>
      <c r="F330" s="1"/>
      <c r="G330" t="s">
        <v>12</v>
      </c>
      <c r="H330" t="s">
        <v>106</v>
      </c>
      <c r="I330" s="1"/>
      <c r="J330" s="1"/>
    </row>
    <row r="331" spans="1:10" x14ac:dyDescent="0.25">
      <c r="A331" s="1">
        <v>2025</v>
      </c>
      <c r="B331">
        <v>8</v>
      </c>
      <c r="C331" s="1">
        <v>22</v>
      </c>
      <c r="D331">
        <v>20</v>
      </c>
      <c r="E331" s="1">
        <f t="shared" si="22"/>
        <v>295</v>
      </c>
      <c r="F331" s="1"/>
      <c r="G331" t="s">
        <v>160</v>
      </c>
      <c r="H331" t="s">
        <v>175</v>
      </c>
      <c r="I331" s="1"/>
      <c r="J331" s="1"/>
    </row>
    <row r="332" spans="1:10" x14ac:dyDescent="0.25">
      <c r="A332" s="1">
        <v>2025</v>
      </c>
      <c r="B332">
        <v>8</v>
      </c>
      <c r="C332" s="1">
        <v>26</v>
      </c>
      <c r="D332">
        <v>18</v>
      </c>
      <c r="E332" s="1">
        <f t="shared" si="22"/>
        <v>313</v>
      </c>
      <c r="F332" s="1"/>
      <c r="G332" s="1" t="s">
        <v>12</v>
      </c>
      <c r="H332" s="1" t="s">
        <v>126</v>
      </c>
      <c r="I332" s="1"/>
      <c r="J332" s="1"/>
    </row>
    <row r="333" spans="1:10" x14ac:dyDescent="0.25">
      <c r="A333" s="1">
        <v>2025</v>
      </c>
      <c r="B333">
        <v>9</v>
      </c>
      <c r="C333" s="1">
        <v>3</v>
      </c>
      <c r="D333">
        <v>15</v>
      </c>
      <c r="E333" s="1">
        <f>D333</f>
        <v>15</v>
      </c>
      <c r="F333" s="1"/>
      <c r="G333" t="s">
        <v>12</v>
      </c>
      <c r="H333" t="s">
        <v>111</v>
      </c>
      <c r="I333" s="1"/>
      <c r="J333" s="1"/>
    </row>
    <row r="334" spans="1:10" x14ac:dyDescent="0.25">
      <c r="A334" s="1">
        <v>2025</v>
      </c>
      <c r="B334">
        <v>9</v>
      </c>
      <c r="C334" s="1">
        <v>4</v>
      </c>
      <c r="D334">
        <v>70</v>
      </c>
      <c r="E334" s="1">
        <f>E333+D334</f>
        <v>85</v>
      </c>
      <c r="F334" s="1"/>
      <c r="G334" t="s">
        <v>124</v>
      </c>
      <c r="H334" t="s">
        <v>178</v>
      </c>
      <c r="I334" s="1"/>
      <c r="J334" s="1"/>
    </row>
    <row r="335" spans="1:10" x14ac:dyDescent="0.25">
      <c r="A335" s="1">
        <v>2025</v>
      </c>
      <c r="B335" s="1">
        <v>9</v>
      </c>
      <c r="C335" s="1">
        <v>5</v>
      </c>
      <c r="D335">
        <v>100</v>
      </c>
      <c r="E335" s="1">
        <f t="shared" ref="E335:E344" si="23">E334+D335</f>
        <v>185</v>
      </c>
      <c r="F335" s="1"/>
      <c r="G335" t="s">
        <v>109</v>
      </c>
      <c r="H335" t="s">
        <v>177</v>
      </c>
      <c r="I335" s="1"/>
      <c r="J335" s="1"/>
    </row>
    <row r="336" spans="1:10" x14ac:dyDescent="0.25">
      <c r="A336" s="1">
        <v>2025</v>
      </c>
      <c r="B336" s="1">
        <v>9</v>
      </c>
      <c r="C336" s="1">
        <v>5</v>
      </c>
      <c r="D336">
        <v>12</v>
      </c>
      <c r="E336" s="1">
        <f t="shared" si="23"/>
        <v>197</v>
      </c>
      <c r="F336" s="1"/>
      <c r="G336" t="s">
        <v>181</v>
      </c>
      <c r="H336" t="s">
        <v>182</v>
      </c>
      <c r="I336" s="1"/>
      <c r="J336" s="1"/>
    </row>
    <row r="337" spans="1:10" x14ac:dyDescent="0.25">
      <c r="A337" s="1">
        <v>2025</v>
      </c>
      <c r="B337" s="1">
        <v>9</v>
      </c>
      <c r="C337" s="1">
        <v>5</v>
      </c>
      <c r="D337">
        <v>60</v>
      </c>
      <c r="E337" s="1">
        <f t="shared" si="23"/>
        <v>257</v>
      </c>
      <c r="F337" s="1"/>
      <c r="G337" t="s">
        <v>125</v>
      </c>
      <c r="H337" t="s">
        <v>188</v>
      </c>
      <c r="I337" s="1"/>
      <c r="J337" s="1"/>
    </row>
    <row r="338" spans="1:10" x14ac:dyDescent="0.25">
      <c r="A338" s="1">
        <v>2025</v>
      </c>
      <c r="B338" s="1">
        <v>9</v>
      </c>
      <c r="C338" s="1">
        <v>9</v>
      </c>
      <c r="D338">
        <v>15</v>
      </c>
      <c r="E338" s="1">
        <f t="shared" si="23"/>
        <v>272</v>
      </c>
      <c r="F338" s="1"/>
      <c r="G338" t="s">
        <v>12</v>
      </c>
      <c r="H338" t="s">
        <v>106</v>
      </c>
      <c r="I338" s="1"/>
      <c r="J338" s="1"/>
    </row>
    <row r="339" spans="1:10" x14ac:dyDescent="0.25">
      <c r="A339" s="1">
        <v>2025</v>
      </c>
      <c r="B339" s="1">
        <v>9</v>
      </c>
      <c r="C339" s="1">
        <v>13</v>
      </c>
      <c r="D339">
        <v>60</v>
      </c>
      <c r="E339" s="1">
        <f t="shared" si="23"/>
        <v>332</v>
      </c>
      <c r="F339" s="1"/>
      <c r="G339" t="s">
        <v>5</v>
      </c>
      <c r="H339" t="s">
        <v>180</v>
      </c>
      <c r="I339" s="1"/>
      <c r="J339" s="1"/>
    </row>
    <row r="340" spans="1:10" x14ac:dyDescent="0.25">
      <c r="A340" s="1">
        <v>2025</v>
      </c>
      <c r="B340" s="1">
        <v>9</v>
      </c>
      <c r="C340" s="1">
        <v>13</v>
      </c>
      <c r="D340">
        <v>16</v>
      </c>
      <c r="E340" s="1">
        <f t="shared" si="23"/>
        <v>348</v>
      </c>
      <c r="F340" s="1"/>
      <c r="G340" t="s">
        <v>8</v>
      </c>
      <c r="H340" t="s">
        <v>187</v>
      </c>
      <c r="I340" s="1"/>
      <c r="J340" s="1"/>
    </row>
    <row r="341" spans="1:10" x14ac:dyDescent="0.25">
      <c r="A341" s="1">
        <v>2025</v>
      </c>
      <c r="B341" s="1">
        <v>9</v>
      </c>
      <c r="C341" s="1">
        <v>18</v>
      </c>
      <c r="D341">
        <v>100</v>
      </c>
      <c r="E341" s="1">
        <f t="shared" si="23"/>
        <v>448</v>
      </c>
      <c r="F341" s="1"/>
      <c r="G341" t="s">
        <v>109</v>
      </c>
      <c r="H341" t="s">
        <v>179</v>
      </c>
      <c r="I341" s="1"/>
      <c r="J341" s="1"/>
    </row>
    <row r="342" spans="1:10" x14ac:dyDescent="0.25">
      <c r="A342" s="1">
        <v>2025</v>
      </c>
      <c r="B342" s="1">
        <v>9</v>
      </c>
      <c r="C342" s="1">
        <v>18</v>
      </c>
      <c r="D342">
        <v>60</v>
      </c>
      <c r="E342" s="1">
        <f t="shared" si="23"/>
        <v>508</v>
      </c>
      <c r="F342" s="1"/>
      <c r="G342" t="s">
        <v>147</v>
      </c>
      <c r="H342" t="s">
        <v>186</v>
      </c>
      <c r="I342" s="1"/>
      <c r="J342" s="1"/>
    </row>
    <row r="343" spans="1:10" x14ac:dyDescent="0.25">
      <c r="A343" s="1">
        <v>2025</v>
      </c>
      <c r="B343" s="1">
        <v>9</v>
      </c>
      <c r="C343" s="1">
        <v>26</v>
      </c>
      <c r="D343">
        <v>15</v>
      </c>
      <c r="E343" s="1">
        <f t="shared" si="23"/>
        <v>523</v>
      </c>
      <c r="F343" s="1"/>
      <c r="G343" t="s">
        <v>12</v>
      </c>
      <c r="H343" t="s">
        <v>106</v>
      </c>
      <c r="I343" s="1"/>
      <c r="J343" s="1"/>
    </row>
    <row r="344" spans="1:10" x14ac:dyDescent="0.25">
      <c r="A344" s="1">
        <v>2025</v>
      </c>
      <c r="B344" s="1">
        <v>9</v>
      </c>
      <c r="C344" s="1">
        <v>27</v>
      </c>
      <c r="D344">
        <v>110</v>
      </c>
      <c r="E344" s="1">
        <f t="shared" si="23"/>
        <v>633</v>
      </c>
      <c r="F344" s="1"/>
      <c r="G344" t="s">
        <v>160</v>
      </c>
      <c r="H344" t="s">
        <v>183</v>
      </c>
      <c r="I344" s="1"/>
      <c r="J344" s="1"/>
    </row>
    <row r="345" spans="1:10" x14ac:dyDescent="0.25">
      <c r="A345" s="1">
        <v>2025</v>
      </c>
      <c r="B345" s="1">
        <v>10</v>
      </c>
      <c r="C345" s="1">
        <v>1</v>
      </c>
      <c r="D345">
        <v>15</v>
      </c>
      <c r="E345" s="1">
        <f>D345</f>
        <v>15</v>
      </c>
      <c r="F345" s="1"/>
      <c r="G345" t="s">
        <v>12</v>
      </c>
      <c r="H345" t="s">
        <v>111</v>
      </c>
      <c r="I345" s="1"/>
      <c r="J345" s="1"/>
    </row>
    <row r="346" spans="1:10" x14ac:dyDescent="0.25">
      <c r="A346" s="1">
        <v>2025</v>
      </c>
      <c r="B346" s="1">
        <v>10</v>
      </c>
      <c r="C346" s="1">
        <v>4</v>
      </c>
      <c r="D346">
        <v>100</v>
      </c>
      <c r="E346" s="1">
        <f>E345+D346</f>
        <v>115</v>
      </c>
      <c r="F346" s="1"/>
      <c r="G346" t="s">
        <v>160</v>
      </c>
      <c r="H346" t="s">
        <v>185</v>
      </c>
      <c r="I346" s="1"/>
      <c r="J346" s="1"/>
    </row>
    <row r="347" spans="1:10" x14ac:dyDescent="0.25">
      <c r="A347" s="1">
        <v>2025</v>
      </c>
      <c r="B347" s="1">
        <v>10</v>
      </c>
      <c r="C347" s="1">
        <v>7</v>
      </c>
      <c r="D347">
        <v>15</v>
      </c>
      <c r="E347" s="1">
        <f t="shared" ref="E347:E352" si="24">E346+D347</f>
        <v>130</v>
      </c>
      <c r="F347" s="1"/>
      <c r="G347" t="s">
        <v>12</v>
      </c>
      <c r="H347" t="s">
        <v>106</v>
      </c>
      <c r="I347" s="1"/>
      <c r="J347" s="1"/>
    </row>
    <row r="348" spans="1:10" x14ac:dyDescent="0.25">
      <c r="A348" s="1">
        <v>2025</v>
      </c>
      <c r="B348" s="1">
        <v>10</v>
      </c>
      <c r="C348" s="1">
        <v>17</v>
      </c>
      <c r="D348">
        <v>50</v>
      </c>
      <c r="E348" s="1">
        <f t="shared" si="24"/>
        <v>180</v>
      </c>
      <c r="F348" s="1"/>
      <c r="G348" t="s">
        <v>153</v>
      </c>
      <c r="H348" t="s">
        <v>186</v>
      </c>
      <c r="I348" s="1"/>
      <c r="J348" s="1"/>
    </row>
    <row r="349" spans="1:10" x14ac:dyDescent="0.25">
      <c r="A349" s="1">
        <v>2025</v>
      </c>
      <c r="B349" s="1">
        <v>10</v>
      </c>
      <c r="C349" s="1">
        <v>18</v>
      </c>
      <c r="D349">
        <v>15</v>
      </c>
      <c r="E349" s="1">
        <f t="shared" si="24"/>
        <v>195</v>
      </c>
      <c r="F349" s="1"/>
      <c r="G349" t="s">
        <v>12</v>
      </c>
      <c r="H349" t="s">
        <v>104</v>
      </c>
      <c r="I349" s="1"/>
      <c r="J349" s="1"/>
    </row>
    <row r="350" spans="1:10" x14ac:dyDescent="0.25">
      <c r="A350" s="1">
        <v>2025</v>
      </c>
      <c r="B350" s="1">
        <v>10</v>
      </c>
      <c r="C350" s="1">
        <v>20</v>
      </c>
      <c r="D350">
        <v>100</v>
      </c>
      <c r="E350" s="1">
        <f t="shared" si="24"/>
        <v>295</v>
      </c>
      <c r="F350" s="1"/>
      <c r="G350" t="s">
        <v>5</v>
      </c>
      <c r="H350" t="s">
        <v>190</v>
      </c>
      <c r="I350" s="1"/>
      <c r="J350" s="1"/>
    </row>
    <row r="351" spans="1:10" x14ac:dyDescent="0.25">
      <c r="A351" s="1">
        <v>2025</v>
      </c>
      <c r="B351" s="1">
        <v>10</v>
      </c>
      <c r="C351" s="1">
        <v>20</v>
      </c>
      <c r="D351">
        <v>55</v>
      </c>
      <c r="E351" s="1">
        <f t="shared" si="24"/>
        <v>350</v>
      </c>
      <c r="F351" s="1"/>
      <c r="G351" t="s">
        <v>124</v>
      </c>
      <c r="H351" t="s">
        <v>189</v>
      </c>
      <c r="I351" s="1"/>
      <c r="J351" s="1"/>
    </row>
    <row r="352" spans="1:10" x14ac:dyDescent="0.25">
      <c r="A352" s="1">
        <v>2025</v>
      </c>
      <c r="B352" s="1">
        <v>10</v>
      </c>
      <c r="C352" s="1">
        <v>21</v>
      </c>
      <c r="D352">
        <v>15</v>
      </c>
      <c r="E352" s="1">
        <f t="shared" si="24"/>
        <v>365</v>
      </c>
      <c r="F352" s="1"/>
      <c r="G352" t="s">
        <v>12</v>
      </c>
      <c r="H352" t="s">
        <v>111</v>
      </c>
      <c r="I352" s="1"/>
      <c r="J352" s="1"/>
    </row>
    <row r="353" spans="4:10" x14ac:dyDescent="0.25">
      <c r="D353" s="1"/>
      <c r="E353" s="1"/>
      <c r="F353" s="1"/>
      <c r="G353" s="1"/>
      <c r="H353" s="1"/>
      <c r="I353" s="1"/>
      <c r="J353" s="1"/>
    </row>
    <row r="354" spans="4:10" x14ac:dyDescent="0.25">
      <c r="D354" s="1"/>
      <c r="E354" s="1"/>
      <c r="F354" s="1"/>
      <c r="G354" s="1"/>
      <c r="H354" s="1"/>
      <c r="I354" s="1"/>
      <c r="J354" s="1"/>
    </row>
    <row r="355" spans="4:10" x14ac:dyDescent="0.25">
      <c r="D355" s="1"/>
      <c r="E355" s="1"/>
      <c r="F355" s="1"/>
      <c r="G355" s="1"/>
      <c r="H355" s="1"/>
      <c r="I355" s="1"/>
      <c r="J355" s="1"/>
    </row>
    <row r="356" spans="4:10" x14ac:dyDescent="0.25">
      <c r="D356" s="1"/>
      <c r="E356" s="1"/>
      <c r="F356" s="1"/>
      <c r="G356" s="1"/>
      <c r="H356" s="1"/>
      <c r="I356" s="1"/>
      <c r="J356" s="1"/>
    </row>
    <row r="357" spans="4:10" x14ac:dyDescent="0.25">
      <c r="D357" s="1"/>
      <c r="E357" s="1"/>
      <c r="F357" s="1"/>
      <c r="G357" s="1"/>
      <c r="H357" s="1"/>
      <c r="I357" s="1"/>
      <c r="J357" s="1"/>
    </row>
    <row r="358" spans="4:10" x14ac:dyDescent="0.25">
      <c r="D358" s="1"/>
      <c r="E358" s="1"/>
      <c r="F358" s="1"/>
      <c r="G358" s="1"/>
      <c r="H358" s="1"/>
      <c r="I358" s="1"/>
      <c r="J358" s="1"/>
    </row>
    <row r="359" spans="4:10" x14ac:dyDescent="0.25">
      <c r="D359" s="1"/>
      <c r="H359" s="1"/>
      <c r="I359" s="1"/>
      <c r="J359" s="1"/>
    </row>
    <row r="360" spans="4:10" x14ac:dyDescent="0.25">
      <c r="D360" s="1"/>
      <c r="E360" s="1"/>
      <c r="F360" s="1"/>
      <c r="G360" s="1"/>
      <c r="H360" s="1"/>
      <c r="I360" s="1"/>
      <c r="J360" s="1"/>
    </row>
    <row r="361" spans="4:10" x14ac:dyDescent="0.25">
      <c r="D361" s="1"/>
      <c r="E361" s="1"/>
      <c r="F361" s="1"/>
      <c r="G361" s="1"/>
      <c r="H361" s="1"/>
      <c r="I361" s="1"/>
      <c r="J361" s="1"/>
    </row>
    <row r="362" spans="4:10" x14ac:dyDescent="0.25">
      <c r="D362" s="1"/>
      <c r="E362" s="1"/>
      <c r="F362" s="1"/>
      <c r="G362" s="1"/>
      <c r="H362" s="1"/>
      <c r="I362" s="1"/>
      <c r="J362" s="1"/>
    </row>
    <row r="363" spans="4:10" x14ac:dyDescent="0.25">
      <c r="D363" s="1"/>
      <c r="E363" s="1"/>
      <c r="F363" s="1"/>
      <c r="G363" s="1"/>
      <c r="H363" s="1"/>
      <c r="I363" s="1"/>
      <c r="J363" s="1"/>
    </row>
    <row r="364" spans="4:10" x14ac:dyDescent="0.25">
      <c r="D364" s="1"/>
      <c r="E364" s="1"/>
      <c r="F364" s="1"/>
      <c r="G364" s="1"/>
      <c r="H364" s="1"/>
      <c r="I364" s="1"/>
      <c r="J364" s="1"/>
    </row>
    <row r="365" spans="4:10" x14ac:dyDescent="0.25">
      <c r="D365" s="1"/>
      <c r="E365" s="1"/>
      <c r="F365" s="1"/>
      <c r="G365" s="1"/>
      <c r="H365" s="1"/>
      <c r="I365" s="1"/>
      <c r="J365" s="1"/>
    </row>
    <row r="366" spans="4:10" x14ac:dyDescent="0.25">
      <c r="D366" s="1"/>
      <c r="E366" s="1"/>
      <c r="F366" s="1"/>
      <c r="G366" s="1"/>
      <c r="H366" s="1"/>
      <c r="I366" s="1"/>
      <c r="J366" s="1"/>
    </row>
    <row r="367" spans="4:10" x14ac:dyDescent="0.25">
      <c r="D367" s="1"/>
      <c r="E367" s="1"/>
      <c r="F367" s="1"/>
      <c r="G367" s="1"/>
      <c r="H367" s="1"/>
      <c r="I367" s="1"/>
      <c r="J367" s="1"/>
    </row>
    <row r="368" spans="4:10" x14ac:dyDescent="0.25">
      <c r="D368" s="1"/>
      <c r="E368" s="1"/>
      <c r="F368" s="1"/>
      <c r="G368" s="1"/>
      <c r="H368" s="1"/>
      <c r="I368" s="1"/>
      <c r="J368" s="1"/>
    </row>
    <row r="369" spans="4:10" x14ac:dyDescent="0.25">
      <c r="D369" s="1"/>
      <c r="E369" s="1"/>
      <c r="F369" s="1"/>
      <c r="G369" s="1"/>
      <c r="H369" s="1"/>
      <c r="I369" s="1"/>
      <c r="J369" s="1"/>
    </row>
    <row r="370" spans="4:10" x14ac:dyDescent="0.25">
      <c r="D370" s="1"/>
      <c r="E370" s="1"/>
      <c r="F370" s="1"/>
      <c r="G370" s="1"/>
      <c r="H370" s="1"/>
      <c r="I370" s="1"/>
      <c r="J370" s="1"/>
    </row>
    <row r="371" spans="4:10" x14ac:dyDescent="0.25">
      <c r="D371" s="1"/>
      <c r="E371" s="1"/>
      <c r="F371" s="1"/>
      <c r="G371" s="1"/>
      <c r="H371" s="1"/>
      <c r="I371" s="1"/>
      <c r="J371" s="1"/>
    </row>
    <row r="372" spans="4:10" x14ac:dyDescent="0.25">
      <c r="D372" s="1"/>
      <c r="E372" s="1"/>
      <c r="F372" s="1"/>
      <c r="G372" s="1"/>
      <c r="H372" s="1"/>
      <c r="I372" s="1"/>
      <c r="J372" s="1"/>
    </row>
    <row r="373" spans="4:10" x14ac:dyDescent="0.25">
      <c r="D373" s="1"/>
      <c r="E373" s="1"/>
      <c r="F373" s="1"/>
      <c r="G373" s="1"/>
      <c r="H373" s="1"/>
      <c r="I373" s="1"/>
      <c r="J373" s="1"/>
    </row>
    <row r="374" spans="4:10" x14ac:dyDescent="0.25">
      <c r="D374" s="1"/>
      <c r="E374" s="1"/>
      <c r="F374" s="1"/>
      <c r="G374" s="1"/>
      <c r="H374" s="1"/>
      <c r="I374" s="1"/>
      <c r="J374" s="1"/>
    </row>
    <row r="375" spans="4:10" x14ac:dyDescent="0.25">
      <c r="D375" s="1"/>
      <c r="E375" s="1"/>
      <c r="F375" s="1"/>
      <c r="G375" s="1"/>
      <c r="H375" s="1"/>
      <c r="I375" s="1"/>
      <c r="J375" s="1"/>
    </row>
    <row r="376" spans="4:10" x14ac:dyDescent="0.25">
      <c r="D376" s="1"/>
      <c r="E376" s="1"/>
      <c r="F376" s="1"/>
      <c r="G376" s="1"/>
      <c r="H376" s="1"/>
      <c r="I376" s="1"/>
      <c r="J376" s="1"/>
    </row>
    <row r="377" spans="4:10" x14ac:dyDescent="0.25">
      <c r="D377" s="1"/>
      <c r="E377" s="1"/>
      <c r="F377" s="1"/>
      <c r="G377" s="1"/>
      <c r="H377" s="1"/>
      <c r="I377" s="1"/>
      <c r="J377" s="1"/>
    </row>
    <row r="378" spans="4:10" x14ac:dyDescent="0.25">
      <c r="D378" s="1"/>
      <c r="E378" s="1"/>
      <c r="F378" s="1"/>
      <c r="G378" s="1"/>
      <c r="H378" s="1"/>
      <c r="I378" s="1"/>
      <c r="J378" s="1"/>
    </row>
    <row r="379" spans="4:10" x14ac:dyDescent="0.25">
      <c r="D379" s="1"/>
      <c r="E379" s="1"/>
      <c r="F379" s="1"/>
      <c r="G379" s="1"/>
      <c r="H379" s="1"/>
      <c r="I379" s="1"/>
      <c r="J379" s="1"/>
    </row>
    <row r="380" spans="4:10" x14ac:dyDescent="0.25">
      <c r="D380" s="1"/>
      <c r="E380" s="1"/>
      <c r="F380" s="1"/>
      <c r="G380" s="1"/>
      <c r="H380" s="1"/>
      <c r="I380" s="1"/>
      <c r="J380" s="1"/>
    </row>
    <row r="381" spans="4:10" x14ac:dyDescent="0.25">
      <c r="D381" s="1"/>
      <c r="E381" s="1"/>
      <c r="F381" s="1"/>
      <c r="G381" s="1"/>
      <c r="H381" s="1"/>
      <c r="I381" s="1"/>
      <c r="J381" s="1"/>
    </row>
    <row r="382" spans="4:10" x14ac:dyDescent="0.25">
      <c r="D382" s="1"/>
      <c r="E382" s="1"/>
      <c r="F382" s="1"/>
      <c r="G382" s="1"/>
      <c r="H382" s="1"/>
      <c r="I382" s="1"/>
      <c r="J382" s="1"/>
    </row>
    <row r="383" spans="4:10" x14ac:dyDescent="0.25">
      <c r="D383" s="1"/>
      <c r="E383" s="1"/>
      <c r="F383" s="1"/>
      <c r="G383" s="1"/>
      <c r="H383" s="1"/>
      <c r="I383" s="1"/>
      <c r="J383" s="1"/>
    </row>
    <row r="384" spans="4:10" x14ac:dyDescent="0.25">
      <c r="D384" s="1"/>
      <c r="E384" s="1"/>
      <c r="F384" s="1"/>
      <c r="G384" s="1"/>
      <c r="H384" s="1"/>
      <c r="I384" s="1"/>
      <c r="J384" s="1"/>
    </row>
    <row r="385" spans="4:10" x14ac:dyDescent="0.25">
      <c r="D385" s="1"/>
      <c r="E385" s="1"/>
      <c r="F385" s="1"/>
      <c r="G385" s="1"/>
      <c r="H385" s="1"/>
      <c r="I385" s="1"/>
      <c r="J385" s="1"/>
    </row>
    <row r="386" spans="4:10" x14ac:dyDescent="0.25">
      <c r="D386" s="1"/>
      <c r="E386" s="1"/>
      <c r="F386" s="1"/>
      <c r="G386" s="1"/>
      <c r="H386" s="1"/>
      <c r="I386" s="1"/>
      <c r="J386" s="1"/>
    </row>
    <row r="387" spans="4:10" x14ac:dyDescent="0.25">
      <c r="D387" s="1"/>
      <c r="E387" s="1"/>
      <c r="F387" s="1"/>
      <c r="G387" s="1"/>
      <c r="H387" s="1"/>
      <c r="I387" s="1"/>
      <c r="J387" s="1"/>
    </row>
    <row r="388" spans="4:10" x14ac:dyDescent="0.25">
      <c r="D388" s="1"/>
      <c r="E388" s="1"/>
      <c r="F388" s="1"/>
      <c r="G388" s="1"/>
      <c r="H388" s="1"/>
      <c r="I388" s="1"/>
      <c r="J388" s="1"/>
    </row>
    <row r="389" spans="4:10" x14ac:dyDescent="0.25">
      <c r="D389" s="1"/>
      <c r="E389" s="1"/>
      <c r="F389" s="1"/>
      <c r="G389" s="1"/>
      <c r="H389" s="1"/>
      <c r="I389" s="1"/>
      <c r="J389" s="1"/>
    </row>
    <row r="390" spans="4:10" x14ac:dyDescent="0.25">
      <c r="D390" s="1"/>
      <c r="E390" s="1"/>
      <c r="F390" s="1"/>
      <c r="G390" s="1"/>
      <c r="H390" s="1"/>
      <c r="I390" s="1"/>
      <c r="J390" s="1"/>
    </row>
    <row r="391" spans="4:10" x14ac:dyDescent="0.25">
      <c r="D391" s="1"/>
      <c r="E391" s="1"/>
      <c r="F391" s="1"/>
      <c r="G391" s="1"/>
      <c r="H391" s="1"/>
      <c r="I391" s="1"/>
      <c r="J391" s="1"/>
    </row>
    <row r="392" spans="4:10" x14ac:dyDescent="0.25">
      <c r="D392" s="1"/>
      <c r="E392" s="1"/>
      <c r="F392" s="1"/>
      <c r="G392" s="1"/>
      <c r="H392" s="1"/>
      <c r="I392" s="1"/>
      <c r="J392" s="1"/>
    </row>
    <row r="393" spans="4:10" x14ac:dyDescent="0.25">
      <c r="D393" s="1"/>
      <c r="E393" s="1"/>
      <c r="F393" s="1"/>
      <c r="G393" s="1"/>
      <c r="H393" s="1"/>
      <c r="I393" s="1"/>
      <c r="J393" s="1"/>
    </row>
    <row r="394" spans="4:10" x14ac:dyDescent="0.25">
      <c r="D394" s="1"/>
      <c r="E394" s="1"/>
      <c r="F394" s="1"/>
      <c r="G394" s="1"/>
      <c r="H394" s="1"/>
      <c r="I394" s="1"/>
      <c r="J394" s="1"/>
    </row>
    <row r="395" spans="4:10" x14ac:dyDescent="0.25">
      <c r="D395" s="1"/>
      <c r="E395" s="1"/>
      <c r="F395" s="1"/>
      <c r="G395" s="1"/>
      <c r="H395" s="1"/>
      <c r="I395" s="1"/>
      <c r="J395" s="1"/>
    </row>
    <row r="396" spans="4:10" x14ac:dyDescent="0.25">
      <c r="D396" s="1"/>
      <c r="E396" s="1"/>
      <c r="F396" s="1"/>
      <c r="G396" s="1"/>
      <c r="H396" s="1"/>
      <c r="I396" s="1"/>
      <c r="J396" s="1"/>
    </row>
    <row r="397" spans="4:10" x14ac:dyDescent="0.25">
      <c r="D397" s="1"/>
      <c r="E397" s="1"/>
      <c r="F397" s="1"/>
      <c r="G397" s="1"/>
      <c r="H397" s="1"/>
      <c r="I397" s="1"/>
      <c r="J397" s="1"/>
    </row>
    <row r="398" spans="4:10" x14ac:dyDescent="0.25">
      <c r="D398" s="1"/>
      <c r="E398" s="1"/>
      <c r="F398" s="1"/>
      <c r="G398" s="1"/>
      <c r="H398" s="1"/>
      <c r="I398" s="1"/>
      <c r="J398" s="1"/>
    </row>
    <row r="399" spans="4:10" x14ac:dyDescent="0.25">
      <c r="D399" s="1"/>
      <c r="E399" s="1"/>
      <c r="F399" s="1"/>
      <c r="G399" s="1"/>
      <c r="H399" s="1"/>
      <c r="I399" s="1"/>
      <c r="J399" s="1"/>
    </row>
    <row r="400" spans="4:10" x14ac:dyDescent="0.25">
      <c r="D400" s="1"/>
      <c r="E400" s="1"/>
      <c r="F400" s="1"/>
      <c r="G400" s="1"/>
      <c r="H400" s="1"/>
      <c r="I400" s="1"/>
      <c r="J400" s="1"/>
    </row>
    <row r="401" spans="4:10" x14ac:dyDescent="0.25">
      <c r="D401" s="1"/>
      <c r="E401" s="1"/>
      <c r="F401" s="1"/>
      <c r="G401" s="1"/>
      <c r="H401" s="1"/>
      <c r="I401" s="1"/>
      <c r="J401" s="1"/>
    </row>
    <row r="402" spans="4:10" x14ac:dyDescent="0.25">
      <c r="D402" s="1"/>
      <c r="E402" s="1"/>
      <c r="F402" s="1"/>
      <c r="G402" s="1"/>
      <c r="H402" s="1"/>
      <c r="I402" s="1"/>
      <c r="J402" s="1"/>
    </row>
    <row r="403" spans="4:10" x14ac:dyDescent="0.25">
      <c r="D403" s="1"/>
      <c r="E403" s="1"/>
      <c r="F403" s="1"/>
      <c r="G403" s="1"/>
      <c r="H403" s="1"/>
      <c r="I403" s="1"/>
      <c r="J403" s="1"/>
    </row>
    <row r="404" spans="4:10" x14ac:dyDescent="0.25">
      <c r="D404" s="1"/>
      <c r="E404" s="1"/>
      <c r="F404" s="1"/>
      <c r="G404" s="1"/>
      <c r="H404" s="1"/>
      <c r="I404" s="1"/>
      <c r="J404" s="1"/>
    </row>
    <row r="405" spans="4:10" x14ac:dyDescent="0.25">
      <c r="D405" s="1"/>
      <c r="E405" s="1"/>
      <c r="F405" s="1"/>
      <c r="G405" s="1"/>
      <c r="H405" s="1"/>
      <c r="I405" s="1"/>
      <c r="J405" s="1"/>
    </row>
    <row r="406" spans="4:10" x14ac:dyDescent="0.25">
      <c r="D406" s="1"/>
      <c r="E406" s="1"/>
      <c r="F406" s="1"/>
      <c r="G406" s="1"/>
      <c r="H406" s="1"/>
      <c r="I406" s="1"/>
      <c r="J406" s="1"/>
    </row>
    <row r="407" spans="4:10" x14ac:dyDescent="0.25">
      <c r="D407" s="1"/>
      <c r="E407" s="1"/>
      <c r="F407" s="1"/>
      <c r="G407" s="1"/>
      <c r="H407" s="1"/>
      <c r="I407" s="1"/>
      <c r="J407" s="1"/>
    </row>
    <row r="408" spans="4:10" x14ac:dyDescent="0.25">
      <c r="D408" s="1"/>
      <c r="E408" s="1"/>
      <c r="F408" s="1"/>
      <c r="G408" s="1"/>
      <c r="H408" s="1"/>
      <c r="I408" s="1"/>
      <c r="J408" s="1"/>
    </row>
    <row r="409" spans="4:10" x14ac:dyDescent="0.25">
      <c r="D409" s="1"/>
      <c r="E409" s="1"/>
      <c r="F409" s="1"/>
      <c r="G409" s="1"/>
      <c r="H409" s="1"/>
      <c r="I409" s="1"/>
      <c r="J409" s="1"/>
    </row>
    <row r="410" spans="4:10" x14ac:dyDescent="0.25">
      <c r="D410" s="1"/>
      <c r="E410" s="1"/>
      <c r="F410" s="1"/>
      <c r="G410" s="1"/>
      <c r="H410" s="1"/>
      <c r="I410" s="1"/>
      <c r="J410" s="1"/>
    </row>
    <row r="411" spans="4:10" x14ac:dyDescent="0.25">
      <c r="D411" s="1"/>
      <c r="E411" s="1"/>
      <c r="F411" s="1"/>
      <c r="G411" s="1"/>
      <c r="H411" s="1"/>
      <c r="I411" s="1"/>
      <c r="J411" s="1"/>
    </row>
    <row r="412" spans="4:10" x14ac:dyDescent="0.25">
      <c r="D412" s="1"/>
      <c r="E412" s="1"/>
      <c r="F412" s="1"/>
      <c r="G412" s="1"/>
      <c r="H412" s="1"/>
      <c r="I412" s="1"/>
      <c r="J412" s="1"/>
    </row>
    <row r="413" spans="4:10" x14ac:dyDescent="0.25">
      <c r="D413" s="1"/>
      <c r="E413" s="1"/>
      <c r="F413" s="1"/>
      <c r="G413" s="1"/>
      <c r="H413" s="1"/>
      <c r="I413" s="1"/>
      <c r="J413" s="1"/>
    </row>
    <row r="414" spans="4:10" x14ac:dyDescent="0.25">
      <c r="D414" s="1"/>
      <c r="E414" s="1"/>
      <c r="F414" s="1"/>
      <c r="G414" s="1"/>
      <c r="H414" s="1"/>
      <c r="I414" s="1"/>
      <c r="J414" s="1"/>
    </row>
    <row r="415" spans="4:10" x14ac:dyDescent="0.25">
      <c r="D415" s="1"/>
      <c r="E415" s="1"/>
      <c r="F415" s="1"/>
      <c r="G415" s="1"/>
      <c r="H415" s="1"/>
      <c r="I415" s="1"/>
      <c r="J415" s="1"/>
    </row>
    <row r="416" spans="4:10" x14ac:dyDescent="0.25">
      <c r="D416" s="1"/>
      <c r="E416" s="1"/>
      <c r="F416" s="1"/>
      <c r="G416" s="1"/>
      <c r="H416" s="1"/>
      <c r="I416" s="1"/>
      <c r="J416" s="1"/>
    </row>
    <row r="417" spans="4:10" x14ac:dyDescent="0.25">
      <c r="D417" s="1"/>
      <c r="E417" s="1"/>
      <c r="F417" s="1"/>
      <c r="G417" s="1"/>
      <c r="H417" s="1"/>
      <c r="I417" s="1"/>
      <c r="J417" s="1"/>
    </row>
    <row r="418" spans="4:10" x14ac:dyDescent="0.25">
      <c r="D418" s="1"/>
      <c r="E418" s="1"/>
      <c r="F418" s="1"/>
      <c r="G418" s="1"/>
      <c r="H418" s="1"/>
      <c r="I418" s="1"/>
      <c r="J418" s="1"/>
    </row>
    <row r="419" spans="4:10" x14ac:dyDescent="0.25">
      <c r="D419" s="1"/>
      <c r="E419" s="1"/>
      <c r="F419" s="1"/>
      <c r="G419" s="1"/>
      <c r="H419" s="1"/>
      <c r="I419" s="1"/>
      <c r="J419" s="1"/>
    </row>
    <row r="420" spans="4:10" x14ac:dyDescent="0.25">
      <c r="D420" s="1"/>
      <c r="E420" s="1"/>
      <c r="F420" s="1"/>
      <c r="G420" s="1"/>
      <c r="H420" s="1"/>
      <c r="I420" s="1"/>
      <c r="J420" s="1"/>
    </row>
    <row r="421" spans="4:10" x14ac:dyDescent="0.25">
      <c r="D421" s="1"/>
      <c r="E421" s="1"/>
      <c r="F421" s="1"/>
      <c r="G421" s="1"/>
      <c r="H421" s="1"/>
      <c r="I421" s="1"/>
      <c r="J421" s="1"/>
    </row>
    <row r="422" spans="4:10" x14ac:dyDescent="0.25">
      <c r="D422" s="1"/>
      <c r="E422" s="1"/>
      <c r="F422" s="1"/>
      <c r="G422" s="1"/>
      <c r="H422" s="1"/>
      <c r="I422" s="1"/>
      <c r="J422" s="1"/>
    </row>
    <row r="423" spans="4:10" x14ac:dyDescent="0.25">
      <c r="D423" s="1"/>
      <c r="E423" s="1"/>
      <c r="F423" s="1"/>
      <c r="G423" s="1"/>
      <c r="H423" s="1"/>
      <c r="I423" s="1"/>
      <c r="J423" s="1"/>
    </row>
    <row r="424" spans="4:10" x14ac:dyDescent="0.25">
      <c r="D424" s="1"/>
      <c r="E424" s="1"/>
      <c r="F424" s="1"/>
      <c r="G424" s="1"/>
      <c r="H424" s="1"/>
      <c r="I424" s="1"/>
      <c r="J424" s="1"/>
    </row>
    <row r="425" spans="4:10" x14ac:dyDescent="0.25">
      <c r="D425" s="1"/>
      <c r="E425" s="1"/>
      <c r="F425" s="1"/>
      <c r="G425" s="1"/>
      <c r="H425" s="1"/>
      <c r="I425" s="1"/>
      <c r="J425" s="1"/>
    </row>
    <row r="426" spans="4:10" x14ac:dyDescent="0.25">
      <c r="D426" s="1"/>
      <c r="E426" s="1"/>
      <c r="F426" s="1"/>
      <c r="G426" s="1"/>
      <c r="H426" s="1"/>
      <c r="I426" s="1"/>
      <c r="J426" s="1"/>
    </row>
    <row r="427" spans="4:10" x14ac:dyDescent="0.25">
      <c r="D427" s="1"/>
      <c r="E427" s="1"/>
      <c r="F427" s="1"/>
      <c r="G427" s="1"/>
      <c r="H427" s="1"/>
      <c r="I427" s="1"/>
      <c r="J427" s="1"/>
    </row>
    <row r="428" spans="4:10" x14ac:dyDescent="0.25">
      <c r="D428" s="1"/>
      <c r="E428" s="1"/>
      <c r="F428" s="1"/>
      <c r="G428" s="1"/>
      <c r="H428" s="1"/>
      <c r="I428" s="1"/>
      <c r="J428" s="1"/>
    </row>
    <row r="429" spans="4:10" x14ac:dyDescent="0.25">
      <c r="D429" s="1"/>
      <c r="E429" s="1"/>
      <c r="F429" s="1"/>
      <c r="G429" s="1"/>
      <c r="H429" s="1"/>
      <c r="I429" s="1"/>
      <c r="J429" s="1"/>
    </row>
    <row r="430" spans="4:10" x14ac:dyDescent="0.25">
      <c r="D430" s="1"/>
      <c r="E430" s="1"/>
      <c r="F430" s="1"/>
      <c r="G430" s="1"/>
      <c r="H430" s="1"/>
      <c r="I430" s="1"/>
      <c r="J430" s="1"/>
    </row>
    <row r="431" spans="4:10" x14ac:dyDescent="0.25">
      <c r="D431" s="1"/>
      <c r="E431" s="1"/>
      <c r="F431" s="1"/>
      <c r="G431" s="1"/>
      <c r="H431" s="1"/>
      <c r="I431" s="1"/>
      <c r="J431" s="1"/>
    </row>
    <row r="432" spans="4:10" x14ac:dyDescent="0.25">
      <c r="D432" s="1"/>
      <c r="E432" s="1"/>
      <c r="F432" s="1"/>
      <c r="G432" s="1"/>
      <c r="H432" s="1"/>
      <c r="I432" s="1"/>
      <c r="J432" s="1"/>
    </row>
    <row r="433" spans="4:10" x14ac:dyDescent="0.25">
      <c r="D433" s="1"/>
      <c r="E433" s="1"/>
      <c r="F433" s="1"/>
      <c r="G433" s="1"/>
      <c r="H433" s="1"/>
      <c r="I433" s="1"/>
      <c r="J433" s="1"/>
    </row>
    <row r="434" spans="4:10" x14ac:dyDescent="0.25">
      <c r="D434" s="1"/>
      <c r="E434" s="1"/>
      <c r="F434" s="1"/>
      <c r="G434" s="1"/>
      <c r="H434" s="1"/>
      <c r="I434" s="1"/>
      <c r="J434" s="1"/>
    </row>
    <row r="435" spans="4:10" x14ac:dyDescent="0.25">
      <c r="D435" s="1"/>
      <c r="E435" s="1"/>
      <c r="F435" s="1"/>
      <c r="G435" s="1"/>
      <c r="H435" s="1"/>
      <c r="I435" s="1"/>
      <c r="J435" s="1"/>
    </row>
    <row r="436" spans="4:10" x14ac:dyDescent="0.25">
      <c r="D436" s="1"/>
      <c r="E436" s="1"/>
      <c r="F436" s="1"/>
      <c r="G436" s="1"/>
      <c r="H436" s="1"/>
      <c r="I436" s="1"/>
      <c r="J436" s="1"/>
    </row>
    <row r="437" spans="4:10" x14ac:dyDescent="0.25">
      <c r="D437" s="1"/>
      <c r="E437" s="1"/>
      <c r="F437" s="1"/>
      <c r="G437" s="1"/>
      <c r="H437" s="1"/>
      <c r="I437" s="1"/>
      <c r="J437" s="1"/>
    </row>
    <row r="438" spans="4:10" x14ac:dyDescent="0.25">
      <c r="D438" s="1"/>
      <c r="E438" s="1"/>
      <c r="F438" s="1"/>
      <c r="G438" s="1"/>
      <c r="H438" s="1"/>
      <c r="I438" s="1"/>
      <c r="J438" s="1"/>
    </row>
    <row r="439" spans="4:10" x14ac:dyDescent="0.25">
      <c r="D439" s="1"/>
      <c r="E439" s="1"/>
      <c r="F439" s="1"/>
      <c r="G439" s="1"/>
      <c r="H439" s="1"/>
      <c r="I439" s="1"/>
      <c r="J439" s="1"/>
    </row>
    <row r="440" spans="4:10" x14ac:dyDescent="0.25">
      <c r="D440" s="1"/>
      <c r="E440" s="1"/>
      <c r="F440" s="1"/>
      <c r="G440" s="1"/>
      <c r="H440" s="1"/>
      <c r="I440" s="1"/>
      <c r="J440" s="1"/>
    </row>
    <row r="441" spans="4:10" x14ac:dyDescent="0.25">
      <c r="D441" s="1"/>
      <c r="E441" s="1"/>
      <c r="F441" s="1"/>
      <c r="G441" s="1"/>
      <c r="H441" s="1"/>
      <c r="I441" s="1"/>
      <c r="J441" s="1"/>
    </row>
    <row r="442" spans="4:10" x14ac:dyDescent="0.25">
      <c r="D442" s="1"/>
      <c r="E442" s="1"/>
      <c r="F442" s="1"/>
      <c r="G442" s="1"/>
      <c r="H442" s="1"/>
      <c r="I442" s="1"/>
      <c r="J442" s="1"/>
    </row>
    <row r="443" spans="4:10" x14ac:dyDescent="0.25">
      <c r="D443" s="1"/>
      <c r="E443" s="1"/>
      <c r="F443" s="1"/>
      <c r="G443" s="1"/>
      <c r="H443" s="1"/>
      <c r="I443" s="1"/>
      <c r="J443" s="1"/>
    </row>
  </sheetData>
  <autoFilter ref="D1:G253" xr:uid="{00000000-0009-0000-0000-000002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00"/>
  <sheetViews>
    <sheetView tabSelected="1" topLeftCell="E653" zoomScale="65" zoomScaleNormal="65" workbookViewId="0">
      <selection activeCell="J688" sqref="J688"/>
    </sheetView>
  </sheetViews>
  <sheetFormatPr defaultRowHeight="15" x14ac:dyDescent="0.25"/>
  <cols>
    <col min="1" max="1" width="8.140625" bestFit="1" customWidth="1"/>
    <col min="2" max="2" width="10.5703125" bestFit="1" customWidth="1"/>
    <col min="3" max="3" width="7.42578125" bestFit="1" customWidth="1"/>
    <col min="4" max="4" width="23" bestFit="1" customWidth="1"/>
    <col min="5" max="5" width="15.5703125" bestFit="1" customWidth="1"/>
    <col min="6" max="6" width="10.85546875" bestFit="1" customWidth="1"/>
    <col min="7" max="7" width="10.42578125" style="10" bestFit="1" customWidth="1"/>
    <col min="14" max="14" width="21.28515625" bestFit="1" customWidth="1"/>
    <col min="15" max="15" width="23.42578125" bestFit="1" customWidth="1"/>
    <col min="16" max="16" width="8.7109375" bestFit="1" customWidth="1"/>
    <col min="17" max="17" width="11.28515625" bestFit="1" customWidth="1"/>
    <col min="18" max="18" width="13.140625" bestFit="1" customWidth="1"/>
    <col min="19" max="19" width="12.7109375" bestFit="1" customWidth="1"/>
    <col min="20" max="20" width="10.85546875" bestFit="1" customWidth="1"/>
    <col min="21" max="21" width="6.5703125" bestFit="1" customWidth="1"/>
    <col min="22" max="22" width="7" bestFit="1" customWidth="1"/>
    <col min="23" max="23" width="13.28515625" bestFit="1" customWidth="1"/>
    <col min="24" max="24" width="8.42578125" bestFit="1" customWidth="1"/>
    <col min="25" max="26" width="10.42578125" bestFit="1" customWidth="1"/>
    <col min="27" max="27" width="12.28515625" bestFit="1" customWidth="1"/>
    <col min="28" max="28" width="10" bestFit="1" customWidth="1"/>
    <col min="29" max="29" width="17.7109375" bestFit="1" customWidth="1"/>
    <col min="30" max="30" width="9" bestFit="1" customWidth="1"/>
    <col min="31" max="31" width="11.5703125" bestFit="1" customWidth="1"/>
    <col min="32" max="32" width="10" bestFit="1" customWidth="1"/>
    <col min="33" max="33" width="27.5703125" bestFit="1" customWidth="1"/>
    <col min="34" max="34" width="18.5703125" bestFit="1" customWidth="1"/>
    <col min="35" max="35" width="10.42578125" bestFit="1" customWidth="1"/>
    <col min="36" max="36" width="12.42578125" bestFit="1" customWidth="1"/>
    <col min="37" max="37" width="16.140625" bestFit="1" customWidth="1"/>
    <col min="38" max="39" width="11.28515625" customWidth="1"/>
    <col min="40" max="40" width="7" customWidth="1"/>
    <col min="41" max="41" width="9" customWidth="1"/>
    <col min="42" max="42" width="8.42578125" customWidth="1"/>
    <col min="43" max="43" width="8.7109375" customWidth="1"/>
    <col min="44" max="44" width="9" customWidth="1"/>
    <col min="45" max="45" width="12" bestFit="1" customWidth="1"/>
    <col min="46" max="46" width="8" customWidth="1"/>
    <col min="47" max="47" width="9.85546875" bestFit="1" customWidth="1"/>
    <col min="48" max="48" width="8" customWidth="1"/>
    <col min="49" max="49" width="8.140625" customWidth="1"/>
    <col min="50" max="50" width="8" customWidth="1"/>
    <col min="51" max="51" width="20.140625" bestFit="1" customWidth="1"/>
    <col min="52" max="52" width="13.140625" bestFit="1" customWidth="1"/>
    <col min="53" max="53" width="10.42578125" bestFit="1" customWidth="1"/>
    <col min="54" max="54" width="7.28515625" customWidth="1"/>
    <col min="55" max="55" width="11.28515625" bestFit="1" customWidth="1"/>
  </cols>
  <sheetData>
    <row r="1" spans="1:7" ht="14.25" customHeight="1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0" t="s">
        <v>82</v>
      </c>
    </row>
    <row r="2" spans="1:7" x14ac:dyDescent="0.25">
      <c r="A2" s="1">
        <v>2022</v>
      </c>
      <c r="B2" s="1">
        <v>1</v>
      </c>
      <c r="C2" s="1">
        <v>1</v>
      </c>
      <c r="D2" s="1" t="s">
        <v>83</v>
      </c>
      <c r="E2" s="1" t="s">
        <v>66</v>
      </c>
      <c r="F2" s="1">
        <v>101637</v>
      </c>
      <c r="G2" s="10">
        <f>F2/1000</f>
        <v>101.637</v>
      </c>
    </row>
    <row r="3" spans="1:7" x14ac:dyDescent="0.25">
      <c r="A3" s="1">
        <v>2022</v>
      </c>
      <c r="B3" s="1">
        <v>1</v>
      </c>
      <c r="C3" s="1">
        <v>3</v>
      </c>
      <c r="D3" s="1" t="s">
        <v>8</v>
      </c>
      <c r="E3" s="1" t="s">
        <v>84</v>
      </c>
      <c r="F3" s="1">
        <v>10691</v>
      </c>
      <c r="G3" s="10">
        <f t="shared" ref="G3:G39" si="0">F3/1000</f>
        <v>10.691000000000001</v>
      </c>
    </row>
    <row r="4" spans="1:7" x14ac:dyDescent="0.25">
      <c r="A4" s="1">
        <v>2022</v>
      </c>
      <c r="B4" s="1">
        <v>1</v>
      </c>
      <c r="C4" s="1">
        <v>5</v>
      </c>
      <c r="D4" s="1" t="s">
        <v>83</v>
      </c>
      <c r="E4" s="1" t="s">
        <v>66</v>
      </c>
      <c r="F4" s="1">
        <v>96721</v>
      </c>
      <c r="G4" s="10">
        <f t="shared" si="0"/>
        <v>96.721000000000004</v>
      </c>
    </row>
    <row r="5" spans="1:7" x14ac:dyDescent="0.25">
      <c r="A5" s="1">
        <v>2022</v>
      </c>
      <c r="B5" s="1">
        <v>1</v>
      </c>
      <c r="C5" s="1">
        <v>6</v>
      </c>
      <c r="D5" s="1" t="s">
        <v>83</v>
      </c>
      <c r="E5" s="1" t="s">
        <v>66</v>
      </c>
      <c r="F5" s="1">
        <v>89768</v>
      </c>
      <c r="G5" s="10">
        <f t="shared" si="0"/>
        <v>89.768000000000001</v>
      </c>
    </row>
    <row r="6" spans="1:7" x14ac:dyDescent="0.25">
      <c r="A6" s="1">
        <v>2022</v>
      </c>
      <c r="B6" s="1">
        <v>1</v>
      </c>
      <c r="C6" s="1">
        <v>9</v>
      </c>
      <c r="D6" s="1" t="s">
        <v>83</v>
      </c>
      <c r="E6" s="1" t="s">
        <v>66</v>
      </c>
      <c r="F6" s="1">
        <v>31307</v>
      </c>
      <c r="G6" s="10">
        <f t="shared" si="0"/>
        <v>31.306999999999999</v>
      </c>
    </row>
    <row r="7" spans="1:7" x14ac:dyDescent="0.25">
      <c r="A7" s="1">
        <v>2022</v>
      </c>
      <c r="B7" s="1">
        <v>1</v>
      </c>
      <c r="C7" s="1">
        <v>14</v>
      </c>
      <c r="D7" s="1" t="s">
        <v>85</v>
      </c>
      <c r="E7" s="1" t="s">
        <v>66</v>
      </c>
      <c r="F7" s="1">
        <v>103458</v>
      </c>
      <c r="G7" s="10">
        <f t="shared" si="0"/>
        <v>103.458</v>
      </c>
    </row>
    <row r="8" spans="1:7" x14ac:dyDescent="0.25">
      <c r="A8" s="1">
        <v>2022</v>
      </c>
      <c r="B8" s="1">
        <v>1</v>
      </c>
      <c r="C8" s="1">
        <v>14</v>
      </c>
      <c r="D8" s="1" t="s">
        <v>83</v>
      </c>
      <c r="E8" s="1" t="s">
        <v>66</v>
      </c>
      <c r="F8" s="1">
        <v>85689</v>
      </c>
      <c r="G8" s="10">
        <f t="shared" si="0"/>
        <v>85.688999999999993</v>
      </c>
    </row>
    <row r="9" spans="1:7" x14ac:dyDescent="0.25">
      <c r="A9" s="1">
        <v>2022</v>
      </c>
      <c r="B9" s="1">
        <v>1</v>
      </c>
      <c r="C9" s="1">
        <v>18</v>
      </c>
      <c r="D9" s="1" t="s">
        <v>83</v>
      </c>
      <c r="E9" s="1" t="s">
        <v>66</v>
      </c>
      <c r="F9" s="1">
        <v>99558</v>
      </c>
      <c r="G9" s="10">
        <f t="shared" si="0"/>
        <v>99.558000000000007</v>
      </c>
    </row>
    <row r="10" spans="1:7" x14ac:dyDescent="0.25">
      <c r="A10" s="1">
        <v>2022</v>
      </c>
      <c r="B10" s="1">
        <v>1</v>
      </c>
      <c r="C10" s="1">
        <v>19</v>
      </c>
      <c r="D10" s="1" t="s">
        <v>20</v>
      </c>
      <c r="E10" s="1" t="s">
        <v>84</v>
      </c>
      <c r="F10" s="1">
        <v>1791</v>
      </c>
      <c r="G10" s="10">
        <f t="shared" si="0"/>
        <v>1.7909999999999999</v>
      </c>
    </row>
    <row r="11" spans="1:7" x14ac:dyDescent="0.25">
      <c r="A11" s="1">
        <v>2022</v>
      </c>
      <c r="B11" s="1">
        <v>1</v>
      </c>
      <c r="C11" s="1">
        <v>19</v>
      </c>
      <c r="D11" s="1" t="s">
        <v>83</v>
      </c>
      <c r="E11" s="1" t="s">
        <v>66</v>
      </c>
      <c r="F11" s="1">
        <v>60075</v>
      </c>
      <c r="G11" s="10">
        <f t="shared" si="0"/>
        <v>60.075000000000003</v>
      </c>
    </row>
    <row r="12" spans="1:7" x14ac:dyDescent="0.25">
      <c r="A12" s="1">
        <v>2022</v>
      </c>
      <c r="B12" s="1">
        <v>1</v>
      </c>
      <c r="C12" s="1">
        <v>21</v>
      </c>
      <c r="D12" s="1" t="s">
        <v>83</v>
      </c>
      <c r="E12" s="1" t="s">
        <v>66</v>
      </c>
      <c r="F12" s="1">
        <v>99636</v>
      </c>
      <c r="G12" s="10">
        <f t="shared" si="0"/>
        <v>99.635999999999996</v>
      </c>
    </row>
    <row r="13" spans="1:7" x14ac:dyDescent="0.25">
      <c r="A13" s="1">
        <v>2022</v>
      </c>
      <c r="B13" s="1">
        <v>1</v>
      </c>
      <c r="C13" s="1">
        <v>23</v>
      </c>
      <c r="D13" s="1" t="s">
        <v>83</v>
      </c>
      <c r="E13" s="1" t="s">
        <v>66</v>
      </c>
      <c r="F13" s="1">
        <v>87290</v>
      </c>
      <c r="G13" s="10">
        <f t="shared" si="0"/>
        <v>87.29</v>
      </c>
    </row>
    <row r="14" spans="1:7" x14ac:dyDescent="0.25">
      <c r="A14" s="1">
        <v>2022</v>
      </c>
      <c r="B14" s="1">
        <v>1</v>
      </c>
      <c r="C14" s="1">
        <v>25</v>
      </c>
      <c r="D14" s="1" t="s">
        <v>83</v>
      </c>
      <c r="E14" s="1" t="s">
        <v>84</v>
      </c>
      <c r="F14" s="1">
        <v>33757</v>
      </c>
      <c r="G14" s="10">
        <f t="shared" si="0"/>
        <v>33.756999999999998</v>
      </c>
    </row>
    <row r="15" spans="1:7" x14ac:dyDescent="0.25">
      <c r="A15" s="1">
        <v>2022</v>
      </c>
      <c r="B15" s="1">
        <v>1</v>
      </c>
      <c r="C15" s="1">
        <v>31</v>
      </c>
      <c r="D15" s="1" t="s">
        <v>83</v>
      </c>
      <c r="E15" s="1" t="s">
        <v>66</v>
      </c>
      <c r="F15" s="1">
        <v>101663</v>
      </c>
      <c r="G15" s="10">
        <f t="shared" si="0"/>
        <v>101.663</v>
      </c>
    </row>
    <row r="16" spans="1:7" x14ac:dyDescent="0.25">
      <c r="A16" s="1">
        <v>2022</v>
      </c>
      <c r="B16" s="1">
        <v>2</v>
      </c>
      <c r="C16" s="1">
        <v>3</v>
      </c>
      <c r="D16" s="1" t="s">
        <v>83</v>
      </c>
      <c r="E16" s="1" t="s">
        <v>66</v>
      </c>
      <c r="F16" s="1">
        <v>85797</v>
      </c>
      <c r="G16" s="10">
        <f t="shared" si="0"/>
        <v>85.796999999999997</v>
      </c>
    </row>
    <row r="17" spans="1:7" x14ac:dyDescent="0.25">
      <c r="A17" s="1">
        <v>2022</v>
      </c>
      <c r="B17" s="1">
        <v>2</v>
      </c>
      <c r="C17" s="1">
        <v>4</v>
      </c>
      <c r="D17" s="1" t="s">
        <v>12</v>
      </c>
      <c r="E17" s="1" t="s">
        <v>66</v>
      </c>
      <c r="F17" s="1">
        <v>6131</v>
      </c>
      <c r="G17" s="10">
        <f t="shared" si="0"/>
        <v>6.1310000000000002</v>
      </c>
    </row>
    <row r="18" spans="1:7" x14ac:dyDescent="0.25">
      <c r="A18" s="1">
        <v>2022</v>
      </c>
      <c r="B18" s="1">
        <v>2</v>
      </c>
      <c r="C18" s="1">
        <v>5</v>
      </c>
      <c r="D18" s="1" t="s">
        <v>8</v>
      </c>
      <c r="E18" s="1" t="s">
        <v>66</v>
      </c>
      <c r="F18" s="1">
        <v>1706</v>
      </c>
      <c r="G18" s="10">
        <f t="shared" si="0"/>
        <v>1.706</v>
      </c>
    </row>
    <row r="19" spans="1:7" x14ac:dyDescent="0.25">
      <c r="A19" s="1">
        <v>2022</v>
      </c>
      <c r="B19" s="1">
        <v>2</v>
      </c>
      <c r="C19" s="1">
        <v>9</v>
      </c>
      <c r="D19" s="1" t="s">
        <v>12</v>
      </c>
      <c r="E19" s="1" t="s">
        <v>66</v>
      </c>
      <c r="F19" s="1">
        <v>17308</v>
      </c>
      <c r="G19" s="10">
        <f t="shared" si="0"/>
        <v>17.308</v>
      </c>
    </row>
    <row r="20" spans="1:7" x14ac:dyDescent="0.25">
      <c r="A20" s="1">
        <v>2022</v>
      </c>
      <c r="B20" s="1">
        <v>2</v>
      </c>
      <c r="C20" s="1">
        <v>10</v>
      </c>
      <c r="D20" s="1" t="s">
        <v>83</v>
      </c>
      <c r="E20" s="1" t="s">
        <v>84</v>
      </c>
      <c r="F20" s="1">
        <v>23756</v>
      </c>
      <c r="G20" s="10">
        <f t="shared" si="0"/>
        <v>23.756</v>
      </c>
    </row>
    <row r="21" spans="1:7" x14ac:dyDescent="0.25">
      <c r="A21" s="1">
        <v>2022</v>
      </c>
      <c r="B21" s="1">
        <v>2</v>
      </c>
      <c r="C21" s="1">
        <v>11</v>
      </c>
      <c r="D21" s="1" t="s">
        <v>83</v>
      </c>
      <c r="E21" s="1" t="s">
        <v>66</v>
      </c>
      <c r="F21" s="1">
        <v>17108</v>
      </c>
      <c r="G21" s="10">
        <f t="shared" si="0"/>
        <v>17.108000000000001</v>
      </c>
    </row>
    <row r="22" spans="1:7" x14ac:dyDescent="0.25">
      <c r="A22" s="1">
        <v>2022</v>
      </c>
      <c r="B22" s="1">
        <v>2</v>
      </c>
      <c r="C22" s="1">
        <v>12</v>
      </c>
      <c r="D22" s="1" t="s">
        <v>20</v>
      </c>
      <c r="E22" s="1" t="s">
        <v>66</v>
      </c>
      <c r="F22" s="1">
        <v>4496</v>
      </c>
      <c r="G22" s="10">
        <f t="shared" si="0"/>
        <v>4.4960000000000004</v>
      </c>
    </row>
    <row r="23" spans="1:7" x14ac:dyDescent="0.25">
      <c r="A23" s="1">
        <v>2022</v>
      </c>
      <c r="B23" s="1">
        <v>2</v>
      </c>
      <c r="C23" s="1">
        <v>12</v>
      </c>
      <c r="D23" s="1" t="s">
        <v>20</v>
      </c>
      <c r="E23" s="1" t="s">
        <v>66</v>
      </c>
      <c r="F23" s="1">
        <v>2860</v>
      </c>
      <c r="G23" s="10">
        <f t="shared" si="0"/>
        <v>2.86</v>
      </c>
    </row>
    <row r="24" spans="1:7" x14ac:dyDescent="0.25">
      <c r="A24" s="1">
        <v>2022</v>
      </c>
      <c r="B24" s="1">
        <v>2</v>
      </c>
      <c r="C24" s="1">
        <v>12</v>
      </c>
      <c r="D24" s="1" t="s">
        <v>83</v>
      </c>
      <c r="E24" s="1" t="s">
        <v>66</v>
      </c>
      <c r="F24" s="1">
        <v>87744</v>
      </c>
      <c r="G24" s="10">
        <f t="shared" si="0"/>
        <v>87.744</v>
      </c>
    </row>
    <row r="25" spans="1:7" x14ac:dyDescent="0.25">
      <c r="A25" s="1">
        <v>2022</v>
      </c>
      <c r="B25" s="1">
        <v>2</v>
      </c>
      <c r="C25" s="1">
        <v>13</v>
      </c>
      <c r="D25" s="1" t="s">
        <v>8</v>
      </c>
      <c r="E25" s="1" t="s">
        <v>66</v>
      </c>
      <c r="F25" s="1">
        <v>3090</v>
      </c>
      <c r="G25" s="10">
        <f t="shared" si="0"/>
        <v>3.09</v>
      </c>
    </row>
    <row r="26" spans="1:7" x14ac:dyDescent="0.25">
      <c r="A26" s="1">
        <v>2022</v>
      </c>
      <c r="B26" s="1">
        <v>2</v>
      </c>
      <c r="C26" s="1">
        <v>13</v>
      </c>
      <c r="D26" s="1" t="s">
        <v>83</v>
      </c>
      <c r="E26" s="1" t="s">
        <v>66</v>
      </c>
      <c r="F26" s="1">
        <v>6404</v>
      </c>
      <c r="G26" s="10">
        <f t="shared" si="0"/>
        <v>6.4039999999999999</v>
      </c>
    </row>
    <row r="27" spans="1:7" x14ac:dyDescent="0.25">
      <c r="A27" s="1">
        <v>2022</v>
      </c>
      <c r="B27" s="1">
        <v>2</v>
      </c>
      <c r="C27" s="1">
        <v>14</v>
      </c>
      <c r="D27" s="1" t="s">
        <v>85</v>
      </c>
      <c r="E27" s="1" t="s">
        <v>66</v>
      </c>
      <c r="F27" s="1">
        <v>102839</v>
      </c>
      <c r="G27" s="10">
        <f t="shared" si="0"/>
        <v>102.839</v>
      </c>
    </row>
    <row r="28" spans="1:7" x14ac:dyDescent="0.25">
      <c r="A28" s="1">
        <v>2022</v>
      </c>
      <c r="B28" s="1">
        <v>2</v>
      </c>
      <c r="C28" s="1">
        <v>14</v>
      </c>
      <c r="D28" s="1" t="s">
        <v>8</v>
      </c>
      <c r="E28" s="1" t="s">
        <v>66</v>
      </c>
      <c r="F28" s="1">
        <v>11795</v>
      </c>
      <c r="G28" s="10">
        <f t="shared" si="0"/>
        <v>11.795</v>
      </c>
    </row>
    <row r="29" spans="1:7" x14ac:dyDescent="0.25">
      <c r="A29" s="1">
        <v>2022</v>
      </c>
      <c r="B29" s="1">
        <v>2</v>
      </c>
      <c r="C29" s="1">
        <v>14</v>
      </c>
      <c r="D29" s="1" t="s">
        <v>86</v>
      </c>
      <c r="E29" s="1" t="s">
        <v>84</v>
      </c>
      <c r="F29" s="1">
        <v>954</v>
      </c>
      <c r="G29" s="10">
        <f t="shared" si="0"/>
        <v>0.95399999999999996</v>
      </c>
    </row>
    <row r="30" spans="1:7" x14ac:dyDescent="0.25">
      <c r="A30" s="1">
        <v>2022</v>
      </c>
      <c r="B30" s="1">
        <v>2</v>
      </c>
      <c r="C30" s="1">
        <v>16</v>
      </c>
      <c r="D30" s="1" t="s">
        <v>86</v>
      </c>
      <c r="E30" s="1" t="s">
        <v>84</v>
      </c>
      <c r="F30" s="1">
        <v>1359</v>
      </c>
      <c r="G30" s="10">
        <f t="shared" si="0"/>
        <v>1.359</v>
      </c>
    </row>
    <row r="31" spans="1:7" x14ac:dyDescent="0.25">
      <c r="A31" s="1">
        <v>2022</v>
      </c>
      <c r="B31" s="1">
        <v>2</v>
      </c>
      <c r="C31" s="1">
        <v>19</v>
      </c>
      <c r="D31" s="1" t="s">
        <v>83</v>
      </c>
      <c r="E31" s="1" t="s">
        <v>66</v>
      </c>
      <c r="F31" s="1">
        <v>44795</v>
      </c>
      <c r="G31" s="10">
        <f t="shared" si="0"/>
        <v>44.795000000000002</v>
      </c>
    </row>
    <row r="32" spans="1:7" x14ac:dyDescent="0.25">
      <c r="A32" s="1">
        <v>2022</v>
      </c>
      <c r="B32" s="1">
        <v>2</v>
      </c>
      <c r="C32" s="1">
        <v>21</v>
      </c>
      <c r="D32" s="1" t="s">
        <v>83</v>
      </c>
      <c r="E32" s="1" t="s">
        <v>66</v>
      </c>
      <c r="F32" s="1">
        <v>84519</v>
      </c>
      <c r="G32" s="10">
        <f t="shared" si="0"/>
        <v>84.519000000000005</v>
      </c>
    </row>
    <row r="33" spans="1:7" x14ac:dyDescent="0.25">
      <c r="A33" s="1">
        <v>2022</v>
      </c>
      <c r="B33" s="1">
        <v>2</v>
      </c>
      <c r="C33" s="1">
        <v>22</v>
      </c>
      <c r="D33" s="1" t="s">
        <v>24</v>
      </c>
      <c r="E33" s="1" t="s">
        <v>66</v>
      </c>
      <c r="F33" s="1">
        <v>98439</v>
      </c>
      <c r="G33" s="10">
        <f t="shared" si="0"/>
        <v>98.438999999999993</v>
      </c>
    </row>
    <row r="34" spans="1:7" x14ac:dyDescent="0.25">
      <c r="A34" s="1">
        <v>2022</v>
      </c>
      <c r="B34" s="1">
        <v>2</v>
      </c>
      <c r="C34" s="1">
        <v>25</v>
      </c>
      <c r="D34" s="1" t="s">
        <v>12</v>
      </c>
      <c r="E34" s="1" t="s">
        <v>84</v>
      </c>
      <c r="F34" s="1">
        <v>13770</v>
      </c>
      <c r="G34" s="10">
        <f t="shared" si="0"/>
        <v>13.77</v>
      </c>
    </row>
    <row r="35" spans="1:7" x14ac:dyDescent="0.25">
      <c r="A35" s="1">
        <v>2022</v>
      </c>
      <c r="B35" s="1">
        <v>2</v>
      </c>
      <c r="C35" s="1">
        <v>26</v>
      </c>
      <c r="D35" s="1" t="s">
        <v>12</v>
      </c>
      <c r="E35" s="1" t="s">
        <v>84</v>
      </c>
      <c r="F35" s="1">
        <v>14827</v>
      </c>
      <c r="G35" s="10">
        <f t="shared" si="0"/>
        <v>14.827</v>
      </c>
    </row>
    <row r="36" spans="1:7" x14ac:dyDescent="0.25">
      <c r="A36" s="1">
        <v>2022</v>
      </c>
      <c r="B36" s="1">
        <v>2</v>
      </c>
      <c r="C36" s="1">
        <v>26</v>
      </c>
      <c r="D36" s="1" t="s">
        <v>83</v>
      </c>
      <c r="E36" s="1" t="s">
        <v>66</v>
      </c>
      <c r="F36" s="1">
        <v>30841</v>
      </c>
      <c r="G36" s="10">
        <f t="shared" si="0"/>
        <v>30.841000000000001</v>
      </c>
    </row>
    <row r="37" spans="1:7" x14ac:dyDescent="0.25">
      <c r="A37" s="1">
        <v>2022</v>
      </c>
      <c r="B37" s="1">
        <v>3</v>
      </c>
      <c r="C37" s="1">
        <v>2</v>
      </c>
      <c r="D37" s="1" t="s">
        <v>83</v>
      </c>
      <c r="E37" s="1" t="s">
        <v>66</v>
      </c>
      <c r="F37" s="1">
        <v>86432</v>
      </c>
      <c r="G37" s="10">
        <f t="shared" si="0"/>
        <v>86.432000000000002</v>
      </c>
    </row>
    <row r="38" spans="1:7" x14ac:dyDescent="0.25">
      <c r="A38" s="1">
        <v>2022</v>
      </c>
      <c r="B38" s="1">
        <v>3</v>
      </c>
      <c r="C38" s="1">
        <v>3</v>
      </c>
      <c r="D38" s="1" t="s">
        <v>53</v>
      </c>
      <c r="E38" s="1" t="s">
        <v>84</v>
      </c>
      <c r="F38" s="1">
        <v>28919</v>
      </c>
      <c r="G38" s="10">
        <f t="shared" si="0"/>
        <v>28.919</v>
      </c>
    </row>
    <row r="39" spans="1:7" x14ac:dyDescent="0.25">
      <c r="A39" s="1">
        <v>2022</v>
      </c>
      <c r="B39" s="1">
        <v>3</v>
      </c>
      <c r="C39" s="1">
        <v>4</v>
      </c>
      <c r="D39" s="1" t="s">
        <v>12</v>
      </c>
      <c r="E39" s="1" t="s">
        <v>84</v>
      </c>
      <c r="F39" s="1">
        <v>14917</v>
      </c>
      <c r="G39" s="10">
        <f t="shared" si="0"/>
        <v>14.917</v>
      </c>
    </row>
    <row r="40" spans="1:7" x14ac:dyDescent="0.25">
      <c r="A40" s="1">
        <v>2022</v>
      </c>
      <c r="B40" s="1">
        <v>3</v>
      </c>
      <c r="C40" s="1">
        <v>8</v>
      </c>
      <c r="D40" s="1" t="s">
        <v>53</v>
      </c>
      <c r="E40" s="1" t="s">
        <v>84</v>
      </c>
      <c r="F40" s="1">
        <v>713</v>
      </c>
      <c r="G40" s="10">
        <f t="shared" ref="G40:G84" si="1">F40/1000</f>
        <v>0.71299999999999997</v>
      </c>
    </row>
    <row r="41" spans="1:7" x14ac:dyDescent="0.25">
      <c r="A41" s="1">
        <v>2022</v>
      </c>
      <c r="B41" s="1">
        <v>3</v>
      </c>
      <c r="C41" s="1">
        <v>9</v>
      </c>
      <c r="D41" s="1" t="s">
        <v>12</v>
      </c>
      <c r="E41" s="1" t="s">
        <v>66</v>
      </c>
      <c r="F41" s="1">
        <v>15303</v>
      </c>
      <c r="G41" s="10">
        <f t="shared" si="1"/>
        <v>15.303000000000001</v>
      </c>
    </row>
    <row r="42" spans="1:7" x14ac:dyDescent="0.25">
      <c r="A42" s="1">
        <v>2022</v>
      </c>
      <c r="B42" s="1">
        <v>3</v>
      </c>
      <c r="C42" s="1">
        <v>9</v>
      </c>
      <c r="D42" s="1" t="s">
        <v>87</v>
      </c>
      <c r="E42" s="1" t="s">
        <v>66</v>
      </c>
      <c r="F42" s="1">
        <v>18716</v>
      </c>
      <c r="G42" s="10">
        <f t="shared" si="1"/>
        <v>18.716000000000001</v>
      </c>
    </row>
    <row r="43" spans="1:7" x14ac:dyDescent="0.25">
      <c r="A43" s="1">
        <v>2022</v>
      </c>
      <c r="B43" s="1">
        <v>3</v>
      </c>
      <c r="C43" s="1">
        <v>9</v>
      </c>
      <c r="D43" s="1" t="s">
        <v>83</v>
      </c>
      <c r="E43" s="1" t="s">
        <v>66</v>
      </c>
      <c r="F43" s="1">
        <v>98568</v>
      </c>
      <c r="G43" s="10">
        <f t="shared" si="1"/>
        <v>98.567999999999998</v>
      </c>
    </row>
    <row r="44" spans="1:7" x14ac:dyDescent="0.25">
      <c r="A44" s="1">
        <v>2022</v>
      </c>
      <c r="B44" s="1">
        <v>3</v>
      </c>
      <c r="C44" s="1">
        <v>11</v>
      </c>
      <c r="D44" s="1" t="s">
        <v>83</v>
      </c>
      <c r="E44" s="1" t="s">
        <v>66</v>
      </c>
      <c r="F44" s="1">
        <v>80641</v>
      </c>
      <c r="G44" s="10">
        <f t="shared" si="1"/>
        <v>80.641000000000005</v>
      </c>
    </row>
    <row r="45" spans="1:7" x14ac:dyDescent="0.25">
      <c r="A45" s="1">
        <v>2022</v>
      </c>
      <c r="B45" s="1">
        <v>3</v>
      </c>
      <c r="C45" s="1">
        <v>12</v>
      </c>
      <c r="D45" s="1" t="s">
        <v>83</v>
      </c>
      <c r="E45" s="1" t="s">
        <v>66</v>
      </c>
      <c r="F45" s="1">
        <v>98566</v>
      </c>
      <c r="G45" s="10">
        <f t="shared" si="1"/>
        <v>98.566000000000003</v>
      </c>
    </row>
    <row r="46" spans="1:7" x14ac:dyDescent="0.25">
      <c r="A46" s="1">
        <v>2022</v>
      </c>
      <c r="B46" s="1">
        <v>3</v>
      </c>
      <c r="C46" s="1">
        <v>13</v>
      </c>
      <c r="D46" s="1" t="s">
        <v>28</v>
      </c>
      <c r="E46" s="1" t="s">
        <v>84</v>
      </c>
      <c r="F46" s="1">
        <v>5527</v>
      </c>
      <c r="G46" s="10">
        <f t="shared" si="1"/>
        <v>5.5270000000000001</v>
      </c>
    </row>
    <row r="47" spans="1:7" x14ac:dyDescent="0.25">
      <c r="A47" s="1">
        <v>2022</v>
      </c>
      <c r="B47" s="1">
        <v>3</v>
      </c>
      <c r="C47" s="1">
        <v>14</v>
      </c>
      <c r="D47" s="1" t="s">
        <v>83</v>
      </c>
      <c r="E47" s="1" t="s">
        <v>66</v>
      </c>
      <c r="F47" s="1">
        <v>7335</v>
      </c>
      <c r="G47" s="10">
        <f t="shared" si="1"/>
        <v>7.335</v>
      </c>
    </row>
    <row r="48" spans="1:7" x14ac:dyDescent="0.25">
      <c r="A48" s="1">
        <v>2022</v>
      </c>
      <c r="B48" s="1">
        <v>3</v>
      </c>
      <c r="C48" s="1">
        <v>17</v>
      </c>
      <c r="D48" s="1" t="s">
        <v>85</v>
      </c>
      <c r="E48" s="1" t="s">
        <v>66</v>
      </c>
      <c r="F48" s="1">
        <v>19637</v>
      </c>
      <c r="G48" s="10">
        <f t="shared" si="1"/>
        <v>19.637</v>
      </c>
    </row>
    <row r="49" spans="1:7" x14ac:dyDescent="0.25">
      <c r="A49" s="1">
        <v>2022</v>
      </c>
      <c r="B49" s="1">
        <v>3</v>
      </c>
      <c r="C49" s="1">
        <v>17</v>
      </c>
      <c r="D49" s="1" t="s">
        <v>85</v>
      </c>
      <c r="E49" s="1" t="s">
        <v>66</v>
      </c>
      <c r="F49" s="1">
        <v>45868</v>
      </c>
      <c r="G49" s="10">
        <f t="shared" si="1"/>
        <v>45.868000000000002</v>
      </c>
    </row>
    <row r="50" spans="1:7" x14ac:dyDescent="0.25">
      <c r="A50" s="1">
        <v>2022</v>
      </c>
      <c r="B50" s="1">
        <v>3</v>
      </c>
      <c r="C50" s="1">
        <v>17</v>
      </c>
      <c r="D50" s="1" t="s">
        <v>85</v>
      </c>
      <c r="E50" s="1" t="s">
        <v>66</v>
      </c>
      <c r="F50" s="1">
        <v>19637</v>
      </c>
      <c r="G50" s="10">
        <f t="shared" si="1"/>
        <v>19.637</v>
      </c>
    </row>
    <row r="51" spans="1:7" x14ac:dyDescent="0.25">
      <c r="A51" s="1">
        <v>2022</v>
      </c>
      <c r="B51" s="1">
        <v>3</v>
      </c>
      <c r="C51" s="1">
        <v>17</v>
      </c>
      <c r="D51" s="1" t="s">
        <v>83</v>
      </c>
      <c r="E51" s="1" t="s">
        <v>66</v>
      </c>
      <c r="F51" s="1">
        <v>100056</v>
      </c>
      <c r="G51" s="10">
        <f t="shared" si="1"/>
        <v>100.056</v>
      </c>
    </row>
    <row r="52" spans="1:7" x14ac:dyDescent="0.25">
      <c r="A52" s="1">
        <v>2022</v>
      </c>
      <c r="B52" s="1">
        <v>3</v>
      </c>
      <c r="C52" s="1">
        <v>18</v>
      </c>
      <c r="D52" s="1" t="s">
        <v>83</v>
      </c>
      <c r="E52" s="1" t="s">
        <v>66</v>
      </c>
      <c r="F52" s="1">
        <v>17047</v>
      </c>
      <c r="G52" s="10">
        <f t="shared" si="1"/>
        <v>17.047000000000001</v>
      </c>
    </row>
    <row r="53" spans="1:7" x14ac:dyDescent="0.25">
      <c r="A53" s="1">
        <v>2022</v>
      </c>
      <c r="B53" s="1">
        <v>3</v>
      </c>
      <c r="C53" s="1">
        <v>19</v>
      </c>
      <c r="D53" s="1" t="s">
        <v>53</v>
      </c>
      <c r="E53" s="1" t="s">
        <v>66</v>
      </c>
      <c r="F53" s="1">
        <v>37049</v>
      </c>
      <c r="G53" s="10">
        <f t="shared" si="1"/>
        <v>37.048999999999999</v>
      </c>
    </row>
    <row r="54" spans="1:7" x14ac:dyDescent="0.25">
      <c r="A54" s="1">
        <v>2022</v>
      </c>
      <c r="B54" s="1">
        <v>3</v>
      </c>
      <c r="C54" s="1">
        <v>21</v>
      </c>
      <c r="D54" s="1" t="s">
        <v>86</v>
      </c>
      <c r="E54" s="1" t="s">
        <v>84</v>
      </c>
      <c r="F54" s="1">
        <v>3394</v>
      </c>
      <c r="G54" s="10">
        <f t="shared" si="1"/>
        <v>3.3940000000000001</v>
      </c>
    </row>
    <row r="55" spans="1:7" x14ac:dyDescent="0.25">
      <c r="A55" s="1">
        <v>2022</v>
      </c>
      <c r="B55" s="1">
        <v>3</v>
      </c>
      <c r="C55" s="1">
        <v>22</v>
      </c>
      <c r="D55" s="1" t="s">
        <v>83</v>
      </c>
      <c r="E55" s="1" t="s">
        <v>84</v>
      </c>
      <c r="F55" s="1">
        <v>81968</v>
      </c>
      <c r="G55" s="10">
        <f t="shared" si="1"/>
        <v>81.968000000000004</v>
      </c>
    </row>
    <row r="56" spans="1:7" x14ac:dyDescent="0.25">
      <c r="A56" s="1">
        <v>2022</v>
      </c>
      <c r="B56" s="1">
        <v>3</v>
      </c>
      <c r="C56" s="1">
        <v>22</v>
      </c>
      <c r="D56" s="1" t="s">
        <v>83</v>
      </c>
      <c r="E56" s="1" t="s">
        <v>66</v>
      </c>
      <c r="F56" s="1">
        <v>18641</v>
      </c>
      <c r="G56" s="10">
        <f t="shared" si="1"/>
        <v>18.640999999999998</v>
      </c>
    </row>
    <row r="57" spans="1:7" x14ac:dyDescent="0.25">
      <c r="A57" s="1">
        <v>2022</v>
      </c>
      <c r="B57" s="1">
        <v>3</v>
      </c>
      <c r="C57" s="1">
        <v>23</v>
      </c>
      <c r="D57" s="1" t="s">
        <v>33</v>
      </c>
      <c r="E57" s="1" t="s">
        <v>66</v>
      </c>
      <c r="F57" s="1">
        <v>33169</v>
      </c>
      <c r="G57" s="10">
        <f t="shared" si="1"/>
        <v>33.168999999999997</v>
      </c>
    </row>
    <row r="58" spans="1:7" x14ac:dyDescent="0.25">
      <c r="A58" s="1">
        <v>2022</v>
      </c>
      <c r="B58" s="1">
        <v>3</v>
      </c>
      <c r="C58" s="1">
        <v>23</v>
      </c>
      <c r="D58" s="1" t="s">
        <v>14</v>
      </c>
      <c r="E58" s="1" t="s">
        <v>66</v>
      </c>
      <c r="F58" s="1">
        <v>66588</v>
      </c>
      <c r="G58" s="10">
        <f t="shared" si="1"/>
        <v>66.587999999999994</v>
      </c>
    </row>
    <row r="59" spans="1:7" x14ac:dyDescent="0.25">
      <c r="A59" s="1">
        <v>2022</v>
      </c>
      <c r="B59" s="1">
        <v>3</v>
      </c>
      <c r="C59" s="1">
        <v>26</v>
      </c>
      <c r="D59" s="1" t="s">
        <v>83</v>
      </c>
      <c r="E59" s="1" t="s">
        <v>66</v>
      </c>
      <c r="F59" s="1">
        <v>101891</v>
      </c>
      <c r="G59" s="10">
        <f t="shared" si="1"/>
        <v>101.89100000000001</v>
      </c>
    </row>
    <row r="60" spans="1:7" x14ac:dyDescent="0.25">
      <c r="A60" s="1">
        <v>2022</v>
      </c>
      <c r="B60" s="1">
        <v>3</v>
      </c>
      <c r="C60" s="1">
        <v>27</v>
      </c>
      <c r="D60" s="1" t="s">
        <v>83</v>
      </c>
      <c r="E60" s="1" t="s">
        <v>66</v>
      </c>
      <c r="F60" s="1">
        <v>82107</v>
      </c>
      <c r="G60" s="10">
        <f t="shared" si="1"/>
        <v>82.106999999999999</v>
      </c>
    </row>
    <row r="61" spans="1:7" x14ac:dyDescent="0.25">
      <c r="A61" s="1">
        <v>2022</v>
      </c>
      <c r="B61" s="1">
        <v>4</v>
      </c>
      <c r="C61" s="1">
        <v>1</v>
      </c>
      <c r="D61" s="1" t="s">
        <v>20</v>
      </c>
      <c r="E61" s="1" t="s">
        <v>66</v>
      </c>
      <c r="F61" s="1">
        <v>1634</v>
      </c>
      <c r="G61" s="10">
        <f t="shared" si="1"/>
        <v>1.6339999999999999</v>
      </c>
    </row>
    <row r="62" spans="1:7" x14ac:dyDescent="0.25">
      <c r="A62" s="1">
        <v>2022</v>
      </c>
      <c r="B62" s="1">
        <v>4</v>
      </c>
      <c r="C62" s="1">
        <v>1</v>
      </c>
      <c r="D62" s="1" t="s">
        <v>20</v>
      </c>
      <c r="E62" s="1" t="s">
        <v>66</v>
      </c>
      <c r="F62" s="1">
        <v>4904</v>
      </c>
      <c r="G62" s="10">
        <f t="shared" si="1"/>
        <v>4.9039999999999999</v>
      </c>
    </row>
    <row r="63" spans="1:7" x14ac:dyDescent="0.25">
      <c r="A63" s="1">
        <v>2022</v>
      </c>
      <c r="B63" s="1">
        <v>4</v>
      </c>
      <c r="C63" s="1">
        <v>3</v>
      </c>
      <c r="D63" s="1" t="s">
        <v>83</v>
      </c>
      <c r="E63" s="1" t="s">
        <v>66</v>
      </c>
      <c r="F63" s="1">
        <v>12378</v>
      </c>
      <c r="G63" s="10">
        <f t="shared" si="1"/>
        <v>12.378</v>
      </c>
    </row>
    <row r="64" spans="1:7" x14ac:dyDescent="0.25">
      <c r="A64" s="1">
        <v>2022</v>
      </c>
      <c r="B64" s="1">
        <v>4</v>
      </c>
      <c r="C64" s="1">
        <v>4</v>
      </c>
      <c r="D64" s="1" t="s">
        <v>83</v>
      </c>
      <c r="E64" s="1" t="s">
        <v>84</v>
      </c>
      <c r="F64" s="1">
        <v>2905</v>
      </c>
      <c r="G64" s="10">
        <f t="shared" si="1"/>
        <v>2.9049999999999998</v>
      </c>
    </row>
    <row r="65" spans="1:7" x14ac:dyDescent="0.25">
      <c r="A65" s="1">
        <v>2022</v>
      </c>
      <c r="B65" s="1">
        <v>4</v>
      </c>
      <c r="C65" s="1">
        <v>4</v>
      </c>
      <c r="D65" s="1" t="s">
        <v>83</v>
      </c>
      <c r="E65" s="1" t="s">
        <v>84</v>
      </c>
      <c r="F65" s="1">
        <v>3756</v>
      </c>
      <c r="G65" s="10">
        <f t="shared" si="1"/>
        <v>3.7559999999999998</v>
      </c>
    </row>
    <row r="66" spans="1:7" x14ac:dyDescent="0.25">
      <c r="A66" s="1">
        <v>2022</v>
      </c>
      <c r="B66" s="1">
        <v>4</v>
      </c>
      <c r="C66" s="1">
        <v>5</v>
      </c>
      <c r="D66" s="1" t="s">
        <v>83</v>
      </c>
      <c r="E66" s="1" t="s">
        <v>66</v>
      </c>
      <c r="F66" s="1">
        <v>98889</v>
      </c>
      <c r="G66" s="10">
        <f t="shared" si="1"/>
        <v>98.888999999999996</v>
      </c>
    </row>
    <row r="67" spans="1:7" x14ac:dyDescent="0.25">
      <c r="A67" s="1">
        <v>2022</v>
      </c>
      <c r="B67" s="1">
        <v>4</v>
      </c>
      <c r="C67" s="1">
        <v>6</v>
      </c>
      <c r="D67" s="1" t="s">
        <v>83</v>
      </c>
      <c r="E67" s="1" t="s">
        <v>66</v>
      </c>
      <c r="F67" s="1">
        <v>55653</v>
      </c>
      <c r="G67" s="10">
        <f t="shared" si="1"/>
        <v>55.652999999999999</v>
      </c>
    </row>
    <row r="68" spans="1:7" x14ac:dyDescent="0.25">
      <c r="A68" s="1">
        <v>2022</v>
      </c>
      <c r="B68" s="1">
        <v>4</v>
      </c>
      <c r="C68" s="1">
        <v>9</v>
      </c>
      <c r="D68" s="1" t="s">
        <v>83</v>
      </c>
      <c r="E68" s="1" t="s">
        <v>66</v>
      </c>
      <c r="F68" s="1">
        <v>6568</v>
      </c>
      <c r="G68" s="10">
        <f t="shared" si="1"/>
        <v>6.5679999999999996</v>
      </c>
    </row>
    <row r="69" spans="1:7" x14ac:dyDescent="0.25">
      <c r="A69" s="1">
        <v>2022</v>
      </c>
      <c r="B69" s="1">
        <v>4</v>
      </c>
      <c r="C69" s="1">
        <v>11</v>
      </c>
      <c r="D69" s="1" t="s">
        <v>8</v>
      </c>
      <c r="E69" s="1" t="s">
        <v>84</v>
      </c>
      <c r="F69" s="1">
        <v>9006</v>
      </c>
      <c r="G69" s="10">
        <f t="shared" si="1"/>
        <v>9.0060000000000002</v>
      </c>
    </row>
    <row r="70" spans="1:7" x14ac:dyDescent="0.25">
      <c r="A70" s="1">
        <v>2022</v>
      </c>
      <c r="B70" s="1">
        <v>4</v>
      </c>
      <c r="C70" s="1">
        <v>11</v>
      </c>
      <c r="D70" s="1" t="s">
        <v>83</v>
      </c>
      <c r="E70" s="1" t="s">
        <v>66</v>
      </c>
      <c r="F70" s="1">
        <v>31316</v>
      </c>
      <c r="G70" s="10">
        <f t="shared" si="1"/>
        <v>31.315999999999999</v>
      </c>
    </row>
    <row r="71" spans="1:7" x14ac:dyDescent="0.25">
      <c r="A71" s="1">
        <v>2022</v>
      </c>
      <c r="B71" s="1">
        <v>4</v>
      </c>
      <c r="C71" s="1">
        <v>13</v>
      </c>
      <c r="D71" s="1" t="s">
        <v>83</v>
      </c>
      <c r="E71" s="1" t="s">
        <v>66</v>
      </c>
      <c r="F71" s="1">
        <v>4181</v>
      </c>
      <c r="G71" s="10">
        <f t="shared" si="1"/>
        <v>4.181</v>
      </c>
    </row>
    <row r="72" spans="1:7" x14ac:dyDescent="0.25">
      <c r="A72" s="1">
        <v>2022</v>
      </c>
      <c r="B72" s="1">
        <v>4</v>
      </c>
      <c r="C72" s="1">
        <v>17</v>
      </c>
      <c r="D72" s="1" t="s">
        <v>83</v>
      </c>
      <c r="E72" s="1" t="s">
        <v>66</v>
      </c>
      <c r="F72" s="1">
        <v>13582</v>
      </c>
      <c r="G72" s="10">
        <f t="shared" si="1"/>
        <v>13.582000000000001</v>
      </c>
    </row>
    <row r="73" spans="1:7" x14ac:dyDescent="0.25">
      <c r="A73" s="1">
        <v>2022</v>
      </c>
      <c r="B73" s="1">
        <v>4</v>
      </c>
      <c r="C73" s="1">
        <v>17</v>
      </c>
      <c r="D73" s="1" t="s">
        <v>83</v>
      </c>
      <c r="E73" s="1" t="s">
        <v>66</v>
      </c>
      <c r="F73" s="1">
        <v>51675</v>
      </c>
      <c r="G73" s="10">
        <f t="shared" si="1"/>
        <v>51.674999999999997</v>
      </c>
    </row>
    <row r="74" spans="1:7" x14ac:dyDescent="0.25">
      <c r="A74" s="1">
        <v>2022</v>
      </c>
      <c r="B74" s="1">
        <v>4</v>
      </c>
      <c r="C74" s="1">
        <v>19</v>
      </c>
      <c r="D74" s="1" t="s">
        <v>22</v>
      </c>
      <c r="E74" s="1" t="s">
        <v>66</v>
      </c>
      <c r="F74" s="1">
        <v>26362</v>
      </c>
      <c r="G74" s="10">
        <f t="shared" si="1"/>
        <v>26.361999999999998</v>
      </c>
    </row>
    <row r="75" spans="1:7" x14ac:dyDescent="0.25">
      <c r="A75" s="1">
        <v>2022</v>
      </c>
      <c r="B75" s="1">
        <v>4</v>
      </c>
      <c r="C75" s="1">
        <v>19</v>
      </c>
      <c r="D75" s="1" t="s">
        <v>22</v>
      </c>
      <c r="E75" s="1" t="s">
        <v>66</v>
      </c>
      <c r="F75" s="1">
        <v>23131</v>
      </c>
      <c r="G75" s="10">
        <f t="shared" si="1"/>
        <v>23.131</v>
      </c>
    </row>
    <row r="76" spans="1:7" x14ac:dyDescent="0.25">
      <c r="A76" s="1">
        <v>2022</v>
      </c>
      <c r="B76" s="1">
        <v>4</v>
      </c>
      <c r="C76" s="1">
        <v>19</v>
      </c>
      <c r="D76" s="1" t="s">
        <v>83</v>
      </c>
      <c r="E76" s="1" t="s">
        <v>66</v>
      </c>
      <c r="F76" s="1">
        <v>24957</v>
      </c>
      <c r="G76" s="10">
        <f t="shared" si="1"/>
        <v>24.957000000000001</v>
      </c>
    </row>
    <row r="77" spans="1:7" x14ac:dyDescent="0.25">
      <c r="A77" s="1">
        <v>2022</v>
      </c>
      <c r="B77" s="1">
        <v>4</v>
      </c>
      <c r="C77" s="1">
        <v>19</v>
      </c>
      <c r="D77" s="1" t="s">
        <v>83</v>
      </c>
      <c r="E77" s="1" t="s">
        <v>66</v>
      </c>
      <c r="F77" s="1">
        <v>24957</v>
      </c>
      <c r="G77" s="10">
        <f t="shared" si="1"/>
        <v>24.957000000000001</v>
      </c>
    </row>
    <row r="78" spans="1:7" x14ac:dyDescent="0.25">
      <c r="A78" s="1">
        <v>2022</v>
      </c>
      <c r="B78" s="1">
        <v>4</v>
      </c>
      <c r="C78" s="1">
        <v>19</v>
      </c>
      <c r="D78" s="1" t="s">
        <v>83</v>
      </c>
      <c r="E78" s="1" t="s">
        <v>66</v>
      </c>
      <c r="F78" s="1">
        <v>32563</v>
      </c>
      <c r="G78" s="10">
        <f t="shared" si="1"/>
        <v>32.563000000000002</v>
      </c>
    </row>
    <row r="79" spans="1:7" x14ac:dyDescent="0.25">
      <c r="A79" s="1">
        <v>2022</v>
      </c>
      <c r="B79" s="1">
        <v>4</v>
      </c>
      <c r="C79" s="1">
        <v>19</v>
      </c>
      <c r="D79" s="1" t="s">
        <v>83</v>
      </c>
      <c r="E79" s="1" t="s">
        <v>66</v>
      </c>
      <c r="F79" s="1">
        <v>24957</v>
      </c>
      <c r="G79" s="10">
        <f t="shared" si="1"/>
        <v>24.957000000000001</v>
      </c>
    </row>
    <row r="80" spans="1:7" x14ac:dyDescent="0.25">
      <c r="A80" s="1">
        <v>2022</v>
      </c>
      <c r="B80" s="1">
        <v>4</v>
      </c>
      <c r="C80" s="1">
        <v>23</v>
      </c>
      <c r="D80" s="1" t="s">
        <v>83</v>
      </c>
      <c r="E80" s="1" t="s">
        <v>66</v>
      </c>
      <c r="F80" s="1">
        <v>42790</v>
      </c>
      <c r="G80" s="10">
        <f t="shared" si="1"/>
        <v>42.79</v>
      </c>
    </row>
    <row r="81" spans="1:7" x14ac:dyDescent="0.25">
      <c r="A81" s="1">
        <v>2022</v>
      </c>
      <c r="B81" s="1">
        <v>4</v>
      </c>
      <c r="C81" s="1">
        <v>24</v>
      </c>
      <c r="D81" s="1" t="s">
        <v>24</v>
      </c>
      <c r="E81" s="1" t="s">
        <v>66</v>
      </c>
      <c r="F81" s="1">
        <v>31419</v>
      </c>
      <c r="G81" s="10">
        <f t="shared" si="1"/>
        <v>31.419</v>
      </c>
    </row>
    <row r="82" spans="1:7" x14ac:dyDescent="0.25">
      <c r="A82" s="1">
        <v>2022</v>
      </c>
      <c r="B82" s="1">
        <v>4</v>
      </c>
      <c r="C82" s="1">
        <v>24</v>
      </c>
      <c r="D82" s="1" t="s">
        <v>83</v>
      </c>
      <c r="E82" s="1" t="s">
        <v>66</v>
      </c>
      <c r="F82" s="1">
        <v>30322</v>
      </c>
      <c r="G82" s="10">
        <f t="shared" si="1"/>
        <v>30.321999999999999</v>
      </c>
    </row>
    <row r="83" spans="1:7" x14ac:dyDescent="0.25">
      <c r="A83" s="1">
        <v>2022</v>
      </c>
      <c r="B83" s="1">
        <v>4</v>
      </c>
      <c r="C83" s="1">
        <v>25</v>
      </c>
      <c r="D83" s="1" t="s">
        <v>8</v>
      </c>
      <c r="E83" s="1" t="s">
        <v>66</v>
      </c>
      <c r="F83" s="1">
        <v>5258</v>
      </c>
      <c r="G83" s="10">
        <f t="shared" si="1"/>
        <v>5.258</v>
      </c>
    </row>
    <row r="84" spans="1:7" x14ac:dyDescent="0.25">
      <c r="A84" s="1">
        <v>2022</v>
      </c>
      <c r="B84" s="1">
        <v>4</v>
      </c>
      <c r="C84" s="1">
        <v>25</v>
      </c>
      <c r="D84" s="1" t="s">
        <v>83</v>
      </c>
      <c r="E84" s="1" t="s">
        <v>66</v>
      </c>
      <c r="F84" s="1">
        <v>54176</v>
      </c>
      <c r="G84" s="10">
        <f t="shared" si="1"/>
        <v>54.176000000000002</v>
      </c>
    </row>
    <row r="85" spans="1:7" x14ac:dyDescent="0.25">
      <c r="A85" s="1">
        <v>2022</v>
      </c>
      <c r="B85" s="1">
        <v>4</v>
      </c>
      <c r="C85" s="1">
        <v>27</v>
      </c>
      <c r="D85" s="1" t="s">
        <v>12</v>
      </c>
      <c r="E85" s="1" t="s">
        <v>84</v>
      </c>
      <c r="F85" s="1">
        <v>16715</v>
      </c>
      <c r="G85" s="10">
        <f t="shared" ref="G85:G131" si="2">F85/1000</f>
        <v>16.715</v>
      </c>
    </row>
    <row r="86" spans="1:7" x14ac:dyDescent="0.25">
      <c r="A86" s="1">
        <v>2022</v>
      </c>
      <c r="B86" s="1">
        <v>4</v>
      </c>
      <c r="C86" s="1">
        <v>30</v>
      </c>
      <c r="D86" s="1" t="s">
        <v>33</v>
      </c>
      <c r="E86" s="1" t="s">
        <v>66</v>
      </c>
      <c r="F86" s="1">
        <v>34794</v>
      </c>
      <c r="G86" s="10">
        <f t="shared" si="2"/>
        <v>34.793999999999997</v>
      </c>
    </row>
    <row r="87" spans="1:7" x14ac:dyDescent="0.25">
      <c r="A87" s="1">
        <v>2022</v>
      </c>
      <c r="B87" s="1">
        <v>4</v>
      </c>
      <c r="C87" s="1">
        <v>30</v>
      </c>
      <c r="D87" s="1" t="s">
        <v>83</v>
      </c>
      <c r="E87" s="1" t="s">
        <v>66</v>
      </c>
      <c r="F87" s="1">
        <v>25940</v>
      </c>
      <c r="G87" s="10">
        <f t="shared" si="2"/>
        <v>25.94</v>
      </c>
    </row>
    <row r="88" spans="1:7" x14ac:dyDescent="0.25">
      <c r="A88" s="1">
        <v>2022</v>
      </c>
      <c r="B88" s="1">
        <v>5</v>
      </c>
      <c r="C88" s="1">
        <v>1</v>
      </c>
      <c r="D88" s="1" t="s">
        <v>28</v>
      </c>
      <c r="E88" s="1" t="s">
        <v>66</v>
      </c>
      <c r="F88" s="1">
        <v>6750</v>
      </c>
      <c r="G88" s="10">
        <f t="shared" si="2"/>
        <v>6.75</v>
      </c>
    </row>
    <row r="89" spans="1:7" x14ac:dyDescent="0.25">
      <c r="A89" s="1">
        <v>2022</v>
      </c>
      <c r="B89" s="1">
        <v>5</v>
      </c>
      <c r="C89" s="1">
        <v>1</v>
      </c>
      <c r="D89" s="1" t="s">
        <v>83</v>
      </c>
      <c r="E89" s="1" t="s">
        <v>66</v>
      </c>
      <c r="F89" s="1">
        <v>10827</v>
      </c>
      <c r="G89" s="10">
        <f t="shared" si="2"/>
        <v>10.827</v>
      </c>
    </row>
    <row r="90" spans="1:7" x14ac:dyDescent="0.25">
      <c r="A90" s="1">
        <v>2022</v>
      </c>
      <c r="B90" s="1">
        <v>5</v>
      </c>
      <c r="C90" s="1">
        <v>1</v>
      </c>
      <c r="D90" s="1" t="s">
        <v>83</v>
      </c>
      <c r="E90" s="1" t="s">
        <v>66</v>
      </c>
      <c r="F90" s="1">
        <v>31657</v>
      </c>
      <c r="G90" s="10">
        <f t="shared" si="2"/>
        <v>31.657</v>
      </c>
    </row>
    <row r="91" spans="1:7" x14ac:dyDescent="0.25">
      <c r="A91" s="1">
        <v>2022</v>
      </c>
      <c r="B91" s="1">
        <v>5</v>
      </c>
      <c r="C91" s="1">
        <v>1</v>
      </c>
      <c r="D91" s="1" t="s">
        <v>10</v>
      </c>
      <c r="E91" s="1" t="s">
        <v>84</v>
      </c>
      <c r="F91" s="1">
        <v>7675</v>
      </c>
      <c r="G91" s="10">
        <f t="shared" si="2"/>
        <v>7.6749999999999998</v>
      </c>
    </row>
    <row r="92" spans="1:7" x14ac:dyDescent="0.25">
      <c r="A92" s="1">
        <v>2022</v>
      </c>
      <c r="B92" s="1">
        <v>5</v>
      </c>
      <c r="C92" s="1">
        <v>3</v>
      </c>
      <c r="D92" s="1" t="s">
        <v>83</v>
      </c>
      <c r="E92" s="1" t="s">
        <v>66</v>
      </c>
      <c r="F92" s="1">
        <v>19219</v>
      </c>
      <c r="G92" s="10">
        <f t="shared" si="2"/>
        <v>19.219000000000001</v>
      </c>
    </row>
    <row r="93" spans="1:7" x14ac:dyDescent="0.25">
      <c r="A93" s="1">
        <v>2022</v>
      </c>
      <c r="B93" s="1">
        <v>5</v>
      </c>
      <c r="C93" s="1">
        <v>4</v>
      </c>
      <c r="D93" s="1" t="s">
        <v>20</v>
      </c>
      <c r="E93" s="1" t="s">
        <v>66</v>
      </c>
      <c r="F93" s="1">
        <v>9831</v>
      </c>
      <c r="G93" s="10">
        <f t="shared" si="2"/>
        <v>9.8309999999999995</v>
      </c>
    </row>
    <row r="94" spans="1:7" x14ac:dyDescent="0.25">
      <c r="A94" s="1">
        <v>2022</v>
      </c>
      <c r="B94" s="1">
        <v>5</v>
      </c>
      <c r="C94" s="1">
        <v>4</v>
      </c>
      <c r="D94" s="1" t="s">
        <v>83</v>
      </c>
      <c r="E94" s="1" t="s">
        <v>66</v>
      </c>
      <c r="F94" s="1">
        <v>48850</v>
      </c>
      <c r="G94" s="10">
        <f t="shared" si="2"/>
        <v>48.85</v>
      </c>
    </row>
    <row r="95" spans="1:7" x14ac:dyDescent="0.25">
      <c r="A95" s="1">
        <v>2022</v>
      </c>
      <c r="B95" s="1">
        <v>5</v>
      </c>
      <c r="C95" s="1">
        <v>4</v>
      </c>
      <c r="D95" s="1" t="s">
        <v>83</v>
      </c>
      <c r="E95" s="1" t="s">
        <v>66</v>
      </c>
      <c r="F95" s="1">
        <v>51212</v>
      </c>
      <c r="G95" s="10">
        <f t="shared" si="2"/>
        <v>51.212000000000003</v>
      </c>
    </row>
    <row r="96" spans="1:7" x14ac:dyDescent="0.25">
      <c r="A96" s="1">
        <v>2022</v>
      </c>
      <c r="B96" s="1">
        <v>5</v>
      </c>
      <c r="C96" s="1">
        <v>11</v>
      </c>
      <c r="D96" s="1" t="s">
        <v>83</v>
      </c>
      <c r="E96" s="1" t="s">
        <v>66</v>
      </c>
      <c r="F96" s="1">
        <v>31633</v>
      </c>
      <c r="G96" s="10">
        <f t="shared" si="2"/>
        <v>31.632999999999999</v>
      </c>
    </row>
    <row r="97" spans="1:7" x14ac:dyDescent="0.25">
      <c r="A97" s="1">
        <v>2022</v>
      </c>
      <c r="B97" s="1">
        <v>5</v>
      </c>
      <c r="C97" s="1">
        <v>12</v>
      </c>
      <c r="D97" s="1" t="s">
        <v>20</v>
      </c>
      <c r="E97" s="1" t="s">
        <v>66</v>
      </c>
      <c r="F97" s="1">
        <v>10355</v>
      </c>
      <c r="G97" s="10">
        <f t="shared" si="2"/>
        <v>10.355</v>
      </c>
    </row>
    <row r="98" spans="1:7" x14ac:dyDescent="0.25">
      <c r="A98" s="1">
        <v>2022</v>
      </c>
      <c r="B98" s="1">
        <v>5</v>
      </c>
      <c r="C98" s="1">
        <v>12</v>
      </c>
      <c r="D98" s="1" t="s">
        <v>20</v>
      </c>
      <c r="E98" s="1" t="s">
        <v>66</v>
      </c>
      <c r="F98" s="1">
        <v>2179</v>
      </c>
      <c r="G98" s="10">
        <f t="shared" si="2"/>
        <v>2.1789999999999998</v>
      </c>
    </row>
    <row r="99" spans="1:7" x14ac:dyDescent="0.25">
      <c r="A99" s="1">
        <v>2022</v>
      </c>
      <c r="B99" s="1">
        <v>5</v>
      </c>
      <c r="C99" s="1">
        <v>17</v>
      </c>
      <c r="D99" s="1" t="s">
        <v>83</v>
      </c>
      <c r="E99" s="1" t="s">
        <v>66</v>
      </c>
      <c r="F99" s="1">
        <v>30419</v>
      </c>
      <c r="G99" s="10">
        <f t="shared" si="2"/>
        <v>30.419</v>
      </c>
    </row>
    <row r="100" spans="1:7" x14ac:dyDescent="0.25">
      <c r="A100" s="1">
        <v>2022</v>
      </c>
      <c r="B100" s="1">
        <v>5</v>
      </c>
      <c r="C100" s="1">
        <v>19</v>
      </c>
      <c r="D100" s="1" t="s">
        <v>83</v>
      </c>
      <c r="E100" s="1" t="s">
        <v>66</v>
      </c>
      <c r="F100" s="1">
        <v>19987</v>
      </c>
      <c r="G100" s="10">
        <f t="shared" si="2"/>
        <v>19.986999999999998</v>
      </c>
    </row>
    <row r="101" spans="1:7" x14ac:dyDescent="0.25">
      <c r="A101" s="1">
        <v>2022</v>
      </c>
      <c r="B101" s="1">
        <v>5</v>
      </c>
      <c r="C101" s="1">
        <v>19</v>
      </c>
      <c r="D101" s="1" t="s">
        <v>83</v>
      </c>
      <c r="E101" s="1" t="s">
        <v>66</v>
      </c>
      <c r="F101" s="1">
        <v>103419</v>
      </c>
      <c r="G101" s="10">
        <f t="shared" si="2"/>
        <v>103.419</v>
      </c>
    </row>
    <row r="102" spans="1:7" x14ac:dyDescent="0.25">
      <c r="A102" s="1">
        <v>2022</v>
      </c>
      <c r="B102" s="1">
        <v>5</v>
      </c>
      <c r="C102" s="1">
        <v>19</v>
      </c>
      <c r="D102" s="1" t="s">
        <v>83</v>
      </c>
      <c r="E102" s="1" t="s">
        <v>66</v>
      </c>
      <c r="F102" s="1">
        <v>98022</v>
      </c>
      <c r="G102" s="10">
        <f t="shared" si="2"/>
        <v>98.022000000000006</v>
      </c>
    </row>
    <row r="103" spans="1:7" x14ac:dyDescent="0.25">
      <c r="A103" s="1">
        <v>2022</v>
      </c>
      <c r="B103" s="1">
        <v>5</v>
      </c>
      <c r="C103" s="1">
        <v>20</v>
      </c>
      <c r="D103" s="1" t="s">
        <v>5</v>
      </c>
      <c r="E103" s="1" t="s">
        <v>66</v>
      </c>
      <c r="F103" s="1">
        <v>20092</v>
      </c>
      <c r="G103" s="10">
        <f t="shared" si="2"/>
        <v>20.091999999999999</v>
      </c>
    </row>
    <row r="104" spans="1:7" x14ac:dyDescent="0.25">
      <c r="A104" s="1">
        <v>2022</v>
      </c>
      <c r="B104" s="1">
        <v>5</v>
      </c>
      <c r="C104" s="1">
        <v>21</v>
      </c>
      <c r="D104" s="1" t="s">
        <v>31</v>
      </c>
      <c r="E104" s="1" t="s">
        <v>66</v>
      </c>
      <c r="F104" s="1">
        <v>62586</v>
      </c>
      <c r="G104" s="10">
        <f t="shared" si="2"/>
        <v>62.585999999999999</v>
      </c>
    </row>
    <row r="105" spans="1:7" x14ac:dyDescent="0.25">
      <c r="A105" s="1">
        <v>2022</v>
      </c>
      <c r="B105" s="1">
        <v>5</v>
      </c>
      <c r="C105" s="1">
        <v>24</v>
      </c>
      <c r="D105" s="1" t="s">
        <v>33</v>
      </c>
      <c r="E105" s="1" t="s">
        <v>66</v>
      </c>
      <c r="F105" s="1">
        <v>8056</v>
      </c>
      <c r="G105" s="10">
        <f t="shared" si="2"/>
        <v>8.0559999999999992</v>
      </c>
    </row>
    <row r="106" spans="1:7" x14ac:dyDescent="0.25">
      <c r="A106" s="1">
        <v>2022</v>
      </c>
      <c r="B106" s="1">
        <v>5</v>
      </c>
      <c r="C106" s="1">
        <v>24</v>
      </c>
      <c r="D106" s="1" t="s">
        <v>33</v>
      </c>
      <c r="E106" s="1" t="s">
        <v>66</v>
      </c>
      <c r="F106" s="1">
        <v>8056</v>
      </c>
      <c r="G106" s="10">
        <f t="shared" si="2"/>
        <v>8.0559999999999992</v>
      </c>
    </row>
    <row r="107" spans="1:7" x14ac:dyDescent="0.25">
      <c r="A107" s="1">
        <v>2022</v>
      </c>
      <c r="B107" s="1">
        <v>5</v>
      </c>
      <c r="C107" s="1">
        <v>26</v>
      </c>
      <c r="D107" s="1" t="s">
        <v>83</v>
      </c>
      <c r="E107" s="1" t="s">
        <v>66</v>
      </c>
      <c r="F107" s="1">
        <v>31314</v>
      </c>
      <c r="G107" s="10">
        <f t="shared" si="2"/>
        <v>31.314</v>
      </c>
    </row>
    <row r="108" spans="1:7" x14ac:dyDescent="0.25">
      <c r="A108" s="1">
        <v>2022</v>
      </c>
      <c r="B108" s="1">
        <v>5</v>
      </c>
      <c r="C108" s="1">
        <v>27</v>
      </c>
      <c r="D108" s="1" t="s">
        <v>28</v>
      </c>
      <c r="E108" s="1" t="s">
        <v>66</v>
      </c>
      <c r="F108" s="1">
        <v>32895</v>
      </c>
      <c r="G108" s="10">
        <f t="shared" si="2"/>
        <v>32.895000000000003</v>
      </c>
    </row>
    <row r="109" spans="1:7" x14ac:dyDescent="0.25">
      <c r="A109" s="1">
        <v>2022</v>
      </c>
      <c r="B109" s="1">
        <v>5</v>
      </c>
      <c r="C109" s="1">
        <v>29</v>
      </c>
      <c r="D109" s="1" t="s">
        <v>33</v>
      </c>
      <c r="E109" s="1" t="s">
        <v>66</v>
      </c>
      <c r="F109" s="1">
        <v>10528</v>
      </c>
      <c r="G109" s="10">
        <f t="shared" si="2"/>
        <v>10.528</v>
      </c>
    </row>
    <row r="110" spans="1:7" x14ac:dyDescent="0.25">
      <c r="A110" s="1">
        <v>2022</v>
      </c>
      <c r="B110" s="1">
        <v>5</v>
      </c>
      <c r="C110" s="1">
        <v>29</v>
      </c>
      <c r="D110" s="1" t="s">
        <v>33</v>
      </c>
      <c r="E110" s="1" t="s">
        <v>66</v>
      </c>
      <c r="F110" s="1">
        <v>7438</v>
      </c>
      <c r="G110" s="10">
        <f t="shared" si="2"/>
        <v>7.4379999999999997</v>
      </c>
    </row>
    <row r="111" spans="1:7" x14ac:dyDescent="0.25">
      <c r="A111" s="1">
        <v>2022</v>
      </c>
      <c r="B111" s="1">
        <v>5</v>
      </c>
      <c r="C111" s="1">
        <v>30</v>
      </c>
      <c r="D111" s="1" t="s">
        <v>83</v>
      </c>
      <c r="E111" s="1" t="s">
        <v>66</v>
      </c>
      <c r="F111" s="1">
        <v>129163</v>
      </c>
      <c r="G111" s="10">
        <f t="shared" si="2"/>
        <v>129.16300000000001</v>
      </c>
    </row>
    <row r="112" spans="1:7" x14ac:dyDescent="0.25">
      <c r="A112" s="1">
        <v>2022</v>
      </c>
      <c r="B112" s="1">
        <v>6</v>
      </c>
      <c r="C112" s="1">
        <v>4</v>
      </c>
      <c r="D112" s="1" t="s">
        <v>50</v>
      </c>
      <c r="E112" s="1" t="s">
        <v>84</v>
      </c>
      <c r="F112" s="1">
        <v>30407</v>
      </c>
      <c r="G112" s="10">
        <f t="shared" si="2"/>
        <v>30.407</v>
      </c>
    </row>
    <row r="113" spans="1:7" x14ac:dyDescent="0.25">
      <c r="A113" s="1">
        <v>2022</v>
      </c>
      <c r="B113" s="1">
        <v>6</v>
      </c>
      <c r="C113" s="1">
        <v>4</v>
      </c>
      <c r="D113" s="1" t="s">
        <v>12</v>
      </c>
      <c r="E113" s="1" t="s">
        <v>84</v>
      </c>
      <c r="F113" s="1">
        <v>18991</v>
      </c>
      <c r="G113" s="10">
        <f t="shared" si="2"/>
        <v>18.991</v>
      </c>
    </row>
    <row r="114" spans="1:7" x14ac:dyDescent="0.25">
      <c r="A114" s="1">
        <v>2022</v>
      </c>
      <c r="B114" s="1">
        <v>6</v>
      </c>
      <c r="C114" s="1">
        <v>4</v>
      </c>
      <c r="D114" s="1" t="s">
        <v>83</v>
      </c>
      <c r="E114" s="1" t="s">
        <v>66</v>
      </c>
      <c r="F114" s="1">
        <v>15984</v>
      </c>
      <c r="G114" s="10">
        <f t="shared" si="2"/>
        <v>15.984</v>
      </c>
    </row>
    <row r="115" spans="1:7" x14ac:dyDescent="0.25">
      <c r="A115" s="1">
        <v>2022</v>
      </c>
      <c r="B115" s="1">
        <v>6</v>
      </c>
      <c r="C115" s="1">
        <v>4</v>
      </c>
      <c r="D115" s="1" t="s">
        <v>83</v>
      </c>
      <c r="E115" s="1" t="s">
        <v>66</v>
      </c>
      <c r="F115" s="1">
        <v>75947</v>
      </c>
      <c r="G115" s="10">
        <f t="shared" si="2"/>
        <v>75.947000000000003</v>
      </c>
    </row>
    <row r="116" spans="1:7" x14ac:dyDescent="0.25">
      <c r="A116" s="1">
        <v>2022</v>
      </c>
      <c r="B116" s="1">
        <v>6</v>
      </c>
      <c r="C116" s="1">
        <v>7</v>
      </c>
      <c r="D116" s="1" t="s">
        <v>12</v>
      </c>
      <c r="E116" s="1" t="s">
        <v>84</v>
      </c>
      <c r="F116" s="1">
        <v>18991</v>
      </c>
      <c r="G116" s="10">
        <f t="shared" si="2"/>
        <v>18.991</v>
      </c>
    </row>
    <row r="117" spans="1:7" x14ac:dyDescent="0.25">
      <c r="A117" s="1">
        <v>2022</v>
      </c>
      <c r="B117" s="1">
        <v>6</v>
      </c>
      <c r="C117" s="1">
        <v>9</v>
      </c>
      <c r="D117" s="1" t="s">
        <v>5</v>
      </c>
      <c r="E117" s="1" t="s">
        <v>66</v>
      </c>
      <c r="F117" s="1">
        <v>30553</v>
      </c>
      <c r="G117" s="10">
        <f t="shared" si="2"/>
        <v>30.553000000000001</v>
      </c>
    </row>
    <row r="118" spans="1:7" x14ac:dyDescent="0.25">
      <c r="A118" s="1">
        <v>2022</v>
      </c>
      <c r="B118" s="1">
        <v>6</v>
      </c>
      <c r="C118" s="1">
        <v>10</v>
      </c>
      <c r="D118" s="1" t="s">
        <v>83</v>
      </c>
      <c r="E118" s="1" t="s">
        <v>66</v>
      </c>
      <c r="F118" s="1">
        <v>48366</v>
      </c>
      <c r="G118" s="10">
        <f t="shared" si="2"/>
        <v>48.366</v>
      </c>
    </row>
    <row r="119" spans="1:7" x14ac:dyDescent="0.25">
      <c r="A119" s="1">
        <v>2022</v>
      </c>
      <c r="B119" s="1">
        <v>6</v>
      </c>
      <c r="C119" s="1">
        <v>13</v>
      </c>
      <c r="D119" s="1" t="s">
        <v>83</v>
      </c>
      <c r="E119" s="1" t="s">
        <v>66</v>
      </c>
      <c r="F119" s="1">
        <v>31023</v>
      </c>
      <c r="G119" s="10">
        <f t="shared" si="2"/>
        <v>31.023</v>
      </c>
    </row>
    <row r="120" spans="1:7" x14ac:dyDescent="0.25">
      <c r="A120" s="1">
        <v>2022</v>
      </c>
      <c r="B120" s="1">
        <v>6</v>
      </c>
      <c r="C120" s="1">
        <v>17</v>
      </c>
      <c r="D120" s="1" t="s">
        <v>12</v>
      </c>
      <c r="E120" s="1" t="s">
        <v>84</v>
      </c>
      <c r="F120" s="1">
        <v>18227</v>
      </c>
      <c r="G120" s="10">
        <f t="shared" si="2"/>
        <v>18.227</v>
      </c>
    </row>
    <row r="121" spans="1:7" x14ac:dyDescent="0.25">
      <c r="A121" s="1">
        <v>2022</v>
      </c>
      <c r="B121" s="1">
        <v>6</v>
      </c>
      <c r="C121" s="1">
        <v>22</v>
      </c>
      <c r="D121" s="1" t="s">
        <v>83</v>
      </c>
      <c r="E121" s="1" t="s">
        <v>66</v>
      </c>
      <c r="F121" s="1">
        <v>30988</v>
      </c>
      <c r="G121" s="10">
        <f t="shared" si="2"/>
        <v>30.988</v>
      </c>
    </row>
    <row r="122" spans="1:7" x14ac:dyDescent="0.25">
      <c r="A122" s="1">
        <v>2022</v>
      </c>
      <c r="B122" s="1">
        <v>6</v>
      </c>
      <c r="C122" s="1">
        <v>23</v>
      </c>
      <c r="D122" s="1" t="s">
        <v>85</v>
      </c>
      <c r="E122" s="1" t="s">
        <v>66</v>
      </c>
      <c r="F122" s="1">
        <v>13641</v>
      </c>
      <c r="G122" s="10">
        <f t="shared" si="2"/>
        <v>13.641</v>
      </c>
    </row>
    <row r="123" spans="1:7" x14ac:dyDescent="0.25">
      <c r="A123" s="1">
        <v>2022</v>
      </c>
      <c r="B123" s="1">
        <v>6</v>
      </c>
      <c r="C123" s="1">
        <v>23</v>
      </c>
      <c r="D123" s="1" t="s">
        <v>85</v>
      </c>
      <c r="E123" s="1" t="s">
        <v>66</v>
      </c>
      <c r="F123" s="1">
        <v>7607</v>
      </c>
      <c r="G123" s="10">
        <f t="shared" si="2"/>
        <v>7.6070000000000002</v>
      </c>
    </row>
    <row r="124" spans="1:7" x14ac:dyDescent="0.25">
      <c r="A124" s="1">
        <v>2022</v>
      </c>
      <c r="B124" s="1">
        <v>6</v>
      </c>
      <c r="C124" s="1">
        <v>26</v>
      </c>
      <c r="D124" s="1" t="s">
        <v>12</v>
      </c>
      <c r="E124" s="1" t="s">
        <v>66</v>
      </c>
      <c r="F124" s="1">
        <v>18998</v>
      </c>
      <c r="G124" s="10">
        <f t="shared" si="2"/>
        <v>18.998000000000001</v>
      </c>
    </row>
    <row r="125" spans="1:7" x14ac:dyDescent="0.25">
      <c r="A125" s="1">
        <v>2022</v>
      </c>
      <c r="B125" s="1">
        <v>6</v>
      </c>
      <c r="C125" s="1">
        <v>29</v>
      </c>
      <c r="D125" s="1" t="s">
        <v>83</v>
      </c>
      <c r="E125" s="1" t="s">
        <v>66</v>
      </c>
      <c r="F125" s="1">
        <v>84118</v>
      </c>
      <c r="G125" s="10">
        <f t="shared" si="2"/>
        <v>84.117999999999995</v>
      </c>
    </row>
    <row r="126" spans="1:7" x14ac:dyDescent="0.25">
      <c r="A126" s="1">
        <v>2022</v>
      </c>
      <c r="B126" s="1">
        <v>7</v>
      </c>
      <c r="C126" s="1">
        <v>1</v>
      </c>
      <c r="D126" s="1" t="s">
        <v>83</v>
      </c>
      <c r="E126" s="1" t="s">
        <v>66</v>
      </c>
      <c r="F126" s="1">
        <v>70098</v>
      </c>
      <c r="G126" s="10">
        <f t="shared" si="2"/>
        <v>70.097999999999999</v>
      </c>
    </row>
    <row r="127" spans="1:7" x14ac:dyDescent="0.25">
      <c r="A127" s="1">
        <v>2022</v>
      </c>
      <c r="B127" s="1">
        <v>7</v>
      </c>
      <c r="C127" s="1">
        <v>5</v>
      </c>
      <c r="D127" s="1" t="s">
        <v>33</v>
      </c>
      <c r="E127" s="1" t="s">
        <v>66</v>
      </c>
      <c r="F127" s="1">
        <v>19529</v>
      </c>
      <c r="G127" s="10">
        <f t="shared" si="2"/>
        <v>19.529</v>
      </c>
    </row>
    <row r="128" spans="1:7" x14ac:dyDescent="0.25">
      <c r="A128" s="1">
        <v>2022</v>
      </c>
      <c r="B128" s="1">
        <v>7</v>
      </c>
      <c r="C128" s="1">
        <v>5</v>
      </c>
      <c r="D128" s="1" t="s">
        <v>20</v>
      </c>
      <c r="E128" s="1" t="s">
        <v>66</v>
      </c>
      <c r="F128" s="1">
        <v>33631</v>
      </c>
      <c r="G128" s="10">
        <f t="shared" si="2"/>
        <v>33.631</v>
      </c>
    </row>
    <row r="129" spans="1:7" x14ac:dyDescent="0.25">
      <c r="A129" s="1">
        <v>2022</v>
      </c>
      <c r="B129" s="1">
        <v>7</v>
      </c>
      <c r="C129" s="1">
        <v>6</v>
      </c>
      <c r="D129" s="1" t="s">
        <v>54</v>
      </c>
      <c r="E129" s="1" t="s">
        <v>66</v>
      </c>
      <c r="F129" s="1">
        <v>53917</v>
      </c>
      <c r="G129" s="10">
        <f t="shared" si="2"/>
        <v>53.917000000000002</v>
      </c>
    </row>
    <row r="130" spans="1:7" x14ac:dyDescent="0.25">
      <c r="A130" s="1">
        <v>2022</v>
      </c>
      <c r="B130" s="1">
        <v>7</v>
      </c>
      <c r="C130" s="1">
        <v>6</v>
      </c>
      <c r="D130" s="1" t="s">
        <v>85</v>
      </c>
      <c r="E130" s="1" t="s">
        <v>66</v>
      </c>
      <c r="F130" s="1">
        <v>33124</v>
      </c>
      <c r="G130" s="10">
        <f t="shared" si="2"/>
        <v>33.124000000000002</v>
      </c>
    </row>
    <row r="131" spans="1:7" x14ac:dyDescent="0.25">
      <c r="A131" s="1">
        <v>2022</v>
      </c>
      <c r="B131" s="1">
        <v>7</v>
      </c>
      <c r="C131" s="1">
        <v>8</v>
      </c>
      <c r="D131" s="1" t="s">
        <v>20</v>
      </c>
      <c r="E131" s="1" t="s">
        <v>66</v>
      </c>
      <c r="F131" s="1">
        <v>2071</v>
      </c>
      <c r="G131" s="10">
        <f t="shared" si="2"/>
        <v>2.0710000000000002</v>
      </c>
    </row>
    <row r="132" spans="1:7" x14ac:dyDescent="0.25">
      <c r="A132" s="1">
        <v>2022</v>
      </c>
      <c r="B132" s="1">
        <v>7</v>
      </c>
      <c r="C132" s="1">
        <v>10</v>
      </c>
      <c r="D132" s="1" t="s">
        <v>83</v>
      </c>
      <c r="E132" s="1" t="s">
        <v>66</v>
      </c>
      <c r="F132" s="1">
        <v>107515</v>
      </c>
      <c r="G132" s="10">
        <f t="shared" ref="G132:G163" si="3">F132/1000</f>
        <v>107.515</v>
      </c>
    </row>
    <row r="133" spans="1:7" x14ac:dyDescent="0.25">
      <c r="A133" s="1">
        <v>2022</v>
      </c>
      <c r="B133" s="1">
        <v>7</v>
      </c>
      <c r="C133" s="1">
        <v>11</v>
      </c>
      <c r="D133" s="1" t="s">
        <v>54</v>
      </c>
      <c r="E133" s="1" t="s">
        <v>66</v>
      </c>
      <c r="F133" s="1">
        <v>42319</v>
      </c>
      <c r="G133" s="10">
        <f t="shared" si="3"/>
        <v>42.319000000000003</v>
      </c>
    </row>
    <row r="134" spans="1:7" x14ac:dyDescent="0.25">
      <c r="A134" s="1">
        <v>2022</v>
      </c>
      <c r="B134" s="1">
        <v>7</v>
      </c>
      <c r="C134" s="1">
        <v>11</v>
      </c>
      <c r="D134" s="1" t="s">
        <v>83</v>
      </c>
      <c r="E134" s="1" t="s">
        <v>84</v>
      </c>
      <c r="F134" s="1">
        <v>17614</v>
      </c>
      <c r="G134" s="10">
        <f t="shared" si="3"/>
        <v>17.614000000000001</v>
      </c>
    </row>
    <row r="135" spans="1:7" x14ac:dyDescent="0.25">
      <c r="A135" s="1">
        <v>2022</v>
      </c>
      <c r="B135" s="1">
        <v>7</v>
      </c>
      <c r="C135" s="1">
        <v>11</v>
      </c>
      <c r="D135" s="1" t="s">
        <v>83</v>
      </c>
      <c r="E135" s="1" t="s">
        <v>66</v>
      </c>
      <c r="F135" s="1">
        <v>29216</v>
      </c>
      <c r="G135" s="10">
        <f t="shared" si="3"/>
        <v>29.216000000000001</v>
      </c>
    </row>
    <row r="136" spans="1:7" x14ac:dyDescent="0.25">
      <c r="A136" s="1">
        <v>2022</v>
      </c>
      <c r="B136" s="1">
        <v>7</v>
      </c>
      <c r="C136" s="1">
        <v>12</v>
      </c>
      <c r="D136" s="1" t="s">
        <v>12</v>
      </c>
      <c r="E136" s="1" t="s">
        <v>66</v>
      </c>
      <c r="F136" s="1">
        <v>18849</v>
      </c>
      <c r="G136" s="10">
        <f t="shared" si="3"/>
        <v>18.849</v>
      </c>
    </row>
    <row r="137" spans="1:7" x14ac:dyDescent="0.25">
      <c r="A137" s="1">
        <v>2022</v>
      </c>
      <c r="B137" s="1">
        <v>7</v>
      </c>
      <c r="C137" s="1">
        <v>13</v>
      </c>
      <c r="D137" s="1" t="s">
        <v>28</v>
      </c>
      <c r="E137" s="1" t="s">
        <v>84</v>
      </c>
      <c r="F137" s="1">
        <v>3685</v>
      </c>
      <c r="G137" s="10">
        <f t="shared" si="3"/>
        <v>3.6850000000000001</v>
      </c>
    </row>
    <row r="138" spans="1:7" x14ac:dyDescent="0.25">
      <c r="A138" s="1">
        <v>2022</v>
      </c>
      <c r="B138" s="1">
        <v>7</v>
      </c>
      <c r="C138" s="1">
        <v>13</v>
      </c>
      <c r="D138" s="1" t="s">
        <v>14</v>
      </c>
      <c r="E138" s="1" t="s">
        <v>84</v>
      </c>
      <c r="F138" s="1">
        <v>5895</v>
      </c>
      <c r="G138" s="10">
        <f t="shared" si="3"/>
        <v>5.8949999999999996</v>
      </c>
    </row>
    <row r="139" spans="1:7" x14ac:dyDescent="0.25">
      <c r="A139" s="1">
        <v>2022</v>
      </c>
      <c r="B139" s="1">
        <v>7</v>
      </c>
      <c r="C139" s="1">
        <v>14</v>
      </c>
      <c r="D139" s="1" t="s">
        <v>5</v>
      </c>
      <c r="E139" s="1" t="s">
        <v>84</v>
      </c>
      <c r="F139" s="1">
        <v>37530</v>
      </c>
      <c r="G139" s="10">
        <f t="shared" si="3"/>
        <v>37.53</v>
      </c>
    </row>
    <row r="140" spans="1:7" x14ac:dyDescent="0.25">
      <c r="A140" s="1">
        <v>2022</v>
      </c>
      <c r="B140" s="1">
        <v>7</v>
      </c>
      <c r="C140" s="1">
        <v>15</v>
      </c>
      <c r="D140" s="1" t="s">
        <v>83</v>
      </c>
      <c r="E140" s="1" t="s">
        <v>66</v>
      </c>
      <c r="F140" s="1">
        <v>19770</v>
      </c>
      <c r="G140" s="10">
        <f t="shared" si="3"/>
        <v>19.77</v>
      </c>
    </row>
    <row r="141" spans="1:7" x14ac:dyDescent="0.25">
      <c r="A141" s="1">
        <v>2022</v>
      </c>
      <c r="B141" s="1">
        <v>7</v>
      </c>
      <c r="C141" s="1">
        <v>15</v>
      </c>
      <c r="D141" s="1" t="s">
        <v>83</v>
      </c>
      <c r="E141" s="1" t="s">
        <v>66</v>
      </c>
      <c r="F141" s="1">
        <v>37386</v>
      </c>
      <c r="G141" s="10">
        <f t="shared" si="3"/>
        <v>37.386000000000003</v>
      </c>
    </row>
    <row r="142" spans="1:7" x14ac:dyDescent="0.25">
      <c r="A142" s="1">
        <v>2022</v>
      </c>
      <c r="B142" s="1">
        <v>7</v>
      </c>
      <c r="C142" s="1">
        <v>16</v>
      </c>
      <c r="D142" s="1" t="s">
        <v>12</v>
      </c>
      <c r="E142" s="1" t="s">
        <v>66</v>
      </c>
      <c r="F142" s="1">
        <v>14813</v>
      </c>
      <c r="G142" s="10">
        <f t="shared" si="3"/>
        <v>14.813000000000001</v>
      </c>
    </row>
    <row r="143" spans="1:7" x14ac:dyDescent="0.25">
      <c r="A143" s="1">
        <v>2022</v>
      </c>
      <c r="B143" s="1">
        <v>7</v>
      </c>
      <c r="C143" s="1">
        <v>21</v>
      </c>
      <c r="D143" s="1" t="s">
        <v>28</v>
      </c>
      <c r="E143" s="1" t="s">
        <v>66</v>
      </c>
      <c r="F143" s="1">
        <v>8903</v>
      </c>
      <c r="G143" s="10">
        <f t="shared" si="3"/>
        <v>8.9030000000000005</v>
      </c>
    </row>
    <row r="144" spans="1:7" x14ac:dyDescent="0.25">
      <c r="A144" s="1">
        <v>2022</v>
      </c>
      <c r="B144" s="1">
        <v>7</v>
      </c>
      <c r="C144" s="1">
        <v>23</v>
      </c>
      <c r="D144" s="1" t="s">
        <v>31</v>
      </c>
      <c r="E144" s="1" t="s">
        <v>66</v>
      </c>
      <c r="F144" s="1">
        <v>82187</v>
      </c>
      <c r="G144" s="10">
        <f t="shared" si="3"/>
        <v>82.186999999999998</v>
      </c>
    </row>
    <row r="145" spans="1:7" x14ac:dyDescent="0.25">
      <c r="A145" s="1">
        <v>2022</v>
      </c>
      <c r="B145" s="1">
        <v>7</v>
      </c>
      <c r="C145" s="1">
        <v>25</v>
      </c>
      <c r="D145" s="1" t="s">
        <v>83</v>
      </c>
      <c r="E145" s="1" t="s">
        <v>66</v>
      </c>
      <c r="F145" s="1">
        <v>140752</v>
      </c>
      <c r="G145" s="10">
        <f t="shared" si="3"/>
        <v>140.75200000000001</v>
      </c>
    </row>
    <row r="146" spans="1:7" x14ac:dyDescent="0.25">
      <c r="A146" s="1">
        <v>2022</v>
      </c>
      <c r="B146" s="1">
        <v>7</v>
      </c>
      <c r="C146" s="1">
        <v>28</v>
      </c>
      <c r="D146" s="1" t="s">
        <v>83</v>
      </c>
      <c r="E146" s="1" t="s">
        <v>66</v>
      </c>
      <c r="F146" s="1">
        <v>36567</v>
      </c>
      <c r="G146" s="10">
        <f t="shared" si="3"/>
        <v>36.567</v>
      </c>
    </row>
    <row r="147" spans="1:7" x14ac:dyDescent="0.25">
      <c r="A147" s="1">
        <v>2022</v>
      </c>
      <c r="B147" s="1">
        <v>7</v>
      </c>
      <c r="C147" s="1">
        <v>30</v>
      </c>
      <c r="D147" s="1" t="s">
        <v>83</v>
      </c>
      <c r="E147" s="1" t="s">
        <v>66</v>
      </c>
      <c r="F147" s="1">
        <v>6194</v>
      </c>
      <c r="G147" s="10">
        <f t="shared" si="3"/>
        <v>6.194</v>
      </c>
    </row>
    <row r="148" spans="1:7" x14ac:dyDescent="0.25">
      <c r="A148" s="1">
        <v>2022</v>
      </c>
      <c r="B148" s="1">
        <v>7</v>
      </c>
      <c r="C148" s="1">
        <v>30</v>
      </c>
      <c r="D148" s="1" t="s">
        <v>83</v>
      </c>
      <c r="E148" s="1" t="s">
        <v>66</v>
      </c>
      <c r="F148" s="1">
        <v>6047</v>
      </c>
      <c r="G148" s="10">
        <f t="shared" si="3"/>
        <v>6.0469999999999997</v>
      </c>
    </row>
    <row r="149" spans="1:7" x14ac:dyDescent="0.25">
      <c r="A149" s="1">
        <v>2022</v>
      </c>
      <c r="B149" s="1">
        <v>7</v>
      </c>
      <c r="C149" s="1">
        <v>31</v>
      </c>
      <c r="D149" s="1" t="s">
        <v>12</v>
      </c>
      <c r="E149" s="1" t="s">
        <v>66</v>
      </c>
      <c r="F149" s="1">
        <v>17590</v>
      </c>
      <c r="G149" s="10">
        <f t="shared" si="3"/>
        <v>17.59</v>
      </c>
    </row>
    <row r="150" spans="1:7" x14ac:dyDescent="0.25">
      <c r="A150" s="1">
        <v>2022</v>
      </c>
      <c r="B150" s="1">
        <v>8</v>
      </c>
      <c r="C150" s="1">
        <v>1</v>
      </c>
      <c r="D150" s="1" t="s">
        <v>12</v>
      </c>
      <c r="E150" s="1" t="s">
        <v>66</v>
      </c>
      <c r="F150" s="1">
        <v>8469</v>
      </c>
      <c r="G150" s="10">
        <f t="shared" si="3"/>
        <v>8.4689999999999994</v>
      </c>
    </row>
    <row r="151" spans="1:7" x14ac:dyDescent="0.25">
      <c r="A151" s="1">
        <v>2022</v>
      </c>
      <c r="B151" s="1">
        <v>8</v>
      </c>
      <c r="C151" s="1">
        <v>3</v>
      </c>
      <c r="D151" s="1" t="s">
        <v>20</v>
      </c>
      <c r="E151" s="1" t="s">
        <v>66</v>
      </c>
      <c r="F151" s="1">
        <v>17068</v>
      </c>
      <c r="G151" s="10">
        <f t="shared" si="3"/>
        <v>17.068000000000001</v>
      </c>
    </row>
    <row r="152" spans="1:7" x14ac:dyDescent="0.25">
      <c r="A152" s="1">
        <v>2022</v>
      </c>
      <c r="B152" s="1">
        <v>8</v>
      </c>
      <c r="C152" s="1">
        <v>3</v>
      </c>
      <c r="D152" s="1" t="s">
        <v>54</v>
      </c>
      <c r="E152" s="1" t="s">
        <v>66</v>
      </c>
      <c r="F152" s="1">
        <v>17068</v>
      </c>
      <c r="G152" s="10">
        <f t="shared" si="3"/>
        <v>17.068000000000001</v>
      </c>
    </row>
    <row r="153" spans="1:7" x14ac:dyDescent="0.25">
      <c r="A153" s="1">
        <v>2022</v>
      </c>
      <c r="B153" s="1">
        <v>8</v>
      </c>
      <c r="C153" s="1">
        <v>4</v>
      </c>
      <c r="D153" s="1" t="s">
        <v>5</v>
      </c>
      <c r="E153" s="1" t="s">
        <v>66</v>
      </c>
      <c r="F153" s="1">
        <v>81600</v>
      </c>
      <c r="G153" s="10">
        <f t="shared" si="3"/>
        <v>81.599999999999994</v>
      </c>
    </row>
    <row r="154" spans="1:7" x14ac:dyDescent="0.25">
      <c r="A154" s="1">
        <v>2022</v>
      </c>
      <c r="B154" s="1">
        <v>8</v>
      </c>
      <c r="C154" s="1">
        <v>4</v>
      </c>
      <c r="D154" s="1" t="s">
        <v>53</v>
      </c>
      <c r="E154" s="1" t="s">
        <v>84</v>
      </c>
      <c r="F154" s="1">
        <v>9038</v>
      </c>
      <c r="G154" s="10">
        <f t="shared" si="3"/>
        <v>9.0380000000000003</v>
      </c>
    </row>
    <row r="155" spans="1:7" x14ac:dyDescent="0.25">
      <c r="A155" s="1">
        <v>2022</v>
      </c>
      <c r="B155" s="1">
        <v>8</v>
      </c>
      <c r="C155" s="1">
        <v>12</v>
      </c>
      <c r="D155" s="1" t="s">
        <v>12</v>
      </c>
      <c r="E155" s="1" t="s">
        <v>66</v>
      </c>
      <c r="F155" s="1">
        <v>13083</v>
      </c>
      <c r="G155" s="10">
        <f t="shared" si="3"/>
        <v>13.083</v>
      </c>
    </row>
    <row r="156" spans="1:7" x14ac:dyDescent="0.25">
      <c r="A156" s="1">
        <v>2022</v>
      </c>
      <c r="B156" s="1">
        <v>8</v>
      </c>
      <c r="C156" s="1">
        <v>14</v>
      </c>
      <c r="D156" s="1" t="s">
        <v>20</v>
      </c>
      <c r="E156" s="1" t="s">
        <v>66</v>
      </c>
      <c r="F156" s="1">
        <v>4359</v>
      </c>
      <c r="G156" s="10">
        <f t="shared" si="3"/>
        <v>4.359</v>
      </c>
    </row>
    <row r="157" spans="1:7" x14ac:dyDescent="0.25">
      <c r="A157" s="1">
        <v>2022</v>
      </c>
      <c r="B157" s="1">
        <v>8</v>
      </c>
      <c r="C157" s="1">
        <v>19</v>
      </c>
      <c r="D157" s="1" t="s">
        <v>8</v>
      </c>
      <c r="E157" s="1" t="s">
        <v>66</v>
      </c>
      <c r="F157" s="1">
        <v>4985</v>
      </c>
      <c r="G157" s="10">
        <f t="shared" si="3"/>
        <v>4.9850000000000003</v>
      </c>
    </row>
    <row r="158" spans="1:7" x14ac:dyDescent="0.25">
      <c r="A158" s="1">
        <v>2022</v>
      </c>
      <c r="B158" s="1">
        <v>8</v>
      </c>
      <c r="C158" s="1">
        <v>23</v>
      </c>
      <c r="D158" s="1" t="s">
        <v>12</v>
      </c>
      <c r="E158" s="1" t="s">
        <v>84</v>
      </c>
      <c r="F158" s="1">
        <v>13669</v>
      </c>
      <c r="G158" s="10">
        <f t="shared" si="3"/>
        <v>13.669</v>
      </c>
    </row>
    <row r="159" spans="1:7" x14ac:dyDescent="0.25">
      <c r="A159" s="1">
        <v>2022</v>
      </c>
      <c r="B159" s="1">
        <v>8</v>
      </c>
      <c r="C159" s="1">
        <v>31</v>
      </c>
      <c r="D159" s="1" t="s">
        <v>31</v>
      </c>
      <c r="E159" s="1" t="s">
        <v>66</v>
      </c>
      <c r="F159" s="1">
        <v>25844</v>
      </c>
      <c r="G159" s="10">
        <f t="shared" si="3"/>
        <v>25.844000000000001</v>
      </c>
    </row>
    <row r="160" spans="1:7" x14ac:dyDescent="0.25">
      <c r="A160" s="1">
        <v>2022</v>
      </c>
      <c r="B160" s="1">
        <v>8</v>
      </c>
      <c r="C160" s="1">
        <v>31</v>
      </c>
      <c r="D160" s="1" t="s">
        <v>10</v>
      </c>
      <c r="E160" s="1" t="s">
        <v>66</v>
      </c>
      <c r="F160" s="1">
        <v>16594</v>
      </c>
      <c r="G160" s="10">
        <f t="shared" si="3"/>
        <v>16.594000000000001</v>
      </c>
    </row>
    <row r="161" spans="1:7" x14ac:dyDescent="0.25">
      <c r="A161" s="1">
        <v>2022</v>
      </c>
      <c r="B161" s="1">
        <v>9</v>
      </c>
      <c r="C161" s="1">
        <v>1</v>
      </c>
      <c r="D161" s="1" t="s">
        <v>8</v>
      </c>
      <c r="E161" s="1" t="s">
        <v>66</v>
      </c>
      <c r="F161" s="1">
        <v>12273</v>
      </c>
      <c r="G161" s="10">
        <f t="shared" si="3"/>
        <v>12.273</v>
      </c>
    </row>
    <row r="162" spans="1:7" x14ac:dyDescent="0.25">
      <c r="A162" s="1">
        <v>2022</v>
      </c>
      <c r="B162" s="1">
        <v>9</v>
      </c>
      <c r="C162" s="1">
        <v>1</v>
      </c>
      <c r="D162" s="1" t="s">
        <v>5</v>
      </c>
      <c r="E162" s="1" t="s">
        <v>66</v>
      </c>
      <c r="F162" s="1">
        <v>108299</v>
      </c>
      <c r="G162" s="10">
        <f t="shared" si="3"/>
        <v>108.29900000000001</v>
      </c>
    </row>
    <row r="163" spans="1:7" x14ac:dyDescent="0.25">
      <c r="A163" s="1">
        <v>2022</v>
      </c>
      <c r="B163" s="1">
        <v>9</v>
      </c>
      <c r="C163" s="1">
        <v>5</v>
      </c>
      <c r="D163" s="1" t="s">
        <v>24</v>
      </c>
      <c r="E163" s="1" t="s">
        <v>66</v>
      </c>
      <c r="F163" s="1">
        <v>99742</v>
      </c>
      <c r="G163" s="10">
        <f t="shared" si="3"/>
        <v>99.742000000000004</v>
      </c>
    </row>
    <row r="164" spans="1:7" x14ac:dyDescent="0.25">
      <c r="A164" s="1">
        <v>2022</v>
      </c>
      <c r="B164" s="1">
        <v>9</v>
      </c>
      <c r="C164" s="1">
        <v>9</v>
      </c>
      <c r="D164" s="1" t="s">
        <v>28</v>
      </c>
      <c r="E164" s="1" t="s">
        <v>66</v>
      </c>
      <c r="F164" s="1">
        <v>11146</v>
      </c>
      <c r="G164" s="10">
        <f t="shared" ref="G164:G205" si="4">F164/1000</f>
        <v>11.146000000000001</v>
      </c>
    </row>
    <row r="165" spans="1:7" x14ac:dyDescent="0.25">
      <c r="A165" s="1">
        <v>2022</v>
      </c>
      <c r="B165" s="1">
        <v>9</v>
      </c>
      <c r="C165" s="1">
        <v>10</v>
      </c>
      <c r="D165" s="1" t="s">
        <v>31</v>
      </c>
      <c r="E165" s="1" t="s">
        <v>66</v>
      </c>
      <c r="F165" s="1">
        <v>86607</v>
      </c>
      <c r="G165" s="10">
        <f t="shared" si="4"/>
        <v>86.606999999999999</v>
      </c>
    </row>
    <row r="166" spans="1:7" x14ac:dyDescent="0.25">
      <c r="A166" s="1">
        <v>2022</v>
      </c>
      <c r="B166" s="1">
        <v>9</v>
      </c>
      <c r="C166" s="1">
        <v>11</v>
      </c>
      <c r="D166" s="1" t="s">
        <v>28</v>
      </c>
      <c r="E166" s="1" t="s">
        <v>66</v>
      </c>
      <c r="F166" s="1">
        <v>3980</v>
      </c>
      <c r="G166" s="10">
        <f t="shared" si="4"/>
        <v>3.98</v>
      </c>
    </row>
    <row r="167" spans="1:7" x14ac:dyDescent="0.25">
      <c r="A167" s="1">
        <v>2022</v>
      </c>
      <c r="B167" s="1">
        <v>9</v>
      </c>
      <c r="C167" s="1">
        <v>17</v>
      </c>
      <c r="D167" s="1" t="s">
        <v>54</v>
      </c>
      <c r="E167" s="1" t="s">
        <v>66</v>
      </c>
      <c r="F167" s="1">
        <v>38684</v>
      </c>
      <c r="G167" s="10">
        <f t="shared" si="4"/>
        <v>38.683999999999997</v>
      </c>
    </row>
    <row r="168" spans="1:7" x14ac:dyDescent="0.25">
      <c r="A168" s="1">
        <v>2022</v>
      </c>
      <c r="B168" s="1">
        <v>9</v>
      </c>
      <c r="C168" s="1">
        <v>20</v>
      </c>
      <c r="D168" s="1" t="s">
        <v>12</v>
      </c>
      <c r="E168" s="1" t="s">
        <v>66</v>
      </c>
      <c r="F168" s="1">
        <v>17412</v>
      </c>
      <c r="G168" s="10">
        <f t="shared" si="4"/>
        <v>17.411999999999999</v>
      </c>
    </row>
    <row r="169" spans="1:7" x14ac:dyDescent="0.25">
      <c r="A169" s="1">
        <v>2022</v>
      </c>
      <c r="B169" s="1">
        <v>9</v>
      </c>
      <c r="C169" s="1">
        <v>23</v>
      </c>
      <c r="D169" s="1" t="s">
        <v>31</v>
      </c>
      <c r="E169" s="1" t="s">
        <v>66</v>
      </c>
      <c r="F169" s="1">
        <v>73703</v>
      </c>
      <c r="G169" s="10">
        <f t="shared" si="4"/>
        <v>73.703000000000003</v>
      </c>
    </row>
    <row r="170" spans="1:7" x14ac:dyDescent="0.25">
      <c r="A170" s="1">
        <v>2022</v>
      </c>
      <c r="B170" s="1">
        <v>9</v>
      </c>
      <c r="C170" s="1">
        <v>25</v>
      </c>
      <c r="D170" s="1" t="s">
        <v>12</v>
      </c>
      <c r="E170" s="1" t="s">
        <v>66</v>
      </c>
      <c r="F170" s="1">
        <v>16722</v>
      </c>
      <c r="G170" s="10">
        <f t="shared" si="4"/>
        <v>16.722000000000001</v>
      </c>
    </row>
    <row r="171" spans="1:7" x14ac:dyDescent="0.25">
      <c r="A171" s="1">
        <v>2022</v>
      </c>
      <c r="B171" s="1">
        <v>9</v>
      </c>
      <c r="C171" s="1">
        <v>28</v>
      </c>
      <c r="D171" s="1" t="s">
        <v>22</v>
      </c>
      <c r="E171" s="1" t="s">
        <v>66</v>
      </c>
      <c r="F171" s="1">
        <v>33984</v>
      </c>
      <c r="G171" s="10">
        <f t="shared" si="4"/>
        <v>33.984000000000002</v>
      </c>
    </row>
    <row r="172" spans="1:7" x14ac:dyDescent="0.25">
      <c r="A172" s="1">
        <v>2022</v>
      </c>
      <c r="B172" s="1">
        <v>9</v>
      </c>
      <c r="C172" s="1">
        <v>28</v>
      </c>
      <c r="D172" s="1" t="s">
        <v>22</v>
      </c>
      <c r="E172" s="1" t="s">
        <v>66</v>
      </c>
      <c r="F172" s="1">
        <v>6618</v>
      </c>
      <c r="G172" s="10">
        <f t="shared" si="4"/>
        <v>6.6180000000000003</v>
      </c>
    </row>
    <row r="173" spans="1:7" x14ac:dyDescent="0.25">
      <c r="A173" s="1">
        <v>2022</v>
      </c>
      <c r="B173" s="1">
        <v>9</v>
      </c>
      <c r="C173" s="1">
        <v>28</v>
      </c>
      <c r="D173" s="1" t="s">
        <v>22</v>
      </c>
      <c r="E173" s="1" t="s">
        <v>66</v>
      </c>
      <c r="F173" s="1">
        <v>33461</v>
      </c>
      <c r="G173" s="10">
        <f t="shared" si="4"/>
        <v>33.460999999999999</v>
      </c>
    </row>
    <row r="174" spans="1:7" x14ac:dyDescent="0.25">
      <c r="A174" s="1">
        <v>2022</v>
      </c>
      <c r="B174" s="1">
        <v>9</v>
      </c>
      <c r="C174" s="1">
        <v>28</v>
      </c>
      <c r="D174" s="1" t="s">
        <v>22</v>
      </c>
      <c r="E174" s="1" t="s">
        <v>66</v>
      </c>
      <c r="F174" s="1">
        <v>17061</v>
      </c>
      <c r="G174" s="10">
        <f t="shared" si="4"/>
        <v>17.061</v>
      </c>
    </row>
    <row r="175" spans="1:7" x14ac:dyDescent="0.25">
      <c r="A175" s="1">
        <v>2022</v>
      </c>
      <c r="B175" s="1">
        <v>9</v>
      </c>
      <c r="C175" s="1">
        <v>28</v>
      </c>
      <c r="D175" s="1" t="s">
        <v>14</v>
      </c>
      <c r="E175" s="1" t="s">
        <v>66</v>
      </c>
      <c r="F175" s="1">
        <v>35559</v>
      </c>
      <c r="G175" s="10">
        <f t="shared" si="4"/>
        <v>35.558999999999997</v>
      </c>
    </row>
    <row r="176" spans="1:7" x14ac:dyDescent="0.25">
      <c r="A176" s="1">
        <v>2022</v>
      </c>
      <c r="B176" s="1">
        <v>9</v>
      </c>
      <c r="C176" s="1">
        <v>30</v>
      </c>
      <c r="D176" s="1" t="s">
        <v>12</v>
      </c>
      <c r="E176" s="1" t="s">
        <v>66</v>
      </c>
      <c r="F176" s="1">
        <v>9205</v>
      </c>
      <c r="G176" s="10">
        <f t="shared" si="4"/>
        <v>9.2050000000000001</v>
      </c>
    </row>
    <row r="177" spans="1:7" x14ac:dyDescent="0.25">
      <c r="A177" s="1">
        <v>2022</v>
      </c>
      <c r="B177" s="1">
        <v>10</v>
      </c>
      <c r="C177" s="1">
        <v>1</v>
      </c>
      <c r="D177" s="1" t="s">
        <v>12</v>
      </c>
      <c r="E177" s="1" t="s">
        <v>66</v>
      </c>
      <c r="F177" s="1">
        <v>9786</v>
      </c>
      <c r="G177" s="10">
        <f t="shared" si="4"/>
        <v>9.7859999999999996</v>
      </c>
    </row>
    <row r="178" spans="1:7" x14ac:dyDescent="0.25">
      <c r="A178" s="1">
        <v>2022</v>
      </c>
      <c r="B178" s="1">
        <v>10</v>
      </c>
      <c r="C178" s="1">
        <v>1</v>
      </c>
      <c r="D178" s="1" t="s">
        <v>38</v>
      </c>
      <c r="E178" s="1" t="s">
        <v>66</v>
      </c>
      <c r="F178" s="1">
        <v>29991</v>
      </c>
      <c r="G178" s="10">
        <f t="shared" si="4"/>
        <v>29.991</v>
      </c>
    </row>
    <row r="179" spans="1:7" x14ac:dyDescent="0.25">
      <c r="A179" s="1">
        <v>2022</v>
      </c>
      <c r="B179" s="1">
        <v>10</v>
      </c>
      <c r="C179" s="1">
        <v>1</v>
      </c>
      <c r="D179" s="1" t="s">
        <v>38</v>
      </c>
      <c r="E179" s="1" t="s">
        <v>66</v>
      </c>
      <c r="F179" s="1">
        <v>55697</v>
      </c>
      <c r="G179" s="10">
        <f t="shared" si="4"/>
        <v>55.697000000000003</v>
      </c>
    </row>
    <row r="180" spans="1:7" x14ac:dyDescent="0.25">
      <c r="A180" s="1">
        <v>2022</v>
      </c>
      <c r="B180" s="1">
        <v>10</v>
      </c>
      <c r="C180" s="1">
        <v>2</v>
      </c>
      <c r="D180" s="1" t="s">
        <v>31</v>
      </c>
      <c r="E180" s="1" t="s">
        <v>66</v>
      </c>
      <c r="F180" s="1">
        <v>36558</v>
      </c>
      <c r="G180" s="10">
        <f t="shared" si="4"/>
        <v>36.558</v>
      </c>
    </row>
    <row r="181" spans="1:7" x14ac:dyDescent="0.25">
      <c r="A181" s="1">
        <v>2022</v>
      </c>
      <c r="B181" s="1">
        <v>10</v>
      </c>
      <c r="C181" s="1">
        <v>3</v>
      </c>
      <c r="D181" s="1" t="s">
        <v>5</v>
      </c>
      <c r="E181" s="1" t="s">
        <v>66</v>
      </c>
      <c r="F181" s="1">
        <v>75606</v>
      </c>
      <c r="G181" s="10">
        <f t="shared" si="4"/>
        <v>75.605999999999995</v>
      </c>
    </row>
    <row r="182" spans="1:7" x14ac:dyDescent="0.25">
      <c r="A182" s="1">
        <v>2022</v>
      </c>
      <c r="B182" s="1">
        <v>10</v>
      </c>
      <c r="C182" s="1">
        <v>5</v>
      </c>
      <c r="D182" s="1" t="s">
        <v>31</v>
      </c>
      <c r="E182" s="1" t="s">
        <v>66</v>
      </c>
      <c r="F182" s="1">
        <v>35703</v>
      </c>
      <c r="G182" s="10">
        <f t="shared" si="4"/>
        <v>35.703000000000003</v>
      </c>
    </row>
    <row r="183" spans="1:7" x14ac:dyDescent="0.25">
      <c r="A183" s="1">
        <v>2022</v>
      </c>
      <c r="B183" s="1">
        <v>10</v>
      </c>
      <c r="C183" s="1">
        <v>7</v>
      </c>
      <c r="D183" s="1" t="s">
        <v>33</v>
      </c>
      <c r="E183" s="1" t="s">
        <v>66</v>
      </c>
      <c r="F183" s="1">
        <v>34370</v>
      </c>
      <c r="G183" s="10">
        <f t="shared" si="4"/>
        <v>34.369999999999997</v>
      </c>
    </row>
    <row r="184" spans="1:7" x14ac:dyDescent="0.25">
      <c r="A184" s="1">
        <v>2022</v>
      </c>
      <c r="B184" s="1">
        <v>10</v>
      </c>
      <c r="C184" s="1">
        <v>8</v>
      </c>
      <c r="D184" s="1" t="s">
        <v>24</v>
      </c>
      <c r="E184" s="1" t="s">
        <v>66</v>
      </c>
      <c r="F184" s="1">
        <v>83951</v>
      </c>
      <c r="G184" s="10">
        <f t="shared" si="4"/>
        <v>83.950999999999993</v>
      </c>
    </row>
    <row r="185" spans="1:7" x14ac:dyDescent="0.25">
      <c r="A185" s="1">
        <v>2022</v>
      </c>
      <c r="B185" s="1">
        <v>10</v>
      </c>
      <c r="C185" s="1">
        <v>8</v>
      </c>
      <c r="D185" s="1" t="s">
        <v>12</v>
      </c>
      <c r="E185" s="1" t="s">
        <v>66</v>
      </c>
      <c r="F185" s="1">
        <v>6071</v>
      </c>
      <c r="G185" s="10">
        <f t="shared" si="4"/>
        <v>6.0709999999999997</v>
      </c>
    </row>
    <row r="186" spans="1:7" x14ac:dyDescent="0.25">
      <c r="A186" s="1">
        <v>2022</v>
      </c>
      <c r="B186" s="1">
        <v>10</v>
      </c>
      <c r="C186" s="1">
        <v>9</v>
      </c>
      <c r="D186" s="1" t="s">
        <v>22</v>
      </c>
      <c r="E186" s="1" t="s">
        <v>66</v>
      </c>
      <c r="F186" s="1">
        <v>71966</v>
      </c>
      <c r="G186" s="10">
        <f t="shared" si="4"/>
        <v>71.965999999999994</v>
      </c>
    </row>
    <row r="187" spans="1:7" x14ac:dyDescent="0.25">
      <c r="A187" s="1">
        <v>2022</v>
      </c>
      <c r="B187" s="1">
        <v>10</v>
      </c>
      <c r="C187" s="1">
        <v>9</v>
      </c>
      <c r="D187" s="1" t="s">
        <v>12</v>
      </c>
      <c r="E187" s="1" t="s">
        <v>66</v>
      </c>
      <c r="F187" s="1">
        <v>6227</v>
      </c>
      <c r="G187" s="10">
        <f t="shared" si="4"/>
        <v>6.2270000000000003</v>
      </c>
    </row>
    <row r="188" spans="1:7" x14ac:dyDescent="0.25">
      <c r="A188" s="1">
        <v>2022</v>
      </c>
      <c r="B188" s="1">
        <v>10</v>
      </c>
      <c r="C188" s="1">
        <v>9</v>
      </c>
      <c r="D188" s="1" t="s">
        <v>31</v>
      </c>
      <c r="E188" s="1" t="s">
        <v>66</v>
      </c>
      <c r="F188" s="1">
        <v>36558</v>
      </c>
      <c r="G188" s="10">
        <f t="shared" si="4"/>
        <v>36.558</v>
      </c>
    </row>
    <row r="189" spans="1:7" x14ac:dyDescent="0.25">
      <c r="A189" s="1">
        <v>2022</v>
      </c>
      <c r="B189" s="1">
        <v>10</v>
      </c>
      <c r="C189" s="1">
        <v>10</v>
      </c>
      <c r="D189" s="1" t="s">
        <v>88</v>
      </c>
      <c r="E189" s="1" t="s">
        <v>66</v>
      </c>
      <c r="F189" s="1">
        <v>84425</v>
      </c>
      <c r="G189" s="10">
        <f t="shared" si="4"/>
        <v>84.424999999999997</v>
      </c>
    </row>
    <row r="190" spans="1:7" x14ac:dyDescent="0.25">
      <c r="A190" s="1">
        <v>2022</v>
      </c>
      <c r="B190" s="1">
        <v>10</v>
      </c>
      <c r="C190" s="1">
        <v>10</v>
      </c>
      <c r="D190" s="1" t="s">
        <v>36</v>
      </c>
      <c r="E190" s="1" t="s">
        <v>66</v>
      </c>
      <c r="F190" s="1">
        <v>22951</v>
      </c>
      <c r="G190" s="10">
        <f t="shared" si="4"/>
        <v>22.951000000000001</v>
      </c>
    </row>
    <row r="191" spans="1:7" x14ac:dyDescent="0.25">
      <c r="A191" s="1">
        <v>2022</v>
      </c>
      <c r="B191" s="1">
        <v>10</v>
      </c>
      <c r="C191" s="1">
        <v>11</v>
      </c>
      <c r="D191" s="1" t="s">
        <v>12</v>
      </c>
      <c r="E191" s="1" t="s">
        <v>66</v>
      </c>
      <c r="F191" s="1">
        <v>6693</v>
      </c>
      <c r="G191" s="10">
        <f t="shared" si="4"/>
        <v>6.6929999999999996</v>
      </c>
    </row>
    <row r="192" spans="1:7" x14ac:dyDescent="0.25">
      <c r="A192" s="1">
        <v>2022</v>
      </c>
      <c r="B192" s="1">
        <v>10</v>
      </c>
      <c r="C192" s="1">
        <v>14</v>
      </c>
      <c r="D192" s="1" t="s">
        <v>31</v>
      </c>
      <c r="E192" s="1" t="s">
        <v>66</v>
      </c>
      <c r="F192" s="1">
        <v>53112</v>
      </c>
      <c r="G192" s="10">
        <f t="shared" si="4"/>
        <v>53.112000000000002</v>
      </c>
    </row>
    <row r="193" spans="1:7" x14ac:dyDescent="0.25">
      <c r="A193" s="1">
        <v>2022</v>
      </c>
      <c r="B193" s="1">
        <v>10</v>
      </c>
      <c r="C193" s="1">
        <v>15</v>
      </c>
      <c r="D193" s="1" t="s">
        <v>33</v>
      </c>
      <c r="E193" s="1" t="s">
        <v>66</v>
      </c>
      <c r="F193" s="1">
        <v>30880</v>
      </c>
      <c r="G193" s="10">
        <f t="shared" si="4"/>
        <v>30.88</v>
      </c>
    </row>
    <row r="194" spans="1:7" x14ac:dyDescent="0.25">
      <c r="A194" s="1">
        <v>2022</v>
      </c>
      <c r="B194" s="1">
        <v>10</v>
      </c>
      <c r="C194" s="1">
        <v>17</v>
      </c>
      <c r="D194" s="1" t="s">
        <v>54</v>
      </c>
      <c r="E194" s="1" t="s">
        <v>66</v>
      </c>
      <c r="F194" s="1">
        <v>102092</v>
      </c>
      <c r="G194" s="10">
        <f t="shared" si="4"/>
        <v>102.092</v>
      </c>
    </row>
    <row r="195" spans="1:7" x14ac:dyDescent="0.25">
      <c r="A195" s="1">
        <v>2022</v>
      </c>
      <c r="B195" s="1">
        <v>10</v>
      </c>
      <c r="C195" s="1">
        <v>20</v>
      </c>
      <c r="D195" s="1" t="s">
        <v>31</v>
      </c>
      <c r="E195" s="1" t="s">
        <v>66</v>
      </c>
      <c r="F195" s="1">
        <v>47220</v>
      </c>
      <c r="G195" s="10">
        <f t="shared" si="4"/>
        <v>47.22</v>
      </c>
    </row>
    <row r="196" spans="1:7" x14ac:dyDescent="0.25">
      <c r="A196" s="1">
        <v>2022</v>
      </c>
      <c r="B196" s="1">
        <v>10</v>
      </c>
      <c r="C196" s="1">
        <v>21</v>
      </c>
      <c r="D196" s="1" t="s">
        <v>12</v>
      </c>
      <c r="E196" s="1" t="s">
        <v>66</v>
      </c>
      <c r="F196" s="1">
        <v>18724</v>
      </c>
      <c r="G196" s="10">
        <f t="shared" si="4"/>
        <v>18.724</v>
      </c>
    </row>
    <row r="197" spans="1:7" x14ac:dyDescent="0.25">
      <c r="A197" s="1">
        <v>2022</v>
      </c>
      <c r="B197" s="1">
        <v>10</v>
      </c>
      <c r="C197" s="1">
        <v>29</v>
      </c>
      <c r="D197" s="1" t="s">
        <v>89</v>
      </c>
      <c r="E197" s="1" t="s">
        <v>66</v>
      </c>
      <c r="F197" s="1">
        <v>80882</v>
      </c>
      <c r="G197" s="10">
        <f t="shared" si="4"/>
        <v>80.882000000000005</v>
      </c>
    </row>
    <row r="198" spans="1:7" x14ac:dyDescent="0.25">
      <c r="A198" s="1">
        <v>2022</v>
      </c>
      <c r="B198" s="1">
        <v>10</v>
      </c>
      <c r="C198" s="1">
        <v>29</v>
      </c>
      <c r="D198" s="1" t="s">
        <v>12</v>
      </c>
      <c r="E198" s="1" t="s">
        <v>66</v>
      </c>
      <c r="F198" s="1">
        <v>16722</v>
      </c>
      <c r="G198" s="10">
        <f t="shared" si="4"/>
        <v>16.722000000000001</v>
      </c>
    </row>
    <row r="199" spans="1:7" x14ac:dyDescent="0.25">
      <c r="A199" s="1">
        <v>2022</v>
      </c>
      <c r="B199" s="1">
        <v>10</v>
      </c>
      <c r="C199" s="1">
        <v>29</v>
      </c>
      <c r="D199" s="1" t="s">
        <v>31</v>
      </c>
      <c r="E199" s="1" t="s">
        <v>66</v>
      </c>
      <c r="F199" s="1">
        <v>81422</v>
      </c>
      <c r="G199" s="10">
        <f t="shared" si="4"/>
        <v>81.421999999999997</v>
      </c>
    </row>
    <row r="200" spans="1:7" x14ac:dyDescent="0.25">
      <c r="A200" s="1">
        <v>2022</v>
      </c>
      <c r="B200" s="1">
        <v>11</v>
      </c>
      <c r="C200" s="1">
        <v>7</v>
      </c>
      <c r="D200" s="1" t="s">
        <v>20</v>
      </c>
      <c r="E200" s="1" t="s">
        <v>66</v>
      </c>
      <c r="F200" s="1">
        <v>1635</v>
      </c>
      <c r="G200" s="10">
        <f t="shared" si="4"/>
        <v>1.635</v>
      </c>
    </row>
    <row r="201" spans="1:7" x14ac:dyDescent="0.25">
      <c r="A201" s="1">
        <v>2022</v>
      </c>
      <c r="B201" s="1">
        <v>11</v>
      </c>
      <c r="C201" s="1">
        <v>7</v>
      </c>
      <c r="D201" s="1" t="s">
        <v>20</v>
      </c>
      <c r="E201" s="1" t="s">
        <v>66</v>
      </c>
      <c r="F201" s="1">
        <v>8175</v>
      </c>
      <c r="G201" s="10">
        <f t="shared" si="4"/>
        <v>8.1750000000000007</v>
      </c>
    </row>
    <row r="202" spans="1:7" x14ac:dyDescent="0.25">
      <c r="A202" s="1">
        <v>2022</v>
      </c>
      <c r="B202" s="1">
        <v>11</v>
      </c>
      <c r="C202" s="1">
        <v>8</v>
      </c>
      <c r="D202" s="1" t="s">
        <v>12</v>
      </c>
      <c r="E202" s="1" t="s">
        <v>66</v>
      </c>
      <c r="F202" s="1">
        <v>16722</v>
      </c>
      <c r="G202" s="10">
        <f t="shared" si="4"/>
        <v>16.722000000000001</v>
      </c>
    </row>
    <row r="203" spans="1:7" x14ac:dyDescent="0.25">
      <c r="A203" s="1">
        <v>2022</v>
      </c>
      <c r="B203" s="1">
        <v>11</v>
      </c>
      <c r="C203" s="1">
        <v>9</v>
      </c>
      <c r="D203" s="1" t="s">
        <v>5</v>
      </c>
      <c r="E203" s="1" t="s">
        <v>66</v>
      </c>
      <c r="F203" s="1">
        <v>75412</v>
      </c>
      <c r="G203" s="10">
        <f t="shared" si="4"/>
        <v>75.412000000000006</v>
      </c>
    </row>
    <row r="204" spans="1:7" x14ac:dyDescent="0.25">
      <c r="A204" s="1">
        <v>2022</v>
      </c>
      <c r="B204" s="1">
        <v>11</v>
      </c>
      <c r="C204" s="1">
        <v>14</v>
      </c>
      <c r="D204" s="1" t="s">
        <v>12</v>
      </c>
      <c r="E204" s="1" t="s">
        <v>66</v>
      </c>
      <c r="F204" s="1">
        <v>18998</v>
      </c>
      <c r="G204" s="10">
        <f t="shared" si="4"/>
        <v>18.998000000000001</v>
      </c>
    </row>
    <row r="205" spans="1:7" x14ac:dyDescent="0.25">
      <c r="A205" s="1">
        <v>2022</v>
      </c>
      <c r="B205" s="1">
        <v>11</v>
      </c>
      <c r="C205" s="1">
        <v>15</v>
      </c>
      <c r="D205" s="1" t="s">
        <v>3</v>
      </c>
      <c r="E205" s="1" t="s">
        <v>66</v>
      </c>
      <c r="F205" s="1">
        <v>104376</v>
      </c>
      <c r="G205" s="10">
        <f t="shared" si="4"/>
        <v>104.376</v>
      </c>
    </row>
    <row r="206" spans="1:7" x14ac:dyDescent="0.25">
      <c r="A206" s="1">
        <v>2022</v>
      </c>
      <c r="B206" s="1">
        <v>11</v>
      </c>
      <c r="C206" s="1">
        <v>15</v>
      </c>
      <c r="D206" s="1" t="s">
        <v>90</v>
      </c>
      <c r="E206" s="1" t="s">
        <v>66</v>
      </c>
      <c r="F206" s="1">
        <v>8142</v>
      </c>
      <c r="G206" s="10">
        <f t="shared" ref="G206:G238" si="5">F206/1000</f>
        <v>8.1419999999999995</v>
      </c>
    </row>
    <row r="207" spans="1:7" x14ac:dyDescent="0.25">
      <c r="A207" s="1">
        <v>2022</v>
      </c>
      <c r="B207" s="1">
        <v>11</v>
      </c>
      <c r="C207" s="1">
        <v>15</v>
      </c>
      <c r="D207" s="1" t="s">
        <v>38</v>
      </c>
      <c r="E207" s="1" t="s">
        <v>66</v>
      </c>
      <c r="F207" s="1">
        <v>29211</v>
      </c>
      <c r="G207" s="10">
        <f t="shared" si="5"/>
        <v>29.210999999999999</v>
      </c>
    </row>
    <row r="208" spans="1:7" x14ac:dyDescent="0.25">
      <c r="A208" s="1">
        <v>2022</v>
      </c>
      <c r="B208" s="1">
        <v>11</v>
      </c>
      <c r="C208" s="1">
        <v>18</v>
      </c>
      <c r="D208" s="1" t="s">
        <v>12</v>
      </c>
      <c r="E208" s="1" t="s">
        <v>66</v>
      </c>
      <c r="F208" s="1">
        <v>16722</v>
      </c>
      <c r="G208" s="10">
        <f t="shared" si="5"/>
        <v>16.722000000000001</v>
      </c>
    </row>
    <row r="209" spans="1:7" x14ac:dyDescent="0.25">
      <c r="A209" s="1">
        <v>2022</v>
      </c>
      <c r="B209" s="1">
        <v>11</v>
      </c>
      <c r="C209" s="1">
        <v>18</v>
      </c>
      <c r="D209" s="1" t="s">
        <v>31</v>
      </c>
      <c r="E209" s="1" t="s">
        <v>66</v>
      </c>
      <c r="F209" s="1">
        <v>84595</v>
      </c>
      <c r="G209" s="10">
        <f t="shared" si="5"/>
        <v>84.594999999999999</v>
      </c>
    </row>
    <row r="210" spans="1:7" x14ac:dyDescent="0.25">
      <c r="A210" s="1">
        <v>2022</v>
      </c>
      <c r="B210" s="1">
        <v>11</v>
      </c>
      <c r="C210" s="1">
        <v>21</v>
      </c>
      <c r="D210" s="1" t="s">
        <v>54</v>
      </c>
      <c r="E210" s="1" t="s">
        <v>66</v>
      </c>
      <c r="F210" s="1">
        <v>17770</v>
      </c>
      <c r="G210" s="10">
        <f t="shared" si="5"/>
        <v>17.77</v>
      </c>
    </row>
    <row r="211" spans="1:7" x14ac:dyDescent="0.25">
      <c r="A211" s="1">
        <v>2022</v>
      </c>
      <c r="B211" s="1">
        <v>11</v>
      </c>
      <c r="C211" s="1">
        <v>22</v>
      </c>
      <c r="D211" s="1" t="s">
        <v>12</v>
      </c>
      <c r="E211" s="1" t="s">
        <v>66</v>
      </c>
      <c r="F211" s="1">
        <v>18998</v>
      </c>
      <c r="G211" s="10">
        <f t="shared" si="5"/>
        <v>18.998000000000001</v>
      </c>
    </row>
    <row r="212" spans="1:7" x14ac:dyDescent="0.25">
      <c r="A212" s="1">
        <v>2022</v>
      </c>
      <c r="B212" s="1">
        <v>11</v>
      </c>
      <c r="C212" s="1">
        <v>23</v>
      </c>
      <c r="D212" s="1" t="s">
        <v>54</v>
      </c>
      <c r="E212" s="1" t="s">
        <v>66</v>
      </c>
      <c r="F212" s="1">
        <v>26467</v>
      </c>
      <c r="G212" s="10">
        <f t="shared" si="5"/>
        <v>26.466999999999999</v>
      </c>
    </row>
    <row r="213" spans="1:7" x14ac:dyDescent="0.25">
      <c r="A213" s="1">
        <v>2022</v>
      </c>
      <c r="B213" s="1">
        <v>11</v>
      </c>
      <c r="C213" s="1">
        <v>26</v>
      </c>
      <c r="D213" s="1" t="s">
        <v>36</v>
      </c>
      <c r="E213" s="1" t="s">
        <v>84</v>
      </c>
      <c r="F213" s="1">
        <v>35702</v>
      </c>
      <c r="G213" s="10">
        <f t="shared" si="5"/>
        <v>35.701999999999998</v>
      </c>
    </row>
    <row r="214" spans="1:7" x14ac:dyDescent="0.25">
      <c r="A214" s="1">
        <v>2022</v>
      </c>
      <c r="B214" s="1">
        <v>11</v>
      </c>
      <c r="C214" s="1">
        <v>28</v>
      </c>
      <c r="D214" s="1" t="s">
        <v>12</v>
      </c>
      <c r="E214" s="1" t="s">
        <v>66</v>
      </c>
      <c r="F214" s="1">
        <v>16722</v>
      </c>
      <c r="G214" s="10">
        <f t="shared" si="5"/>
        <v>16.722000000000001</v>
      </c>
    </row>
    <row r="215" spans="1:7" x14ac:dyDescent="0.25">
      <c r="A215" s="1">
        <v>2022</v>
      </c>
      <c r="B215" s="1">
        <v>11</v>
      </c>
      <c r="C215" s="1">
        <v>30</v>
      </c>
      <c r="D215" s="1" t="s">
        <v>24</v>
      </c>
      <c r="E215" s="1" t="s">
        <v>66</v>
      </c>
      <c r="F215" s="1">
        <v>30029</v>
      </c>
      <c r="G215" s="10">
        <f t="shared" si="5"/>
        <v>30.029</v>
      </c>
    </row>
    <row r="216" spans="1:7" x14ac:dyDescent="0.25">
      <c r="A216" s="1">
        <v>2022</v>
      </c>
      <c r="B216" s="1">
        <v>11</v>
      </c>
      <c r="C216" s="1">
        <v>30</v>
      </c>
      <c r="D216" s="1" t="s">
        <v>12</v>
      </c>
      <c r="E216" s="1" t="s">
        <v>66</v>
      </c>
      <c r="F216" s="1">
        <v>18991</v>
      </c>
      <c r="G216" s="10">
        <f t="shared" si="5"/>
        <v>18.991</v>
      </c>
    </row>
    <row r="217" spans="1:7" x14ac:dyDescent="0.25">
      <c r="A217" s="1">
        <v>2022</v>
      </c>
      <c r="B217" s="1">
        <v>12</v>
      </c>
      <c r="C217" s="1">
        <v>3</v>
      </c>
      <c r="D217" s="1" t="s">
        <v>8</v>
      </c>
      <c r="E217" s="1" t="s">
        <v>66</v>
      </c>
      <c r="F217" s="1">
        <v>8498</v>
      </c>
      <c r="G217" s="10">
        <f t="shared" si="5"/>
        <v>8.4979999999999993</v>
      </c>
    </row>
    <row r="218" spans="1:7" x14ac:dyDescent="0.25">
      <c r="A218" s="1">
        <v>2022</v>
      </c>
      <c r="B218" s="1">
        <v>12</v>
      </c>
      <c r="C218" s="1">
        <v>4</v>
      </c>
      <c r="D218" s="1" t="s">
        <v>91</v>
      </c>
      <c r="E218" s="1" t="s">
        <v>66</v>
      </c>
      <c r="F218" s="1">
        <v>69502</v>
      </c>
      <c r="G218" s="10">
        <f t="shared" si="5"/>
        <v>69.501999999999995</v>
      </c>
    </row>
    <row r="219" spans="1:7" x14ac:dyDescent="0.25">
      <c r="A219" s="1">
        <v>2022</v>
      </c>
      <c r="B219" s="1">
        <v>12</v>
      </c>
      <c r="C219" s="1">
        <v>6</v>
      </c>
      <c r="D219" s="1" t="s">
        <v>12</v>
      </c>
      <c r="E219" s="1" t="s">
        <v>66</v>
      </c>
      <c r="F219" s="1">
        <v>16661</v>
      </c>
      <c r="G219" s="10">
        <f t="shared" si="5"/>
        <v>16.661000000000001</v>
      </c>
    </row>
    <row r="220" spans="1:7" x14ac:dyDescent="0.25">
      <c r="A220" s="1">
        <v>2022</v>
      </c>
      <c r="B220" s="1">
        <v>12</v>
      </c>
      <c r="C220" s="1">
        <v>10</v>
      </c>
      <c r="D220" s="1" t="s">
        <v>12</v>
      </c>
      <c r="E220" s="1" t="s">
        <v>66</v>
      </c>
      <c r="F220" s="1">
        <v>3068</v>
      </c>
      <c r="G220" s="10">
        <f t="shared" si="5"/>
        <v>3.0680000000000001</v>
      </c>
    </row>
    <row r="221" spans="1:7" x14ac:dyDescent="0.25">
      <c r="A221" s="1">
        <v>2022</v>
      </c>
      <c r="B221" s="1">
        <v>12</v>
      </c>
      <c r="C221" s="1">
        <v>10</v>
      </c>
      <c r="D221" s="1" t="s">
        <v>12</v>
      </c>
      <c r="E221" s="1" t="s">
        <v>66</v>
      </c>
      <c r="F221" s="1">
        <v>7586</v>
      </c>
      <c r="G221" s="10">
        <f t="shared" si="5"/>
        <v>7.5860000000000003</v>
      </c>
    </row>
    <row r="222" spans="1:7" x14ac:dyDescent="0.25">
      <c r="A222" s="1">
        <v>2022</v>
      </c>
      <c r="B222" s="1">
        <v>12</v>
      </c>
      <c r="C222" s="1">
        <v>11</v>
      </c>
      <c r="D222" s="1" t="s">
        <v>5</v>
      </c>
      <c r="E222" s="1" t="s">
        <v>66</v>
      </c>
      <c r="F222" s="1">
        <v>65664</v>
      </c>
      <c r="G222" s="10">
        <f t="shared" si="5"/>
        <v>65.664000000000001</v>
      </c>
    </row>
    <row r="223" spans="1:7" x14ac:dyDescent="0.25">
      <c r="A223" s="1">
        <v>2022</v>
      </c>
      <c r="B223" s="1">
        <v>12</v>
      </c>
      <c r="C223" s="1">
        <v>12</v>
      </c>
      <c r="D223" s="1" t="s">
        <v>12</v>
      </c>
      <c r="E223" s="1" t="s">
        <v>66</v>
      </c>
      <c r="F223" s="1">
        <v>17665</v>
      </c>
      <c r="G223" s="10">
        <f t="shared" si="5"/>
        <v>17.664999999999999</v>
      </c>
    </row>
    <row r="224" spans="1:7" x14ac:dyDescent="0.25">
      <c r="A224" s="1">
        <v>2022</v>
      </c>
      <c r="B224" s="1">
        <v>12</v>
      </c>
      <c r="C224" s="1">
        <v>17</v>
      </c>
      <c r="D224" s="1" t="s">
        <v>12</v>
      </c>
      <c r="E224" s="1" t="s">
        <v>66</v>
      </c>
      <c r="F224" s="1">
        <v>16722</v>
      </c>
      <c r="G224" s="10">
        <f t="shared" si="5"/>
        <v>16.722000000000001</v>
      </c>
    </row>
    <row r="225" spans="1:7" x14ac:dyDescent="0.25">
      <c r="A225" s="1">
        <v>2022</v>
      </c>
      <c r="B225" s="1">
        <v>12</v>
      </c>
      <c r="C225" s="1">
        <v>19</v>
      </c>
      <c r="D225" s="1" t="s">
        <v>20</v>
      </c>
      <c r="E225" s="1" t="s">
        <v>66</v>
      </c>
      <c r="F225" s="1">
        <v>7629</v>
      </c>
      <c r="G225" s="10">
        <f t="shared" si="5"/>
        <v>7.6289999999999996</v>
      </c>
    </row>
    <row r="226" spans="1:7" x14ac:dyDescent="0.25">
      <c r="A226" s="1">
        <v>2022</v>
      </c>
      <c r="B226" s="1">
        <v>12</v>
      </c>
      <c r="C226" s="1">
        <v>19</v>
      </c>
      <c r="D226" s="1" t="s">
        <v>47</v>
      </c>
      <c r="E226" s="1" t="s">
        <v>66</v>
      </c>
      <c r="F226" s="1">
        <v>32520</v>
      </c>
      <c r="G226" s="10">
        <f t="shared" si="5"/>
        <v>32.520000000000003</v>
      </c>
    </row>
    <row r="227" spans="1:7" x14ac:dyDescent="0.25">
      <c r="A227" s="1">
        <v>2022</v>
      </c>
      <c r="B227" s="1">
        <v>12</v>
      </c>
      <c r="C227" s="1">
        <v>22</v>
      </c>
      <c r="D227" s="1" t="s">
        <v>12</v>
      </c>
      <c r="E227" s="1" t="s">
        <v>66</v>
      </c>
      <c r="F227" s="1">
        <v>16750</v>
      </c>
      <c r="G227" s="10">
        <f t="shared" si="5"/>
        <v>16.75</v>
      </c>
    </row>
    <row r="228" spans="1:7" x14ac:dyDescent="0.25">
      <c r="A228" s="1">
        <v>2022</v>
      </c>
      <c r="B228" s="1">
        <v>12</v>
      </c>
      <c r="C228" s="1">
        <v>25</v>
      </c>
      <c r="D228" s="1" t="s">
        <v>12</v>
      </c>
      <c r="E228" s="1" t="s">
        <v>66</v>
      </c>
      <c r="F228" s="1">
        <v>13118</v>
      </c>
      <c r="G228" s="10">
        <f t="shared" si="5"/>
        <v>13.118</v>
      </c>
    </row>
    <row r="229" spans="1:7" x14ac:dyDescent="0.25">
      <c r="A229" s="1">
        <v>2022</v>
      </c>
      <c r="B229" s="1">
        <v>12</v>
      </c>
      <c r="C229" s="1">
        <v>27</v>
      </c>
      <c r="D229" s="1" t="s">
        <v>92</v>
      </c>
      <c r="E229" s="1" t="s">
        <v>84</v>
      </c>
      <c r="F229" s="1">
        <v>904</v>
      </c>
      <c r="G229" s="10">
        <f t="shared" si="5"/>
        <v>0.90400000000000003</v>
      </c>
    </row>
    <row r="230" spans="1:7" x14ac:dyDescent="0.25">
      <c r="A230" s="1">
        <v>2022</v>
      </c>
      <c r="B230" s="1">
        <v>12</v>
      </c>
      <c r="C230" s="1">
        <v>28</v>
      </c>
      <c r="D230" s="1" t="s">
        <v>93</v>
      </c>
      <c r="E230" s="1" t="s">
        <v>84</v>
      </c>
      <c r="F230" s="1">
        <v>32861</v>
      </c>
      <c r="G230" s="10">
        <f t="shared" si="5"/>
        <v>32.860999999999997</v>
      </c>
    </row>
    <row r="231" spans="1:7" x14ac:dyDescent="0.25">
      <c r="A231" s="1">
        <v>2022</v>
      </c>
      <c r="B231" s="1">
        <v>12</v>
      </c>
      <c r="C231" s="1">
        <v>30</v>
      </c>
      <c r="D231" s="1" t="s">
        <v>12</v>
      </c>
      <c r="E231" s="1" t="s">
        <v>66</v>
      </c>
      <c r="F231" s="1">
        <v>2165</v>
      </c>
      <c r="G231" s="10">
        <f t="shared" si="5"/>
        <v>2.165</v>
      </c>
    </row>
    <row r="232" spans="1:7" x14ac:dyDescent="0.25">
      <c r="A232" s="1">
        <v>2022</v>
      </c>
      <c r="B232" s="1">
        <v>12</v>
      </c>
      <c r="C232" s="1">
        <v>30</v>
      </c>
      <c r="D232" s="1" t="s">
        <v>12</v>
      </c>
      <c r="E232" s="1" t="s">
        <v>66</v>
      </c>
      <c r="F232" s="1">
        <v>10225</v>
      </c>
      <c r="G232" s="10">
        <f t="shared" si="5"/>
        <v>10.225</v>
      </c>
    </row>
    <row r="233" spans="1:7" x14ac:dyDescent="0.25">
      <c r="A233" s="1">
        <v>2023</v>
      </c>
      <c r="B233" s="1">
        <v>1</v>
      </c>
      <c r="C233" s="1">
        <v>1</v>
      </c>
      <c r="D233" s="1" t="s">
        <v>12</v>
      </c>
      <c r="E233" s="1" t="s">
        <v>66</v>
      </c>
      <c r="F233" s="1">
        <v>18227</v>
      </c>
      <c r="G233" s="10">
        <f t="shared" si="5"/>
        <v>18.227</v>
      </c>
    </row>
    <row r="234" spans="1:7" x14ac:dyDescent="0.25">
      <c r="A234" s="1">
        <v>2023</v>
      </c>
      <c r="B234" s="1">
        <v>1</v>
      </c>
      <c r="C234" s="1">
        <v>2</v>
      </c>
      <c r="D234" s="1" t="s">
        <v>83</v>
      </c>
      <c r="E234" s="1" t="s">
        <v>66</v>
      </c>
      <c r="F234" s="1">
        <v>4753</v>
      </c>
      <c r="G234" s="10">
        <f t="shared" si="5"/>
        <v>4.7530000000000001</v>
      </c>
    </row>
    <row r="235" spans="1:7" x14ac:dyDescent="0.25">
      <c r="A235" s="1">
        <v>2023</v>
      </c>
      <c r="B235" s="1">
        <v>1</v>
      </c>
      <c r="C235" s="1">
        <v>3</v>
      </c>
      <c r="D235" s="1" t="s">
        <v>5</v>
      </c>
      <c r="E235" s="1" t="s">
        <v>66</v>
      </c>
      <c r="F235" s="1">
        <v>76931</v>
      </c>
      <c r="G235" s="10">
        <f t="shared" si="5"/>
        <v>76.930999999999997</v>
      </c>
    </row>
    <row r="236" spans="1:7" x14ac:dyDescent="0.25">
      <c r="A236" s="1">
        <v>2023</v>
      </c>
      <c r="B236" s="1">
        <v>1</v>
      </c>
      <c r="C236" s="1">
        <v>4</v>
      </c>
      <c r="D236" s="1" t="s">
        <v>12</v>
      </c>
      <c r="E236" s="1" t="s">
        <v>66</v>
      </c>
      <c r="F236" s="1">
        <v>18193</v>
      </c>
      <c r="G236" s="10">
        <f t="shared" si="5"/>
        <v>18.193000000000001</v>
      </c>
    </row>
    <row r="237" spans="1:7" x14ac:dyDescent="0.25">
      <c r="A237" s="1">
        <v>2023</v>
      </c>
      <c r="B237" s="1">
        <v>1</v>
      </c>
      <c r="C237" s="1">
        <v>6</v>
      </c>
      <c r="D237" s="1" t="s">
        <v>12</v>
      </c>
      <c r="E237" s="1" t="s">
        <v>66</v>
      </c>
      <c r="F237" s="1">
        <v>10910</v>
      </c>
      <c r="G237" s="10">
        <f t="shared" si="5"/>
        <v>10.91</v>
      </c>
    </row>
    <row r="238" spans="1:7" x14ac:dyDescent="0.25">
      <c r="A238" s="1">
        <v>2023</v>
      </c>
      <c r="B238" s="1">
        <v>1</v>
      </c>
      <c r="C238" s="1">
        <v>9</v>
      </c>
      <c r="D238" s="1" t="s">
        <v>12</v>
      </c>
      <c r="E238" s="1" t="s">
        <v>66</v>
      </c>
      <c r="F238" s="1">
        <v>16675</v>
      </c>
      <c r="G238" s="10">
        <f t="shared" si="5"/>
        <v>16.675000000000001</v>
      </c>
    </row>
    <row r="239" spans="1:7" x14ac:dyDescent="0.25">
      <c r="A239" s="1">
        <v>2023</v>
      </c>
      <c r="B239" s="1">
        <v>1</v>
      </c>
      <c r="C239" s="1">
        <v>14</v>
      </c>
      <c r="D239" s="1" t="s">
        <v>31</v>
      </c>
      <c r="E239" s="1" t="s">
        <v>66</v>
      </c>
      <c r="F239" s="1">
        <v>87322</v>
      </c>
      <c r="G239" s="10">
        <f t="shared" ref="G239:G274" si="6">F239/1000</f>
        <v>87.322000000000003</v>
      </c>
    </row>
    <row r="240" spans="1:7" x14ac:dyDescent="0.25">
      <c r="A240" s="1">
        <v>2023</v>
      </c>
      <c r="B240" s="1">
        <v>1</v>
      </c>
      <c r="C240" s="1">
        <v>16</v>
      </c>
      <c r="D240" s="1" t="s">
        <v>12</v>
      </c>
      <c r="E240" s="1" t="s">
        <v>66</v>
      </c>
      <c r="F240" s="1">
        <v>8964</v>
      </c>
      <c r="G240" s="10">
        <f t="shared" si="6"/>
        <v>8.9640000000000004</v>
      </c>
    </row>
    <row r="241" spans="1:7" x14ac:dyDescent="0.25">
      <c r="A241" s="1">
        <v>2023</v>
      </c>
      <c r="B241" s="1">
        <v>1</v>
      </c>
      <c r="C241" s="1">
        <v>19</v>
      </c>
      <c r="D241" s="1" t="s">
        <v>12</v>
      </c>
      <c r="E241" s="1" t="s">
        <v>66</v>
      </c>
      <c r="F241" s="1">
        <v>17928</v>
      </c>
      <c r="G241" s="10">
        <f t="shared" si="6"/>
        <v>17.928000000000001</v>
      </c>
    </row>
    <row r="242" spans="1:7" x14ac:dyDescent="0.25">
      <c r="A242" s="1">
        <v>2023</v>
      </c>
      <c r="B242" s="1">
        <v>1</v>
      </c>
      <c r="C242" s="1">
        <v>20</v>
      </c>
      <c r="D242" s="1" t="s">
        <v>12</v>
      </c>
      <c r="E242" s="1" t="s">
        <v>66</v>
      </c>
      <c r="F242" s="1">
        <v>16715</v>
      </c>
      <c r="G242" s="10">
        <f t="shared" si="6"/>
        <v>16.715</v>
      </c>
    </row>
    <row r="243" spans="1:7" x14ac:dyDescent="0.25">
      <c r="A243" s="1">
        <v>2023</v>
      </c>
      <c r="B243" s="1">
        <v>1</v>
      </c>
      <c r="C243" s="1">
        <v>25</v>
      </c>
      <c r="D243" s="1" t="s">
        <v>12</v>
      </c>
      <c r="E243" s="1" t="s">
        <v>66</v>
      </c>
      <c r="F243" s="1">
        <v>16129</v>
      </c>
      <c r="G243" s="10">
        <f t="shared" si="6"/>
        <v>16.129000000000001</v>
      </c>
    </row>
    <row r="244" spans="1:7" x14ac:dyDescent="0.25">
      <c r="A244" s="1">
        <v>2023</v>
      </c>
      <c r="B244" s="1">
        <v>1</v>
      </c>
      <c r="C244" s="1">
        <v>28</v>
      </c>
      <c r="D244" s="1" t="s">
        <v>54</v>
      </c>
      <c r="E244" s="1" t="s">
        <v>66</v>
      </c>
      <c r="F244" s="1">
        <v>17997</v>
      </c>
      <c r="G244" s="10">
        <f t="shared" si="6"/>
        <v>17.997</v>
      </c>
    </row>
    <row r="245" spans="1:7" x14ac:dyDescent="0.25">
      <c r="A245" s="1">
        <v>2023</v>
      </c>
      <c r="B245" s="1">
        <v>1</v>
      </c>
      <c r="C245" s="1">
        <v>28</v>
      </c>
      <c r="D245" s="1" t="s">
        <v>54</v>
      </c>
      <c r="E245" s="1" t="s">
        <v>66</v>
      </c>
      <c r="F245" s="1">
        <v>62991</v>
      </c>
      <c r="G245" s="10">
        <f t="shared" si="6"/>
        <v>62.991</v>
      </c>
    </row>
    <row r="246" spans="1:7" x14ac:dyDescent="0.25">
      <c r="A246" s="1">
        <v>2023</v>
      </c>
      <c r="B246" s="1">
        <v>1</v>
      </c>
      <c r="C246" s="1">
        <v>30</v>
      </c>
      <c r="D246" s="1" t="s">
        <v>20</v>
      </c>
      <c r="E246" s="1" t="s">
        <v>66</v>
      </c>
      <c r="F246" s="1">
        <v>7085</v>
      </c>
      <c r="G246" s="10">
        <f t="shared" si="6"/>
        <v>7.085</v>
      </c>
    </row>
    <row r="247" spans="1:7" x14ac:dyDescent="0.25">
      <c r="A247" s="1">
        <v>2023</v>
      </c>
      <c r="B247" s="1">
        <v>1</v>
      </c>
      <c r="C247" s="1">
        <v>30</v>
      </c>
      <c r="D247" s="1" t="s">
        <v>12</v>
      </c>
      <c r="E247" s="1" t="s">
        <v>66</v>
      </c>
      <c r="F247" s="1">
        <v>8277</v>
      </c>
      <c r="G247" s="10">
        <f t="shared" si="6"/>
        <v>8.2769999999999992</v>
      </c>
    </row>
    <row r="248" spans="1:7" x14ac:dyDescent="0.25">
      <c r="A248" s="1">
        <v>2023</v>
      </c>
      <c r="B248" s="1">
        <v>1</v>
      </c>
      <c r="C248" s="1">
        <v>31</v>
      </c>
      <c r="D248" s="1" t="s">
        <v>33</v>
      </c>
      <c r="E248" s="1" t="s">
        <v>66</v>
      </c>
      <c r="F248" s="1">
        <v>40048</v>
      </c>
      <c r="G248" s="10">
        <f t="shared" si="6"/>
        <v>40.048000000000002</v>
      </c>
    </row>
    <row r="249" spans="1:7" x14ac:dyDescent="0.25">
      <c r="A249" s="1">
        <v>2023</v>
      </c>
      <c r="B249" s="1">
        <v>1</v>
      </c>
      <c r="C249" s="1">
        <v>31</v>
      </c>
      <c r="D249" s="1" t="s">
        <v>12</v>
      </c>
      <c r="E249" s="1" t="s">
        <v>66</v>
      </c>
      <c r="F249" s="1">
        <v>7502</v>
      </c>
      <c r="G249" s="10">
        <f t="shared" si="6"/>
        <v>7.5019999999999998</v>
      </c>
    </row>
    <row r="250" spans="1:7" x14ac:dyDescent="0.25">
      <c r="A250" s="1">
        <v>2023</v>
      </c>
      <c r="B250" s="1">
        <v>2</v>
      </c>
      <c r="C250" s="1">
        <v>2</v>
      </c>
      <c r="D250" s="1" t="s">
        <v>3</v>
      </c>
      <c r="E250" s="1" t="s">
        <v>66</v>
      </c>
      <c r="F250" s="1">
        <v>17878</v>
      </c>
      <c r="G250" s="10">
        <f t="shared" si="6"/>
        <v>17.878</v>
      </c>
    </row>
    <row r="251" spans="1:7" x14ac:dyDescent="0.25">
      <c r="A251" s="1">
        <v>2023</v>
      </c>
      <c r="B251" s="1">
        <v>2</v>
      </c>
      <c r="C251" s="1">
        <v>2</v>
      </c>
      <c r="D251" s="1" t="s">
        <v>5</v>
      </c>
      <c r="E251" s="1" t="s">
        <v>66</v>
      </c>
      <c r="F251" s="1">
        <v>101809</v>
      </c>
      <c r="G251" s="10">
        <f t="shared" si="6"/>
        <v>101.809</v>
      </c>
    </row>
    <row r="252" spans="1:7" x14ac:dyDescent="0.25">
      <c r="A252" s="1">
        <v>2023</v>
      </c>
      <c r="B252" s="1">
        <v>2</v>
      </c>
      <c r="C252" s="1">
        <v>4</v>
      </c>
      <c r="D252" s="1" t="s">
        <v>54</v>
      </c>
      <c r="E252" s="1" t="s">
        <v>66</v>
      </c>
      <c r="F252" s="1">
        <v>8999</v>
      </c>
      <c r="G252" s="10">
        <f t="shared" si="6"/>
        <v>8.9990000000000006</v>
      </c>
    </row>
    <row r="253" spans="1:7" x14ac:dyDescent="0.25">
      <c r="A253" s="1">
        <v>2023</v>
      </c>
      <c r="B253" s="1">
        <v>2</v>
      </c>
      <c r="C253" s="1">
        <v>4</v>
      </c>
      <c r="D253" s="1" t="s">
        <v>12</v>
      </c>
      <c r="E253" s="1" t="s">
        <v>66</v>
      </c>
      <c r="F253" s="1">
        <v>17736</v>
      </c>
      <c r="G253" s="10">
        <f t="shared" si="6"/>
        <v>17.736000000000001</v>
      </c>
    </row>
    <row r="254" spans="1:7" x14ac:dyDescent="0.25">
      <c r="A254" s="1">
        <v>2023</v>
      </c>
      <c r="B254" s="1">
        <v>2</v>
      </c>
      <c r="C254" s="1">
        <v>9</v>
      </c>
      <c r="D254" s="1" t="s">
        <v>12</v>
      </c>
      <c r="E254" s="1" t="s">
        <v>84</v>
      </c>
      <c r="F254" s="1">
        <v>16715</v>
      </c>
      <c r="G254" s="10">
        <f t="shared" si="6"/>
        <v>16.715</v>
      </c>
    </row>
    <row r="255" spans="1:7" x14ac:dyDescent="0.25">
      <c r="A255" s="1">
        <v>2023</v>
      </c>
      <c r="B255" s="1">
        <v>2</v>
      </c>
      <c r="C255" s="1">
        <v>10</v>
      </c>
      <c r="D255" s="1" t="s">
        <v>12</v>
      </c>
      <c r="E255" s="1" t="s">
        <v>66</v>
      </c>
      <c r="F255" s="1">
        <v>16561</v>
      </c>
      <c r="G255" s="10">
        <f t="shared" si="6"/>
        <v>16.561</v>
      </c>
    </row>
    <row r="256" spans="1:7" x14ac:dyDescent="0.25">
      <c r="A256" s="1">
        <v>2023</v>
      </c>
      <c r="B256" s="1">
        <v>2</v>
      </c>
      <c r="C256" s="1">
        <v>11</v>
      </c>
      <c r="D256" s="1" t="s">
        <v>24</v>
      </c>
      <c r="E256" s="1" t="s">
        <v>66</v>
      </c>
      <c r="F256" s="1">
        <v>29128</v>
      </c>
      <c r="G256" s="10">
        <f t="shared" si="6"/>
        <v>29.128</v>
      </c>
    </row>
    <row r="257" spans="1:7" x14ac:dyDescent="0.25">
      <c r="A257" s="1">
        <v>2023</v>
      </c>
      <c r="B257" s="1">
        <v>2</v>
      </c>
      <c r="C257" s="1">
        <v>11</v>
      </c>
      <c r="D257" s="1" t="s">
        <v>24</v>
      </c>
      <c r="E257" s="1" t="s">
        <v>66</v>
      </c>
      <c r="F257" s="1">
        <v>8266</v>
      </c>
      <c r="G257" s="10">
        <f t="shared" si="6"/>
        <v>8.266</v>
      </c>
    </row>
    <row r="258" spans="1:7" x14ac:dyDescent="0.25">
      <c r="A258" s="1">
        <v>2023</v>
      </c>
      <c r="B258" s="1">
        <v>2</v>
      </c>
      <c r="C258" s="1">
        <v>11</v>
      </c>
      <c r="D258" s="1"/>
      <c r="E258" s="1" t="s">
        <v>66</v>
      </c>
      <c r="F258" s="1">
        <v>29128</v>
      </c>
      <c r="G258" s="10">
        <f t="shared" si="6"/>
        <v>29.128</v>
      </c>
    </row>
    <row r="259" spans="1:7" x14ac:dyDescent="0.25">
      <c r="A259" s="1">
        <v>2023</v>
      </c>
      <c r="B259" s="1">
        <v>2</v>
      </c>
      <c r="C259" s="1">
        <v>13</v>
      </c>
      <c r="D259" s="1" t="s">
        <v>12</v>
      </c>
      <c r="E259" s="1" t="s">
        <v>66</v>
      </c>
      <c r="F259" s="1">
        <v>13549</v>
      </c>
      <c r="G259" s="10">
        <f t="shared" si="6"/>
        <v>13.548999999999999</v>
      </c>
    </row>
    <row r="260" spans="1:7" x14ac:dyDescent="0.25">
      <c r="A260" s="1">
        <v>2023</v>
      </c>
      <c r="B260" s="1">
        <v>2</v>
      </c>
      <c r="C260" s="1">
        <v>17</v>
      </c>
      <c r="D260" s="1" t="s">
        <v>12</v>
      </c>
      <c r="E260" s="1" t="s">
        <v>66</v>
      </c>
      <c r="F260" s="1">
        <v>18991</v>
      </c>
      <c r="G260" s="10">
        <f t="shared" si="6"/>
        <v>18.991</v>
      </c>
    </row>
    <row r="261" spans="1:7" x14ac:dyDescent="0.25">
      <c r="A261" s="1">
        <v>2023</v>
      </c>
      <c r="B261" s="1">
        <v>2</v>
      </c>
      <c r="C261" s="1">
        <v>18</v>
      </c>
      <c r="D261" s="1" t="s">
        <v>24</v>
      </c>
      <c r="E261" s="1" t="s">
        <v>66</v>
      </c>
      <c r="F261" s="1">
        <v>67875</v>
      </c>
      <c r="G261" s="10">
        <f t="shared" si="6"/>
        <v>67.875</v>
      </c>
    </row>
    <row r="262" spans="1:7" x14ac:dyDescent="0.25">
      <c r="A262" s="1">
        <v>2023</v>
      </c>
      <c r="B262" s="1">
        <v>2</v>
      </c>
      <c r="C262" s="1">
        <v>18</v>
      </c>
      <c r="D262" s="1" t="s">
        <v>36</v>
      </c>
      <c r="E262" s="1" t="s">
        <v>66</v>
      </c>
      <c r="F262" s="1">
        <v>16661</v>
      </c>
      <c r="G262" s="10">
        <f t="shared" si="6"/>
        <v>16.661000000000001</v>
      </c>
    </row>
    <row r="263" spans="1:7" x14ac:dyDescent="0.25">
      <c r="A263" s="1">
        <v>2023</v>
      </c>
      <c r="B263" s="1">
        <v>2</v>
      </c>
      <c r="C263" s="1">
        <v>20</v>
      </c>
      <c r="D263" s="1" t="s">
        <v>12</v>
      </c>
      <c r="E263" s="1" t="s">
        <v>66</v>
      </c>
      <c r="F263" s="1">
        <v>18998</v>
      </c>
      <c r="G263" s="10">
        <f t="shared" si="6"/>
        <v>18.998000000000001</v>
      </c>
    </row>
    <row r="264" spans="1:7" x14ac:dyDescent="0.25">
      <c r="A264" s="1">
        <v>2023</v>
      </c>
      <c r="B264" s="1">
        <v>2</v>
      </c>
      <c r="C264" s="1">
        <v>25</v>
      </c>
      <c r="D264" s="1" t="s">
        <v>12</v>
      </c>
      <c r="E264" s="1" t="s">
        <v>66</v>
      </c>
      <c r="F264" s="1">
        <v>18991</v>
      </c>
      <c r="G264" s="10">
        <f t="shared" si="6"/>
        <v>18.991</v>
      </c>
    </row>
    <row r="265" spans="1:7" x14ac:dyDescent="0.25">
      <c r="A265" s="1">
        <v>2023</v>
      </c>
      <c r="B265" s="1">
        <v>2</v>
      </c>
      <c r="C265" s="1">
        <v>27</v>
      </c>
      <c r="D265" s="1" t="s">
        <v>12</v>
      </c>
      <c r="E265" s="1" t="s">
        <v>66</v>
      </c>
      <c r="F265" s="1">
        <v>8276</v>
      </c>
      <c r="G265" s="10">
        <f t="shared" si="6"/>
        <v>8.2759999999999998</v>
      </c>
    </row>
    <row r="266" spans="1:7" x14ac:dyDescent="0.25">
      <c r="A266" s="1">
        <v>2023</v>
      </c>
      <c r="B266" s="1">
        <v>3</v>
      </c>
      <c r="C266" s="1">
        <v>1</v>
      </c>
      <c r="D266" s="1" t="s">
        <v>12</v>
      </c>
      <c r="E266" s="1" t="s">
        <v>66</v>
      </c>
      <c r="F266" s="1">
        <v>18991</v>
      </c>
      <c r="G266" s="10">
        <f t="shared" si="6"/>
        <v>18.991</v>
      </c>
    </row>
    <row r="267" spans="1:7" x14ac:dyDescent="0.25">
      <c r="A267" s="1">
        <v>2023</v>
      </c>
      <c r="B267" s="1">
        <v>3</v>
      </c>
      <c r="C267" s="1">
        <v>1</v>
      </c>
      <c r="D267" s="1" t="s">
        <v>36</v>
      </c>
      <c r="E267" s="1" t="s">
        <v>66</v>
      </c>
      <c r="F267" s="1">
        <v>23960</v>
      </c>
      <c r="G267" s="10">
        <f t="shared" si="6"/>
        <v>23.96</v>
      </c>
    </row>
    <row r="268" spans="1:7" x14ac:dyDescent="0.25">
      <c r="A268" s="1">
        <v>2023</v>
      </c>
      <c r="B268" s="1">
        <v>3</v>
      </c>
      <c r="C268" s="1">
        <v>4</v>
      </c>
      <c r="D268" s="1" t="s">
        <v>5</v>
      </c>
      <c r="E268" s="1" t="s">
        <v>66</v>
      </c>
      <c r="F268" s="1">
        <v>72669</v>
      </c>
      <c r="G268" s="10">
        <f t="shared" si="6"/>
        <v>72.668999999999997</v>
      </c>
    </row>
    <row r="269" spans="1:7" x14ac:dyDescent="0.25">
      <c r="A269" s="1">
        <v>2023</v>
      </c>
      <c r="B269" s="1">
        <v>3</v>
      </c>
      <c r="C269" s="1">
        <v>5</v>
      </c>
      <c r="D269" s="1" t="s">
        <v>12</v>
      </c>
      <c r="E269" s="1" t="s">
        <v>66</v>
      </c>
      <c r="F269" s="1">
        <v>16722</v>
      </c>
      <c r="G269" s="10">
        <f t="shared" si="6"/>
        <v>16.722000000000001</v>
      </c>
    </row>
    <row r="270" spans="1:7" x14ac:dyDescent="0.25">
      <c r="A270" s="1">
        <v>2023</v>
      </c>
      <c r="B270" s="1">
        <v>3</v>
      </c>
      <c r="C270" s="1">
        <v>7</v>
      </c>
      <c r="D270" s="1" t="s">
        <v>12</v>
      </c>
      <c r="E270" s="1" t="s">
        <v>66</v>
      </c>
      <c r="F270" s="1">
        <v>16933</v>
      </c>
      <c r="G270" s="10">
        <f t="shared" si="6"/>
        <v>16.933</v>
      </c>
    </row>
    <row r="271" spans="1:7" x14ac:dyDescent="0.25">
      <c r="A271" s="1">
        <v>2023</v>
      </c>
      <c r="B271" s="1">
        <v>3</v>
      </c>
      <c r="C271" s="1">
        <v>9</v>
      </c>
      <c r="D271" s="1" t="s">
        <v>31</v>
      </c>
      <c r="E271" s="1" t="s">
        <v>66</v>
      </c>
      <c r="F271" s="1">
        <v>66502</v>
      </c>
      <c r="G271" s="10">
        <f t="shared" si="6"/>
        <v>66.501999999999995</v>
      </c>
    </row>
    <row r="272" spans="1:7" x14ac:dyDescent="0.25">
      <c r="A272" s="1">
        <v>2023</v>
      </c>
      <c r="B272" s="1">
        <v>3</v>
      </c>
      <c r="C272" s="1">
        <v>12</v>
      </c>
      <c r="D272" s="1" t="s">
        <v>20</v>
      </c>
      <c r="E272" s="1" t="s">
        <v>66</v>
      </c>
      <c r="F272" s="1">
        <v>8992</v>
      </c>
      <c r="G272" s="10">
        <f t="shared" si="6"/>
        <v>8.9920000000000009</v>
      </c>
    </row>
    <row r="273" spans="1:7" x14ac:dyDescent="0.25">
      <c r="A273" s="1">
        <v>2023</v>
      </c>
      <c r="B273" s="1">
        <v>3</v>
      </c>
      <c r="C273" s="1">
        <v>12</v>
      </c>
      <c r="D273" s="1" t="s">
        <v>31</v>
      </c>
      <c r="E273" s="1" t="s">
        <v>66</v>
      </c>
      <c r="F273" s="1">
        <v>19000</v>
      </c>
      <c r="G273" s="10">
        <f t="shared" si="6"/>
        <v>19</v>
      </c>
    </row>
    <row r="274" spans="1:7" x14ac:dyDescent="0.25">
      <c r="A274" s="1">
        <v>2023</v>
      </c>
      <c r="B274" s="1">
        <v>3</v>
      </c>
      <c r="C274" s="1">
        <v>12</v>
      </c>
      <c r="D274" s="1" t="s">
        <v>10</v>
      </c>
      <c r="E274" s="1" t="s">
        <v>66</v>
      </c>
      <c r="F274" s="1">
        <v>8288</v>
      </c>
      <c r="G274" s="10">
        <f t="shared" si="6"/>
        <v>8.2880000000000003</v>
      </c>
    </row>
    <row r="275" spans="1:7" x14ac:dyDescent="0.25">
      <c r="A275" s="1">
        <v>2023</v>
      </c>
      <c r="B275" s="1">
        <v>3</v>
      </c>
      <c r="C275" s="1">
        <v>15</v>
      </c>
      <c r="D275" s="1" t="s">
        <v>22</v>
      </c>
      <c r="E275" s="1" t="s">
        <v>66</v>
      </c>
      <c r="F275" s="1">
        <v>35136</v>
      </c>
      <c r="G275" s="10">
        <f t="shared" ref="G275:G319" si="7">F275/1000</f>
        <v>35.136000000000003</v>
      </c>
    </row>
    <row r="276" spans="1:7" x14ac:dyDescent="0.25">
      <c r="A276" s="1">
        <v>2023</v>
      </c>
      <c r="B276" s="1">
        <v>3</v>
      </c>
      <c r="C276" s="1">
        <v>15</v>
      </c>
      <c r="D276" s="1" t="s">
        <v>12</v>
      </c>
      <c r="E276" s="1" t="s">
        <v>66</v>
      </c>
      <c r="F276" s="1">
        <v>18991</v>
      </c>
      <c r="G276" s="10">
        <f t="shared" si="7"/>
        <v>18.991</v>
      </c>
    </row>
    <row r="277" spans="1:7" x14ac:dyDescent="0.25">
      <c r="A277" s="1">
        <v>2023</v>
      </c>
      <c r="B277" s="1">
        <v>3</v>
      </c>
      <c r="C277" s="1">
        <v>15</v>
      </c>
      <c r="D277" s="1" t="s">
        <v>10</v>
      </c>
      <c r="E277" s="1" t="s">
        <v>66</v>
      </c>
      <c r="F277" s="1">
        <v>35136</v>
      </c>
      <c r="G277" s="10">
        <f t="shared" si="7"/>
        <v>35.136000000000003</v>
      </c>
    </row>
    <row r="278" spans="1:7" x14ac:dyDescent="0.25">
      <c r="A278" s="1">
        <v>2023</v>
      </c>
      <c r="B278" s="1">
        <v>3</v>
      </c>
      <c r="C278" s="1">
        <v>16</v>
      </c>
      <c r="D278" s="1" t="s">
        <v>24</v>
      </c>
      <c r="E278" s="1" t="s">
        <v>66</v>
      </c>
      <c r="F278" s="1">
        <v>36368</v>
      </c>
      <c r="G278" s="10">
        <f t="shared" si="7"/>
        <v>36.368000000000002</v>
      </c>
    </row>
    <row r="279" spans="1:7" x14ac:dyDescent="0.25">
      <c r="A279" s="1">
        <v>2023</v>
      </c>
      <c r="B279" s="1">
        <v>3</v>
      </c>
      <c r="C279" s="1">
        <v>16</v>
      </c>
      <c r="D279" s="1" t="s">
        <v>14</v>
      </c>
      <c r="E279" s="1" t="s">
        <v>66</v>
      </c>
      <c r="F279" s="1">
        <v>21215</v>
      </c>
      <c r="G279" s="10">
        <f t="shared" si="7"/>
        <v>21.215</v>
      </c>
    </row>
    <row r="280" spans="1:7" x14ac:dyDescent="0.25">
      <c r="A280" s="1">
        <v>2023</v>
      </c>
      <c r="B280" s="1">
        <v>3</v>
      </c>
      <c r="C280" s="1">
        <v>16</v>
      </c>
      <c r="D280" s="1" t="s">
        <v>14</v>
      </c>
      <c r="E280" s="1" t="s">
        <v>66</v>
      </c>
      <c r="F280" s="1">
        <v>21791</v>
      </c>
      <c r="G280" s="10">
        <f t="shared" si="7"/>
        <v>21.791</v>
      </c>
    </row>
    <row r="281" spans="1:7" x14ac:dyDescent="0.25">
      <c r="A281" s="1">
        <v>2023</v>
      </c>
      <c r="B281" s="1">
        <v>3</v>
      </c>
      <c r="C281" s="1">
        <v>18</v>
      </c>
      <c r="D281" s="1" t="s">
        <v>22</v>
      </c>
      <c r="E281" s="1" t="s">
        <v>66</v>
      </c>
      <c r="F281" s="1">
        <v>15984</v>
      </c>
      <c r="G281" s="10">
        <f t="shared" si="7"/>
        <v>15.984</v>
      </c>
    </row>
    <row r="282" spans="1:7" x14ac:dyDescent="0.25">
      <c r="A282" s="1">
        <v>2023</v>
      </c>
      <c r="B282" s="1">
        <v>3</v>
      </c>
      <c r="C282" s="1">
        <v>20</v>
      </c>
      <c r="D282" s="1" t="s">
        <v>12</v>
      </c>
      <c r="E282" s="1" t="s">
        <v>66</v>
      </c>
      <c r="F282" s="1">
        <v>7053</v>
      </c>
      <c r="G282" s="10">
        <f t="shared" si="7"/>
        <v>7.0529999999999999</v>
      </c>
    </row>
    <row r="283" spans="1:7" x14ac:dyDescent="0.25">
      <c r="A283" s="1">
        <v>2023</v>
      </c>
      <c r="B283" s="1">
        <v>3</v>
      </c>
      <c r="C283" s="1">
        <v>20</v>
      </c>
      <c r="D283" s="1" t="s">
        <v>12</v>
      </c>
      <c r="E283" s="1" t="s">
        <v>66</v>
      </c>
      <c r="F283" s="1">
        <v>5554</v>
      </c>
      <c r="G283" s="10">
        <f t="shared" si="7"/>
        <v>5.5540000000000003</v>
      </c>
    </row>
    <row r="284" spans="1:7" x14ac:dyDescent="0.25">
      <c r="A284" s="1">
        <v>2023</v>
      </c>
      <c r="B284" s="1">
        <v>3</v>
      </c>
      <c r="C284" s="1">
        <v>20</v>
      </c>
      <c r="D284" s="1" t="s">
        <v>12</v>
      </c>
      <c r="E284" s="1" t="s">
        <v>66</v>
      </c>
      <c r="F284" s="1">
        <v>16722</v>
      </c>
      <c r="G284" s="10">
        <f t="shared" si="7"/>
        <v>16.722000000000001</v>
      </c>
    </row>
    <row r="285" spans="1:7" x14ac:dyDescent="0.25">
      <c r="A285" s="1">
        <v>2023</v>
      </c>
      <c r="B285" s="1">
        <v>3</v>
      </c>
      <c r="C285" s="1">
        <v>20</v>
      </c>
      <c r="D285" s="1" t="s">
        <v>12</v>
      </c>
      <c r="E285" s="1" t="s">
        <v>66</v>
      </c>
      <c r="F285" s="1">
        <v>4054</v>
      </c>
      <c r="G285" s="10">
        <f t="shared" si="7"/>
        <v>4.0540000000000003</v>
      </c>
    </row>
    <row r="286" spans="1:7" x14ac:dyDescent="0.25">
      <c r="A286" s="1">
        <v>2023</v>
      </c>
      <c r="B286" s="1">
        <v>3</v>
      </c>
      <c r="C286" s="1">
        <v>23</v>
      </c>
      <c r="D286" s="1" t="s">
        <v>3</v>
      </c>
      <c r="E286" s="1" t="s">
        <v>66</v>
      </c>
      <c r="F286" s="1">
        <v>18095</v>
      </c>
      <c r="G286" s="10">
        <f t="shared" si="7"/>
        <v>18.094999999999999</v>
      </c>
    </row>
    <row r="287" spans="1:7" x14ac:dyDescent="0.25">
      <c r="A287" s="1">
        <v>2023</v>
      </c>
      <c r="B287" s="1">
        <v>3</v>
      </c>
      <c r="C287" s="1">
        <v>23</v>
      </c>
      <c r="D287" s="1" t="s">
        <v>3</v>
      </c>
      <c r="E287" s="1" t="s">
        <v>66</v>
      </c>
      <c r="F287" s="1">
        <v>11480</v>
      </c>
      <c r="G287" s="10">
        <f t="shared" si="7"/>
        <v>11.48</v>
      </c>
    </row>
    <row r="288" spans="1:7" x14ac:dyDescent="0.25">
      <c r="A288" s="1">
        <v>2023</v>
      </c>
      <c r="B288" s="1">
        <v>3</v>
      </c>
      <c r="C288" s="1">
        <v>23</v>
      </c>
      <c r="D288" s="1" t="s">
        <v>3</v>
      </c>
      <c r="E288" s="1" t="s">
        <v>66</v>
      </c>
      <c r="F288" s="1">
        <v>18095</v>
      </c>
      <c r="G288" s="10">
        <f t="shared" si="7"/>
        <v>18.094999999999999</v>
      </c>
    </row>
    <row r="289" spans="1:7" x14ac:dyDescent="0.25">
      <c r="A289" s="1">
        <v>2023</v>
      </c>
      <c r="B289" s="1">
        <v>3</v>
      </c>
      <c r="C289" s="1">
        <v>23</v>
      </c>
      <c r="D289" s="1" t="s">
        <v>3</v>
      </c>
      <c r="E289" s="1" t="s">
        <v>66</v>
      </c>
      <c r="F289" s="1">
        <v>9510</v>
      </c>
      <c r="G289" s="10">
        <f t="shared" si="7"/>
        <v>9.51</v>
      </c>
    </row>
    <row r="290" spans="1:7" x14ac:dyDescent="0.25">
      <c r="A290" s="1">
        <v>2023</v>
      </c>
      <c r="B290" s="1">
        <v>3</v>
      </c>
      <c r="C290" s="1">
        <v>23</v>
      </c>
      <c r="D290" s="1" t="s">
        <v>3</v>
      </c>
      <c r="E290" s="1" t="s">
        <v>66</v>
      </c>
      <c r="F290" s="1">
        <v>8585</v>
      </c>
      <c r="G290" s="10">
        <f t="shared" si="7"/>
        <v>8.5850000000000009</v>
      </c>
    </row>
    <row r="291" spans="1:7" x14ac:dyDescent="0.25">
      <c r="A291" s="1">
        <v>2023</v>
      </c>
      <c r="B291" s="1">
        <v>3</v>
      </c>
      <c r="C291" s="1">
        <v>23</v>
      </c>
      <c r="D291" s="1" t="s">
        <v>12</v>
      </c>
      <c r="E291" s="1" t="s">
        <v>66</v>
      </c>
      <c r="F291" s="1">
        <v>16707</v>
      </c>
      <c r="G291" s="10">
        <f t="shared" si="7"/>
        <v>16.707000000000001</v>
      </c>
    </row>
    <row r="292" spans="1:7" x14ac:dyDescent="0.25">
      <c r="A292" s="1">
        <v>2023</v>
      </c>
      <c r="B292" s="1">
        <v>3</v>
      </c>
      <c r="C292" s="1">
        <v>23</v>
      </c>
      <c r="D292" s="1" t="s">
        <v>31</v>
      </c>
      <c r="E292" s="1" t="s">
        <v>66</v>
      </c>
      <c r="F292" s="1">
        <v>75498</v>
      </c>
      <c r="G292" s="10">
        <f t="shared" si="7"/>
        <v>75.498000000000005</v>
      </c>
    </row>
    <row r="293" spans="1:7" x14ac:dyDescent="0.25">
      <c r="A293" s="1">
        <v>2023</v>
      </c>
      <c r="B293" s="1">
        <v>3</v>
      </c>
      <c r="C293" s="1">
        <v>26</v>
      </c>
      <c r="D293" s="1" t="s">
        <v>12</v>
      </c>
      <c r="E293" s="1" t="s">
        <v>66</v>
      </c>
      <c r="F293" s="1">
        <v>8375</v>
      </c>
      <c r="G293" s="10">
        <f t="shared" si="7"/>
        <v>8.375</v>
      </c>
    </row>
    <row r="294" spans="1:7" x14ac:dyDescent="0.25">
      <c r="A294" s="1">
        <v>2023</v>
      </c>
      <c r="B294" s="1">
        <v>3</v>
      </c>
      <c r="C294" s="1">
        <v>26</v>
      </c>
      <c r="D294" s="1" t="s">
        <v>12</v>
      </c>
      <c r="E294" s="1" t="s">
        <v>66</v>
      </c>
      <c r="F294" s="1">
        <v>10616</v>
      </c>
      <c r="G294" s="10">
        <f t="shared" si="7"/>
        <v>10.616</v>
      </c>
    </row>
    <row r="295" spans="1:7" x14ac:dyDescent="0.25">
      <c r="A295" s="1">
        <v>2023</v>
      </c>
      <c r="B295" s="1">
        <v>3</v>
      </c>
      <c r="C295" s="1">
        <v>27</v>
      </c>
      <c r="D295" s="1" t="s">
        <v>12</v>
      </c>
      <c r="E295" s="1" t="s">
        <v>84</v>
      </c>
      <c r="F295" s="1">
        <v>16553</v>
      </c>
      <c r="G295" s="10">
        <f t="shared" si="7"/>
        <v>16.553000000000001</v>
      </c>
    </row>
    <row r="296" spans="1:7" x14ac:dyDescent="0.25">
      <c r="A296" s="1">
        <v>2023</v>
      </c>
      <c r="B296" s="1">
        <v>3</v>
      </c>
      <c r="C296" s="1">
        <v>31</v>
      </c>
      <c r="D296" s="1" t="s">
        <v>28</v>
      </c>
      <c r="E296" s="1" t="s">
        <v>84</v>
      </c>
      <c r="F296" s="1">
        <v>28458</v>
      </c>
      <c r="G296" s="10">
        <f t="shared" si="7"/>
        <v>28.457999999999998</v>
      </c>
    </row>
    <row r="297" spans="1:7" x14ac:dyDescent="0.25">
      <c r="A297" s="1">
        <v>2023</v>
      </c>
      <c r="B297" s="1">
        <v>3</v>
      </c>
      <c r="C297" s="1">
        <v>31</v>
      </c>
      <c r="D297" s="1" t="s">
        <v>10</v>
      </c>
      <c r="E297" s="1" t="s">
        <v>66</v>
      </c>
      <c r="F297" s="1">
        <v>46887</v>
      </c>
      <c r="G297" s="10">
        <f t="shared" si="7"/>
        <v>46.887</v>
      </c>
    </row>
    <row r="298" spans="1:7" x14ac:dyDescent="0.25">
      <c r="A298" s="1">
        <v>2023</v>
      </c>
      <c r="B298" s="1">
        <v>4</v>
      </c>
      <c r="C298" s="1">
        <v>2</v>
      </c>
      <c r="D298" s="1" t="s">
        <v>12</v>
      </c>
      <c r="E298" s="1" t="s">
        <v>66</v>
      </c>
      <c r="F298" s="1">
        <v>5273</v>
      </c>
      <c r="G298" s="10">
        <f t="shared" si="7"/>
        <v>5.2729999999999997</v>
      </c>
    </row>
    <row r="299" spans="1:7" x14ac:dyDescent="0.25">
      <c r="A299" s="1">
        <v>2023</v>
      </c>
      <c r="B299" s="1">
        <v>4</v>
      </c>
      <c r="C299" s="1">
        <v>2</v>
      </c>
      <c r="D299" s="1" t="s">
        <v>12</v>
      </c>
      <c r="E299" s="1" t="s">
        <v>66</v>
      </c>
      <c r="F299" s="1">
        <v>11274</v>
      </c>
      <c r="G299" s="10">
        <f t="shared" si="7"/>
        <v>11.273999999999999</v>
      </c>
    </row>
    <row r="300" spans="1:7" x14ac:dyDescent="0.25">
      <c r="A300" s="1">
        <v>2023</v>
      </c>
      <c r="B300" s="1">
        <v>4</v>
      </c>
      <c r="C300" s="1">
        <v>5</v>
      </c>
      <c r="D300" s="1" t="s">
        <v>22</v>
      </c>
      <c r="E300" s="1" t="s">
        <v>66</v>
      </c>
      <c r="F300" s="1">
        <v>3927</v>
      </c>
      <c r="G300" s="10">
        <f t="shared" si="7"/>
        <v>3.927</v>
      </c>
    </row>
    <row r="301" spans="1:7" x14ac:dyDescent="0.25">
      <c r="A301" s="1">
        <v>2023</v>
      </c>
      <c r="B301" s="1">
        <v>4</v>
      </c>
      <c r="C301" s="1">
        <v>5</v>
      </c>
      <c r="D301" s="1" t="s">
        <v>22</v>
      </c>
      <c r="E301" s="1" t="s">
        <v>66</v>
      </c>
      <c r="F301" s="1">
        <v>46136</v>
      </c>
      <c r="G301" s="10">
        <f t="shared" si="7"/>
        <v>46.136000000000003</v>
      </c>
    </row>
    <row r="302" spans="1:7" x14ac:dyDescent="0.25">
      <c r="A302" s="1">
        <v>2023</v>
      </c>
      <c r="B302" s="1">
        <v>4</v>
      </c>
      <c r="C302" s="1">
        <v>7</v>
      </c>
      <c r="D302" s="1" t="s">
        <v>12</v>
      </c>
      <c r="E302" s="1" t="s">
        <v>66</v>
      </c>
      <c r="F302" s="1">
        <v>16707</v>
      </c>
      <c r="G302" s="10">
        <f t="shared" si="7"/>
        <v>16.707000000000001</v>
      </c>
    </row>
    <row r="303" spans="1:7" x14ac:dyDescent="0.25">
      <c r="A303" s="1">
        <v>2023</v>
      </c>
      <c r="B303" s="1">
        <v>4</v>
      </c>
      <c r="C303" s="1">
        <v>9</v>
      </c>
      <c r="D303" s="1" t="s">
        <v>12</v>
      </c>
      <c r="E303" s="1" t="s">
        <v>66</v>
      </c>
      <c r="F303" s="1">
        <v>16722</v>
      </c>
      <c r="G303" s="10">
        <f t="shared" si="7"/>
        <v>16.722000000000001</v>
      </c>
    </row>
    <row r="304" spans="1:7" x14ac:dyDescent="0.25">
      <c r="A304" s="1">
        <v>2023</v>
      </c>
      <c r="B304" s="1">
        <v>4</v>
      </c>
      <c r="C304" s="1">
        <v>9</v>
      </c>
      <c r="D304" s="1" t="s">
        <v>12</v>
      </c>
      <c r="E304" s="1" t="s">
        <v>66</v>
      </c>
      <c r="F304" s="1">
        <v>18998</v>
      </c>
      <c r="G304" s="10">
        <f t="shared" si="7"/>
        <v>18.998000000000001</v>
      </c>
    </row>
    <row r="305" spans="1:7" x14ac:dyDescent="0.25">
      <c r="A305" s="1">
        <v>2023</v>
      </c>
      <c r="B305" s="1">
        <v>4</v>
      </c>
      <c r="C305" s="1">
        <v>13</v>
      </c>
      <c r="D305" s="1" t="s">
        <v>12</v>
      </c>
      <c r="E305" s="1" t="s">
        <v>66</v>
      </c>
      <c r="F305" s="1">
        <v>16562</v>
      </c>
      <c r="G305" s="10">
        <f t="shared" si="7"/>
        <v>16.562000000000001</v>
      </c>
    </row>
    <row r="306" spans="1:7" x14ac:dyDescent="0.25">
      <c r="A306" s="1">
        <v>2023</v>
      </c>
      <c r="B306" s="1">
        <v>4</v>
      </c>
      <c r="C306" s="1">
        <v>13</v>
      </c>
      <c r="D306" s="1" t="s">
        <v>14</v>
      </c>
      <c r="E306" s="1" t="s">
        <v>66</v>
      </c>
      <c r="F306" s="1">
        <v>43550</v>
      </c>
      <c r="G306" s="10">
        <f t="shared" si="7"/>
        <v>43.55</v>
      </c>
    </row>
    <row r="307" spans="1:7" x14ac:dyDescent="0.25">
      <c r="A307" s="1">
        <v>2023</v>
      </c>
      <c r="B307" s="1">
        <v>4</v>
      </c>
      <c r="C307" s="1">
        <v>15</v>
      </c>
      <c r="D307" s="1" t="s">
        <v>12</v>
      </c>
      <c r="E307" s="1" t="s">
        <v>66</v>
      </c>
      <c r="F307" s="1">
        <v>16707</v>
      </c>
      <c r="G307" s="10">
        <f t="shared" si="7"/>
        <v>16.707000000000001</v>
      </c>
    </row>
    <row r="308" spans="1:7" x14ac:dyDescent="0.25">
      <c r="A308" s="1">
        <v>2023</v>
      </c>
      <c r="B308" s="1">
        <v>4</v>
      </c>
      <c r="C308" s="1">
        <v>16</v>
      </c>
      <c r="D308" s="1" t="s">
        <v>5</v>
      </c>
      <c r="E308" s="1" t="s">
        <v>84</v>
      </c>
      <c r="F308" s="1">
        <v>23487</v>
      </c>
      <c r="G308" s="10">
        <f t="shared" si="7"/>
        <v>23.486999999999998</v>
      </c>
    </row>
    <row r="309" spans="1:7" x14ac:dyDescent="0.25">
      <c r="A309" s="1">
        <v>2023</v>
      </c>
      <c r="B309" s="1">
        <v>4</v>
      </c>
      <c r="C309" s="1">
        <v>16</v>
      </c>
      <c r="D309" s="1" t="s">
        <v>5</v>
      </c>
      <c r="E309" s="1" t="s">
        <v>66</v>
      </c>
      <c r="F309" s="1">
        <v>92345</v>
      </c>
      <c r="G309" s="10">
        <f t="shared" si="7"/>
        <v>92.344999999999999</v>
      </c>
    </row>
    <row r="310" spans="1:7" x14ac:dyDescent="0.25">
      <c r="A310" s="1">
        <v>2023</v>
      </c>
      <c r="B310" s="1">
        <v>4</v>
      </c>
      <c r="C310" s="1">
        <v>18</v>
      </c>
      <c r="D310" s="1" t="s">
        <v>94</v>
      </c>
      <c r="E310" s="1" t="s">
        <v>66</v>
      </c>
      <c r="F310" s="1">
        <v>13272</v>
      </c>
      <c r="G310" s="10">
        <f t="shared" si="7"/>
        <v>13.272</v>
      </c>
    </row>
    <row r="311" spans="1:7" x14ac:dyDescent="0.25">
      <c r="A311" s="1">
        <v>2023</v>
      </c>
      <c r="B311" s="1">
        <v>4</v>
      </c>
      <c r="C311" s="1">
        <v>19</v>
      </c>
      <c r="D311" s="1" t="s">
        <v>10</v>
      </c>
      <c r="E311" s="1" t="s">
        <v>66</v>
      </c>
      <c r="F311" s="1">
        <v>57263</v>
      </c>
      <c r="G311" s="10">
        <f t="shared" si="7"/>
        <v>57.262999999999998</v>
      </c>
    </row>
    <row r="312" spans="1:7" x14ac:dyDescent="0.25">
      <c r="A312" s="1">
        <v>2023</v>
      </c>
      <c r="B312" s="1">
        <v>4</v>
      </c>
      <c r="C312" s="1">
        <v>23</v>
      </c>
      <c r="D312" s="1" t="s">
        <v>3</v>
      </c>
      <c r="E312" s="1" t="s">
        <v>66</v>
      </c>
      <c r="F312" s="1">
        <v>15433</v>
      </c>
      <c r="G312" s="10">
        <f t="shared" si="7"/>
        <v>15.433</v>
      </c>
    </row>
    <row r="313" spans="1:7" x14ac:dyDescent="0.25">
      <c r="A313" s="1">
        <v>2023</v>
      </c>
      <c r="B313" s="1">
        <v>4</v>
      </c>
      <c r="C313" s="1">
        <v>23</v>
      </c>
      <c r="D313" s="1" t="s">
        <v>38</v>
      </c>
      <c r="E313" s="1" t="s">
        <v>66</v>
      </c>
      <c r="F313" s="1">
        <v>114631</v>
      </c>
      <c r="G313" s="10">
        <f t="shared" si="7"/>
        <v>114.631</v>
      </c>
    </row>
    <row r="314" spans="1:7" x14ac:dyDescent="0.25">
      <c r="A314" s="1">
        <v>2023</v>
      </c>
      <c r="B314" s="1">
        <v>4</v>
      </c>
      <c r="C314" s="1">
        <v>24</v>
      </c>
      <c r="D314" s="1" t="s">
        <v>24</v>
      </c>
      <c r="E314" s="1" t="s">
        <v>66</v>
      </c>
      <c r="F314" s="1">
        <v>8526</v>
      </c>
      <c r="G314" s="10">
        <f t="shared" si="7"/>
        <v>8.5259999999999998</v>
      </c>
    </row>
    <row r="315" spans="1:7" x14ac:dyDescent="0.25">
      <c r="A315" s="1">
        <v>2023</v>
      </c>
      <c r="B315" s="1">
        <v>4</v>
      </c>
      <c r="C315" s="1">
        <v>24</v>
      </c>
      <c r="D315" s="1" t="s">
        <v>28</v>
      </c>
      <c r="E315" s="1" t="s">
        <v>66</v>
      </c>
      <c r="F315" s="1">
        <v>8526</v>
      </c>
      <c r="G315" s="10">
        <f t="shared" si="7"/>
        <v>8.5259999999999998</v>
      </c>
    </row>
    <row r="316" spans="1:7" x14ac:dyDescent="0.25">
      <c r="A316" s="1">
        <v>2023</v>
      </c>
      <c r="B316" s="1">
        <v>4</v>
      </c>
      <c r="C316" s="1">
        <v>24</v>
      </c>
      <c r="D316" s="1" t="s">
        <v>12</v>
      </c>
      <c r="E316" s="1" t="s">
        <v>66</v>
      </c>
      <c r="F316" s="1">
        <v>14879</v>
      </c>
      <c r="G316" s="10">
        <f t="shared" si="7"/>
        <v>14.879</v>
      </c>
    </row>
    <row r="317" spans="1:7" x14ac:dyDescent="0.25">
      <c r="A317" s="1">
        <v>2023</v>
      </c>
      <c r="B317" s="1">
        <v>4</v>
      </c>
      <c r="C317" s="1">
        <v>24</v>
      </c>
      <c r="D317" s="1" t="s">
        <v>12</v>
      </c>
      <c r="E317" s="1" t="s">
        <v>66</v>
      </c>
      <c r="F317" s="1">
        <v>16707</v>
      </c>
      <c r="G317" s="10">
        <f t="shared" si="7"/>
        <v>16.707000000000001</v>
      </c>
    </row>
    <row r="318" spans="1:7" x14ac:dyDescent="0.25">
      <c r="A318" s="1">
        <v>2023</v>
      </c>
      <c r="B318" s="1">
        <v>4</v>
      </c>
      <c r="C318" s="1">
        <v>24</v>
      </c>
      <c r="D318" s="1" t="s">
        <v>31</v>
      </c>
      <c r="E318" s="1" t="s">
        <v>66</v>
      </c>
      <c r="F318" s="1">
        <v>46669</v>
      </c>
      <c r="G318" s="10">
        <f t="shared" si="7"/>
        <v>46.668999999999997</v>
      </c>
    </row>
    <row r="319" spans="1:7" x14ac:dyDescent="0.25">
      <c r="A319" s="1">
        <v>2023</v>
      </c>
      <c r="B319" s="1">
        <v>4</v>
      </c>
      <c r="C319" s="1">
        <v>29</v>
      </c>
      <c r="D319" s="1" t="s">
        <v>12</v>
      </c>
      <c r="E319" s="1" t="s">
        <v>66</v>
      </c>
      <c r="F319" s="1">
        <v>16722</v>
      </c>
      <c r="G319" s="10">
        <f t="shared" si="7"/>
        <v>16.722000000000001</v>
      </c>
    </row>
    <row r="320" spans="1:7" x14ac:dyDescent="0.25">
      <c r="A320" s="1">
        <v>2023</v>
      </c>
      <c r="B320" s="1">
        <v>5</v>
      </c>
      <c r="C320" s="1">
        <v>2</v>
      </c>
      <c r="D320" s="1" t="s">
        <v>12</v>
      </c>
      <c r="E320" s="1" t="s">
        <v>66</v>
      </c>
      <c r="F320" s="1">
        <v>17645</v>
      </c>
      <c r="G320" s="10">
        <f t="shared" ref="G320:G352" si="8">F320/1000</f>
        <v>17.645</v>
      </c>
    </row>
    <row r="321" spans="1:7" x14ac:dyDescent="0.25">
      <c r="A321" s="1">
        <v>2023</v>
      </c>
      <c r="B321" s="1">
        <v>5</v>
      </c>
      <c r="C321" s="1">
        <v>4</v>
      </c>
      <c r="D321" s="1" t="s">
        <v>12</v>
      </c>
      <c r="E321" s="1" t="s">
        <v>66</v>
      </c>
      <c r="F321" s="1">
        <v>16707</v>
      </c>
      <c r="G321" s="10">
        <f t="shared" si="8"/>
        <v>16.707000000000001</v>
      </c>
    </row>
    <row r="322" spans="1:7" x14ac:dyDescent="0.25">
      <c r="A322" s="1">
        <v>2023</v>
      </c>
      <c r="B322" s="1">
        <v>5</v>
      </c>
      <c r="C322" s="1">
        <v>6</v>
      </c>
      <c r="D322" s="1" t="s">
        <v>5</v>
      </c>
      <c r="E322" s="1" t="s">
        <v>66</v>
      </c>
      <c r="F322" s="1">
        <v>6080</v>
      </c>
      <c r="G322" s="10">
        <f t="shared" si="8"/>
        <v>6.08</v>
      </c>
    </row>
    <row r="323" spans="1:7" x14ac:dyDescent="0.25">
      <c r="A323" s="1">
        <v>2023</v>
      </c>
      <c r="B323" s="1">
        <v>5</v>
      </c>
      <c r="C323" s="1">
        <v>12</v>
      </c>
      <c r="D323" s="1" t="s">
        <v>31</v>
      </c>
      <c r="E323" s="1" t="s">
        <v>66</v>
      </c>
      <c r="F323" s="1">
        <v>61284</v>
      </c>
      <c r="G323" s="10">
        <f t="shared" si="8"/>
        <v>61.283999999999999</v>
      </c>
    </row>
    <row r="324" spans="1:7" x14ac:dyDescent="0.25">
      <c r="A324" s="1">
        <v>2023</v>
      </c>
      <c r="B324" s="1">
        <v>5</v>
      </c>
      <c r="C324" s="1">
        <v>12</v>
      </c>
      <c r="D324" s="1" t="s">
        <v>10</v>
      </c>
      <c r="E324" s="1" t="s">
        <v>66</v>
      </c>
      <c r="F324" s="1">
        <v>52643</v>
      </c>
      <c r="G324" s="10">
        <f t="shared" si="8"/>
        <v>52.643000000000001</v>
      </c>
    </row>
    <row r="325" spans="1:7" x14ac:dyDescent="0.25">
      <c r="A325" s="1">
        <v>2023</v>
      </c>
      <c r="B325" s="1">
        <v>5</v>
      </c>
      <c r="C325" s="1">
        <v>13</v>
      </c>
      <c r="D325" s="1" t="s">
        <v>20</v>
      </c>
      <c r="E325" s="1" t="s">
        <v>66</v>
      </c>
      <c r="F325" s="1">
        <v>2179</v>
      </c>
      <c r="G325" s="10">
        <f t="shared" si="8"/>
        <v>2.1789999999999998</v>
      </c>
    </row>
    <row r="326" spans="1:7" x14ac:dyDescent="0.25">
      <c r="A326" s="1">
        <v>2023</v>
      </c>
      <c r="B326" s="1">
        <v>5</v>
      </c>
      <c r="C326" s="1">
        <v>13</v>
      </c>
      <c r="D326" s="1" t="s">
        <v>20</v>
      </c>
      <c r="E326" s="1" t="s">
        <v>66</v>
      </c>
      <c r="F326" s="1">
        <v>7085</v>
      </c>
      <c r="G326" s="10">
        <f t="shared" si="8"/>
        <v>7.085</v>
      </c>
    </row>
    <row r="327" spans="1:7" x14ac:dyDescent="0.25">
      <c r="A327" s="1">
        <v>2023</v>
      </c>
      <c r="B327" s="1">
        <v>5</v>
      </c>
      <c r="C327" s="1">
        <v>16</v>
      </c>
      <c r="D327" s="1" t="s">
        <v>12</v>
      </c>
      <c r="E327" s="1" t="s">
        <v>84</v>
      </c>
      <c r="F327" s="1">
        <v>18991</v>
      </c>
      <c r="G327" s="10">
        <f t="shared" si="8"/>
        <v>18.991</v>
      </c>
    </row>
    <row r="328" spans="1:7" x14ac:dyDescent="0.25">
      <c r="A328" s="1">
        <v>2023</v>
      </c>
      <c r="B328" s="1">
        <v>5</v>
      </c>
      <c r="C328" s="1">
        <v>16</v>
      </c>
      <c r="D328" s="1" t="s">
        <v>12</v>
      </c>
      <c r="E328" s="1" t="s">
        <v>66</v>
      </c>
      <c r="F328" s="1">
        <v>16715</v>
      </c>
      <c r="G328" s="10">
        <f t="shared" si="8"/>
        <v>16.715</v>
      </c>
    </row>
    <row r="329" spans="1:7" x14ac:dyDescent="0.25">
      <c r="A329" s="1">
        <v>2023</v>
      </c>
      <c r="B329" s="1">
        <v>5</v>
      </c>
      <c r="C329" s="1">
        <v>17</v>
      </c>
      <c r="D329" s="1" t="s">
        <v>10</v>
      </c>
      <c r="E329" s="1" t="s">
        <v>66</v>
      </c>
      <c r="F329" s="1">
        <v>42073</v>
      </c>
      <c r="G329" s="10">
        <f t="shared" si="8"/>
        <v>42.073</v>
      </c>
    </row>
    <row r="330" spans="1:7" x14ac:dyDescent="0.25">
      <c r="A330" s="1">
        <v>2023</v>
      </c>
      <c r="B330" s="1">
        <v>5</v>
      </c>
      <c r="C330" s="1">
        <v>18</v>
      </c>
      <c r="D330" s="1" t="s">
        <v>12</v>
      </c>
      <c r="E330" s="1" t="s">
        <v>66</v>
      </c>
      <c r="F330" s="1">
        <v>15706</v>
      </c>
      <c r="G330" s="10">
        <f t="shared" si="8"/>
        <v>15.706</v>
      </c>
    </row>
    <row r="331" spans="1:7" x14ac:dyDescent="0.25">
      <c r="A331" s="1">
        <v>2023</v>
      </c>
      <c r="B331" s="1">
        <v>5</v>
      </c>
      <c r="C331" s="1">
        <v>20</v>
      </c>
      <c r="D331" s="1" t="s">
        <v>28</v>
      </c>
      <c r="E331" s="1" t="s">
        <v>66</v>
      </c>
      <c r="F331" s="1">
        <v>18542</v>
      </c>
      <c r="G331" s="10">
        <f t="shared" si="8"/>
        <v>18.542000000000002</v>
      </c>
    </row>
    <row r="332" spans="1:7" x14ac:dyDescent="0.25">
      <c r="A332" s="1">
        <v>2023</v>
      </c>
      <c r="B332" s="1">
        <v>5</v>
      </c>
      <c r="C332" s="1">
        <v>22</v>
      </c>
      <c r="D332" s="1" t="s">
        <v>12</v>
      </c>
      <c r="E332" s="1" t="s">
        <v>66</v>
      </c>
      <c r="F332" s="1">
        <v>16722</v>
      </c>
      <c r="G332" s="10">
        <f t="shared" si="8"/>
        <v>16.722000000000001</v>
      </c>
    </row>
    <row r="333" spans="1:7" x14ac:dyDescent="0.25">
      <c r="A333" s="1">
        <v>2023</v>
      </c>
      <c r="B333" s="1">
        <v>5</v>
      </c>
      <c r="C333" s="1">
        <v>23</v>
      </c>
      <c r="D333" s="1" t="s">
        <v>22</v>
      </c>
      <c r="E333" s="1" t="s">
        <v>66</v>
      </c>
      <c r="F333" s="1">
        <v>7297</v>
      </c>
      <c r="G333" s="10">
        <f t="shared" si="8"/>
        <v>7.2969999999999997</v>
      </c>
    </row>
    <row r="334" spans="1:7" x14ac:dyDescent="0.25">
      <c r="A334" s="1">
        <v>2023</v>
      </c>
      <c r="B334" s="1">
        <v>5</v>
      </c>
      <c r="C334" s="1">
        <v>23</v>
      </c>
      <c r="D334" s="1" t="s">
        <v>22</v>
      </c>
      <c r="E334" s="1" t="s">
        <v>66</v>
      </c>
      <c r="F334" s="1">
        <v>52743</v>
      </c>
      <c r="G334" s="10">
        <f t="shared" si="8"/>
        <v>52.743000000000002</v>
      </c>
    </row>
    <row r="335" spans="1:7" x14ac:dyDescent="0.25">
      <c r="A335" s="1">
        <v>2023</v>
      </c>
      <c r="B335" s="1">
        <v>5</v>
      </c>
      <c r="C335" s="1">
        <v>25</v>
      </c>
      <c r="D335" s="1" t="s">
        <v>12</v>
      </c>
      <c r="E335" s="1" t="s">
        <v>84</v>
      </c>
      <c r="F335" s="1">
        <v>1433</v>
      </c>
      <c r="G335" s="10">
        <f t="shared" si="8"/>
        <v>1.4330000000000001</v>
      </c>
    </row>
    <row r="336" spans="1:7" x14ac:dyDescent="0.25">
      <c r="A336" s="1">
        <v>2023</v>
      </c>
      <c r="B336" s="1">
        <v>5</v>
      </c>
      <c r="C336" s="1">
        <v>25</v>
      </c>
      <c r="D336" s="1" t="s">
        <v>53</v>
      </c>
      <c r="E336" s="1" t="s">
        <v>84</v>
      </c>
      <c r="F336" s="1">
        <v>3266</v>
      </c>
      <c r="G336" s="10">
        <f t="shared" si="8"/>
        <v>3.266</v>
      </c>
    </row>
    <row r="337" spans="1:7" x14ac:dyDescent="0.25">
      <c r="A337" s="1">
        <v>2023</v>
      </c>
      <c r="B337" s="1">
        <v>5</v>
      </c>
      <c r="C337" s="1">
        <v>28</v>
      </c>
      <c r="D337" s="1" t="s">
        <v>8</v>
      </c>
      <c r="E337" s="1" t="s">
        <v>66</v>
      </c>
      <c r="F337" s="1">
        <v>9647</v>
      </c>
      <c r="G337" s="10">
        <f t="shared" si="8"/>
        <v>9.6470000000000002</v>
      </c>
    </row>
    <row r="338" spans="1:7" x14ac:dyDescent="0.25">
      <c r="A338" s="1">
        <v>2023</v>
      </c>
      <c r="B338" s="1">
        <v>6</v>
      </c>
      <c r="C338" s="1">
        <v>6</v>
      </c>
      <c r="D338" s="1" t="s">
        <v>22</v>
      </c>
      <c r="E338" s="1" t="s">
        <v>66</v>
      </c>
      <c r="F338" s="1">
        <v>45146</v>
      </c>
      <c r="G338" s="10">
        <f t="shared" si="8"/>
        <v>45.146000000000001</v>
      </c>
    </row>
    <row r="339" spans="1:7" x14ac:dyDescent="0.25">
      <c r="A339" s="1">
        <v>2023</v>
      </c>
      <c r="B339" s="1">
        <v>6</v>
      </c>
      <c r="C339" s="1">
        <v>6</v>
      </c>
      <c r="D339" s="1" t="s">
        <v>22</v>
      </c>
      <c r="E339" s="1" t="s">
        <v>66</v>
      </c>
      <c r="F339" s="1">
        <v>7365</v>
      </c>
      <c r="G339" s="10">
        <f t="shared" si="8"/>
        <v>7.3650000000000002</v>
      </c>
    </row>
    <row r="340" spans="1:7" x14ac:dyDescent="0.25">
      <c r="A340" s="1">
        <v>2023</v>
      </c>
      <c r="B340" s="1">
        <v>6</v>
      </c>
      <c r="C340" s="1">
        <v>6</v>
      </c>
      <c r="D340" s="1" t="s">
        <v>87</v>
      </c>
      <c r="E340" s="1" t="s">
        <v>66</v>
      </c>
      <c r="F340" s="1">
        <v>27742</v>
      </c>
      <c r="G340" s="10">
        <f t="shared" si="8"/>
        <v>27.742000000000001</v>
      </c>
    </row>
    <row r="341" spans="1:7" x14ac:dyDescent="0.25">
      <c r="A341" s="1">
        <v>2023</v>
      </c>
      <c r="B341" s="1">
        <v>6</v>
      </c>
      <c r="C341" s="1">
        <v>12</v>
      </c>
      <c r="D341" s="1" t="s">
        <v>12</v>
      </c>
      <c r="E341" s="1" t="s">
        <v>66</v>
      </c>
      <c r="F341" s="1">
        <v>7943</v>
      </c>
      <c r="G341" s="10">
        <f t="shared" si="8"/>
        <v>7.9429999999999996</v>
      </c>
    </row>
    <row r="342" spans="1:7" x14ac:dyDescent="0.25">
      <c r="A342" s="1">
        <v>2023</v>
      </c>
      <c r="B342" s="1">
        <v>6</v>
      </c>
      <c r="C342" s="1">
        <v>13</v>
      </c>
      <c r="D342" s="1" t="s">
        <v>31</v>
      </c>
      <c r="E342" s="1" t="s">
        <v>66</v>
      </c>
      <c r="F342" s="1">
        <v>2991</v>
      </c>
      <c r="G342" s="10">
        <f t="shared" si="8"/>
        <v>2.9910000000000001</v>
      </c>
    </row>
    <row r="343" spans="1:7" x14ac:dyDescent="0.25">
      <c r="A343" s="1">
        <v>2023</v>
      </c>
      <c r="B343" s="1">
        <v>6</v>
      </c>
      <c r="C343" s="1">
        <v>15</v>
      </c>
      <c r="D343" s="1" t="s">
        <v>5</v>
      </c>
      <c r="E343" s="1" t="s">
        <v>66</v>
      </c>
      <c r="F343" s="1">
        <v>54092</v>
      </c>
      <c r="G343" s="10">
        <f t="shared" si="8"/>
        <v>54.091999999999999</v>
      </c>
    </row>
    <row r="344" spans="1:7" x14ac:dyDescent="0.25">
      <c r="A344" s="1">
        <v>2023</v>
      </c>
      <c r="B344" s="1">
        <v>6</v>
      </c>
      <c r="C344" s="1">
        <v>16</v>
      </c>
      <c r="D344" s="1" t="s">
        <v>5</v>
      </c>
      <c r="E344" s="1" t="s">
        <v>66</v>
      </c>
      <c r="F344" s="1">
        <v>53303</v>
      </c>
      <c r="G344" s="10">
        <f t="shared" si="8"/>
        <v>53.302999999999997</v>
      </c>
    </row>
    <row r="345" spans="1:7" x14ac:dyDescent="0.25">
      <c r="A345" s="1">
        <v>2023</v>
      </c>
      <c r="B345" s="1">
        <v>6</v>
      </c>
      <c r="C345" s="1">
        <v>18</v>
      </c>
      <c r="D345" s="1" t="s">
        <v>28</v>
      </c>
      <c r="E345" s="1" t="s">
        <v>66</v>
      </c>
      <c r="F345" s="1">
        <v>32502</v>
      </c>
      <c r="G345" s="10">
        <f t="shared" si="8"/>
        <v>32.502000000000002</v>
      </c>
    </row>
    <row r="346" spans="1:7" x14ac:dyDescent="0.25">
      <c r="A346" s="1">
        <v>2023</v>
      </c>
      <c r="B346" s="1">
        <v>6</v>
      </c>
      <c r="C346" s="1">
        <v>19</v>
      </c>
      <c r="D346" s="1" t="s">
        <v>54</v>
      </c>
      <c r="E346" s="1" t="s">
        <v>66</v>
      </c>
      <c r="F346" s="1">
        <v>4102</v>
      </c>
      <c r="G346" s="10">
        <f t="shared" si="8"/>
        <v>4.1020000000000003</v>
      </c>
    </row>
    <row r="347" spans="1:7" x14ac:dyDescent="0.25">
      <c r="A347" s="1">
        <v>2023</v>
      </c>
      <c r="B347" s="1">
        <v>6</v>
      </c>
      <c r="C347" s="1">
        <v>19</v>
      </c>
      <c r="D347" s="1" t="s">
        <v>54</v>
      </c>
      <c r="E347" s="1" t="s">
        <v>66</v>
      </c>
      <c r="F347" s="1">
        <v>9406</v>
      </c>
      <c r="G347" s="10">
        <f t="shared" si="8"/>
        <v>9.4060000000000006</v>
      </c>
    </row>
    <row r="348" spans="1:7" x14ac:dyDescent="0.25">
      <c r="A348" s="1">
        <v>2023</v>
      </c>
      <c r="B348" s="1">
        <v>6</v>
      </c>
      <c r="C348" s="1">
        <v>19</v>
      </c>
      <c r="D348" s="1" t="s">
        <v>54</v>
      </c>
      <c r="E348" s="1" t="s">
        <v>66</v>
      </c>
      <c r="F348" s="1">
        <v>9406</v>
      </c>
      <c r="G348" s="10">
        <f t="shared" si="8"/>
        <v>9.4060000000000006</v>
      </c>
    </row>
    <row r="349" spans="1:7" x14ac:dyDescent="0.25">
      <c r="A349" s="1">
        <v>2023</v>
      </c>
      <c r="B349" s="1">
        <v>6</v>
      </c>
      <c r="C349" s="1">
        <v>21</v>
      </c>
      <c r="D349" s="1" t="s">
        <v>54</v>
      </c>
      <c r="E349" s="1" t="s">
        <v>66</v>
      </c>
      <c r="F349" s="1">
        <v>2387</v>
      </c>
      <c r="G349" s="10">
        <f t="shared" si="8"/>
        <v>2.387</v>
      </c>
    </row>
    <row r="350" spans="1:7" x14ac:dyDescent="0.25">
      <c r="A350" s="1">
        <v>2023</v>
      </c>
      <c r="B350" s="1">
        <v>6</v>
      </c>
      <c r="C350" s="1">
        <v>21</v>
      </c>
      <c r="D350" s="1" t="s">
        <v>54</v>
      </c>
      <c r="E350" s="1" t="s">
        <v>66</v>
      </c>
      <c r="F350" s="1">
        <v>9481</v>
      </c>
      <c r="G350" s="10">
        <f t="shared" si="8"/>
        <v>9.4809999999999999</v>
      </c>
    </row>
    <row r="351" spans="1:7" x14ac:dyDescent="0.25">
      <c r="A351" s="1">
        <v>2023</v>
      </c>
      <c r="B351" s="1">
        <v>6</v>
      </c>
      <c r="C351" s="1">
        <v>21</v>
      </c>
      <c r="D351" s="1" t="s">
        <v>54</v>
      </c>
      <c r="E351" s="1" t="s">
        <v>66</v>
      </c>
      <c r="F351" s="1">
        <v>5473</v>
      </c>
      <c r="G351" s="10">
        <f t="shared" si="8"/>
        <v>5.4729999999999999</v>
      </c>
    </row>
    <row r="352" spans="1:7" x14ac:dyDescent="0.25">
      <c r="A352" s="1">
        <v>2023</v>
      </c>
      <c r="B352" s="1">
        <v>6</v>
      </c>
      <c r="C352" s="1">
        <v>23</v>
      </c>
      <c r="D352" s="1" t="s">
        <v>54</v>
      </c>
      <c r="E352" s="1" t="s">
        <v>66</v>
      </c>
      <c r="F352" s="1">
        <v>36796</v>
      </c>
      <c r="G352" s="10">
        <f t="shared" si="8"/>
        <v>36.795999999999999</v>
      </c>
    </row>
    <row r="353" spans="1:7" x14ac:dyDescent="0.25">
      <c r="A353" s="1">
        <v>2023</v>
      </c>
      <c r="B353" s="1">
        <v>6</v>
      </c>
      <c r="C353" s="1">
        <v>24</v>
      </c>
      <c r="D353" s="1" t="s">
        <v>12</v>
      </c>
      <c r="E353" s="1" t="s">
        <v>66</v>
      </c>
      <c r="F353" s="1">
        <v>18140</v>
      </c>
      <c r="G353" s="10">
        <f t="shared" ref="G353:G390" si="9">F353/1000</f>
        <v>18.14</v>
      </c>
    </row>
    <row r="354" spans="1:7" x14ac:dyDescent="0.25">
      <c r="A354" s="1">
        <v>2023</v>
      </c>
      <c r="B354" s="1">
        <v>6</v>
      </c>
      <c r="C354" s="1">
        <v>29</v>
      </c>
      <c r="D354" s="1" t="s">
        <v>94</v>
      </c>
      <c r="E354" s="1" t="s">
        <v>66</v>
      </c>
      <c r="F354" s="1">
        <v>22551</v>
      </c>
      <c r="G354" s="10">
        <f t="shared" si="9"/>
        <v>22.550999999999998</v>
      </c>
    </row>
    <row r="355" spans="1:7" x14ac:dyDescent="0.25">
      <c r="A355" s="1">
        <v>2023</v>
      </c>
      <c r="B355" s="1">
        <v>7</v>
      </c>
      <c r="C355" s="1">
        <v>2</v>
      </c>
      <c r="D355" s="1" t="s">
        <v>20</v>
      </c>
      <c r="E355" s="1" t="s">
        <v>66</v>
      </c>
      <c r="F355" s="1">
        <v>7084</v>
      </c>
      <c r="G355" s="10">
        <f t="shared" si="9"/>
        <v>7.0839999999999996</v>
      </c>
    </row>
    <row r="356" spans="1:7" x14ac:dyDescent="0.25">
      <c r="A356" s="1">
        <v>2023</v>
      </c>
      <c r="B356" s="1">
        <v>7</v>
      </c>
      <c r="C356" s="1">
        <v>3</v>
      </c>
      <c r="D356" s="1" t="s">
        <v>12</v>
      </c>
      <c r="E356" s="1" t="s">
        <v>66</v>
      </c>
      <c r="F356" s="1">
        <v>18140</v>
      </c>
      <c r="G356" s="10">
        <f t="shared" si="9"/>
        <v>18.14</v>
      </c>
    </row>
    <row r="357" spans="1:7" x14ac:dyDescent="0.25">
      <c r="A357" s="1">
        <v>2023</v>
      </c>
      <c r="B357" s="1">
        <v>7</v>
      </c>
      <c r="C357" s="1">
        <v>6</v>
      </c>
      <c r="D357" s="1" t="s">
        <v>12</v>
      </c>
      <c r="E357" s="1" t="s">
        <v>66</v>
      </c>
      <c r="F357" s="1">
        <v>8666</v>
      </c>
      <c r="G357" s="10">
        <f t="shared" si="9"/>
        <v>8.6660000000000004</v>
      </c>
    </row>
    <row r="358" spans="1:7" x14ac:dyDescent="0.25">
      <c r="A358" s="1">
        <v>2023</v>
      </c>
      <c r="B358" s="1">
        <v>7</v>
      </c>
      <c r="C358" s="1">
        <v>8</v>
      </c>
      <c r="D358" s="1" t="s">
        <v>95</v>
      </c>
      <c r="E358" s="1" t="s">
        <v>66</v>
      </c>
      <c r="F358" s="1">
        <v>7871</v>
      </c>
      <c r="G358" s="10">
        <f t="shared" si="9"/>
        <v>7.8710000000000004</v>
      </c>
    </row>
    <row r="359" spans="1:7" x14ac:dyDescent="0.25">
      <c r="A359" s="1">
        <v>2023</v>
      </c>
      <c r="B359" s="1">
        <v>7</v>
      </c>
      <c r="C359" s="1">
        <v>9</v>
      </c>
      <c r="D359" s="1" t="s">
        <v>10</v>
      </c>
      <c r="E359" s="1" t="s">
        <v>66</v>
      </c>
      <c r="F359" s="1">
        <v>44697</v>
      </c>
      <c r="G359" s="10">
        <f t="shared" si="9"/>
        <v>44.697000000000003</v>
      </c>
    </row>
    <row r="360" spans="1:7" x14ac:dyDescent="0.25">
      <c r="A360" s="1">
        <v>2023</v>
      </c>
      <c r="B360" s="1">
        <v>7</v>
      </c>
      <c r="C360" s="1">
        <v>9</v>
      </c>
      <c r="D360" s="1" t="s">
        <v>10</v>
      </c>
      <c r="E360" s="1" t="s">
        <v>66</v>
      </c>
      <c r="F360" s="1">
        <v>62418</v>
      </c>
      <c r="G360" s="10">
        <f t="shared" si="9"/>
        <v>62.417999999999999</v>
      </c>
    </row>
    <row r="361" spans="1:7" x14ac:dyDescent="0.25">
      <c r="A361" s="1">
        <v>2023</v>
      </c>
      <c r="B361" s="1">
        <v>7</v>
      </c>
      <c r="C361" s="1">
        <v>12</v>
      </c>
      <c r="D361" s="1" t="s">
        <v>12</v>
      </c>
      <c r="E361" s="1" t="s">
        <v>66</v>
      </c>
      <c r="F361" s="1">
        <v>16715</v>
      </c>
      <c r="G361" s="10">
        <f t="shared" si="9"/>
        <v>16.715</v>
      </c>
    </row>
    <row r="362" spans="1:7" x14ac:dyDescent="0.25">
      <c r="A362" s="1">
        <v>2023</v>
      </c>
      <c r="B362" s="1">
        <v>7</v>
      </c>
      <c r="C362" s="1">
        <v>15</v>
      </c>
      <c r="D362" s="1" t="s">
        <v>10</v>
      </c>
      <c r="E362" s="1" t="s">
        <v>66</v>
      </c>
      <c r="F362" s="1">
        <v>18657</v>
      </c>
      <c r="G362" s="10">
        <f t="shared" si="9"/>
        <v>18.657</v>
      </c>
    </row>
    <row r="363" spans="1:7" x14ac:dyDescent="0.25">
      <c r="A363" s="1">
        <v>2023</v>
      </c>
      <c r="B363" s="1">
        <v>7</v>
      </c>
      <c r="C363" s="1">
        <v>16</v>
      </c>
      <c r="D363" s="1" t="s">
        <v>12</v>
      </c>
      <c r="E363" s="1" t="s">
        <v>66</v>
      </c>
      <c r="F363" s="1">
        <v>16722</v>
      </c>
      <c r="G363" s="10">
        <f t="shared" si="9"/>
        <v>16.722000000000001</v>
      </c>
    </row>
    <row r="364" spans="1:7" x14ac:dyDescent="0.25">
      <c r="A364" s="1">
        <v>2023</v>
      </c>
      <c r="B364" s="1">
        <v>7</v>
      </c>
      <c r="C364" s="1">
        <v>18</v>
      </c>
      <c r="D364" s="1" t="s">
        <v>5</v>
      </c>
      <c r="E364" s="1" t="s">
        <v>66</v>
      </c>
      <c r="F364" s="1">
        <v>38906</v>
      </c>
      <c r="G364" s="10">
        <f t="shared" si="9"/>
        <v>38.905999999999999</v>
      </c>
    </row>
    <row r="365" spans="1:7" x14ac:dyDescent="0.25">
      <c r="A365" s="1">
        <v>2023</v>
      </c>
      <c r="B365" s="1">
        <v>7</v>
      </c>
      <c r="C365" s="1">
        <v>18</v>
      </c>
      <c r="D365" s="1" t="s">
        <v>12</v>
      </c>
      <c r="E365" s="1" t="s">
        <v>66</v>
      </c>
      <c r="F365" s="1">
        <v>16661</v>
      </c>
      <c r="G365" s="10">
        <f t="shared" si="9"/>
        <v>16.661000000000001</v>
      </c>
    </row>
    <row r="366" spans="1:7" x14ac:dyDescent="0.25">
      <c r="A366" s="1">
        <v>2023</v>
      </c>
      <c r="B366" s="1">
        <v>7</v>
      </c>
      <c r="C366" s="1">
        <v>18</v>
      </c>
      <c r="D366" s="1" t="s">
        <v>38</v>
      </c>
      <c r="E366" s="1" t="s">
        <v>66</v>
      </c>
      <c r="F366" s="1">
        <v>53641</v>
      </c>
      <c r="G366" s="10">
        <f t="shared" si="9"/>
        <v>53.640999999999998</v>
      </c>
    </row>
    <row r="367" spans="1:7" x14ac:dyDescent="0.25">
      <c r="A367" s="1">
        <v>2023</v>
      </c>
      <c r="B367" s="1">
        <v>7</v>
      </c>
      <c r="C367" s="1">
        <v>20</v>
      </c>
      <c r="D367" s="1" t="s">
        <v>96</v>
      </c>
      <c r="E367" s="1" t="s">
        <v>66</v>
      </c>
      <c r="F367" s="1">
        <v>7785</v>
      </c>
      <c r="G367" s="10">
        <f t="shared" si="9"/>
        <v>7.7850000000000001</v>
      </c>
    </row>
    <row r="368" spans="1:7" x14ac:dyDescent="0.25">
      <c r="A368" s="1">
        <v>2023</v>
      </c>
      <c r="B368" s="1">
        <v>7</v>
      </c>
      <c r="C368" s="1">
        <v>20</v>
      </c>
      <c r="D368" s="1" t="s">
        <v>24</v>
      </c>
      <c r="E368" s="1" t="s">
        <v>66</v>
      </c>
      <c r="F368" s="1">
        <v>25568</v>
      </c>
      <c r="G368" s="10">
        <f t="shared" si="9"/>
        <v>25.568000000000001</v>
      </c>
    </row>
    <row r="369" spans="1:7" x14ac:dyDescent="0.25">
      <c r="A369" s="1">
        <v>2023</v>
      </c>
      <c r="B369" s="1">
        <v>7</v>
      </c>
      <c r="C369" s="1">
        <v>20</v>
      </c>
      <c r="D369" s="1" t="s">
        <v>24</v>
      </c>
      <c r="E369" s="1" t="s">
        <v>66</v>
      </c>
      <c r="F369" s="1">
        <v>35445</v>
      </c>
      <c r="G369" s="10">
        <f t="shared" si="9"/>
        <v>35.445</v>
      </c>
    </row>
    <row r="370" spans="1:7" x14ac:dyDescent="0.25">
      <c r="A370" s="1">
        <v>2023</v>
      </c>
      <c r="B370" s="1">
        <v>7</v>
      </c>
      <c r="C370" s="1">
        <v>20</v>
      </c>
      <c r="D370" s="1" t="s">
        <v>38</v>
      </c>
      <c r="E370" s="1" t="s">
        <v>66</v>
      </c>
      <c r="F370" s="1">
        <v>7785</v>
      </c>
      <c r="G370" s="10">
        <f t="shared" si="9"/>
        <v>7.7850000000000001</v>
      </c>
    </row>
    <row r="371" spans="1:7" x14ac:dyDescent="0.25">
      <c r="A371" s="1">
        <v>2023</v>
      </c>
      <c r="B371" s="1">
        <v>7</v>
      </c>
      <c r="C371" s="1">
        <v>22</v>
      </c>
      <c r="D371" s="1" t="s">
        <v>24</v>
      </c>
      <c r="E371" s="1" t="s">
        <v>66</v>
      </c>
      <c r="F371" s="1">
        <v>67144</v>
      </c>
      <c r="G371" s="10">
        <f t="shared" si="9"/>
        <v>67.144000000000005</v>
      </c>
    </row>
    <row r="372" spans="1:7" x14ac:dyDescent="0.25">
      <c r="A372" s="1">
        <v>2023</v>
      </c>
      <c r="B372" s="1">
        <v>7</v>
      </c>
      <c r="C372" s="1">
        <v>22</v>
      </c>
      <c r="D372" s="1" t="s">
        <v>31</v>
      </c>
      <c r="E372" s="1" t="s">
        <v>66</v>
      </c>
      <c r="F372" s="1">
        <v>29619</v>
      </c>
      <c r="G372" s="10">
        <f t="shared" si="9"/>
        <v>29.619</v>
      </c>
    </row>
    <row r="373" spans="1:7" x14ac:dyDescent="0.25">
      <c r="A373" s="1">
        <v>2023</v>
      </c>
      <c r="B373" s="1">
        <v>7</v>
      </c>
      <c r="C373" s="1">
        <v>26</v>
      </c>
      <c r="D373" s="1" t="s">
        <v>12</v>
      </c>
      <c r="E373" s="1" t="s">
        <v>66</v>
      </c>
      <c r="F373" s="1">
        <v>16675</v>
      </c>
      <c r="G373" s="10">
        <f t="shared" si="9"/>
        <v>16.675000000000001</v>
      </c>
    </row>
    <row r="374" spans="1:7" x14ac:dyDescent="0.25">
      <c r="A374" s="1">
        <v>2023</v>
      </c>
      <c r="B374" s="1">
        <v>7</v>
      </c>
      <c r="C374" s="1">
        <v>28</v>
      </c>
      <c r="D374" s="1" t="s">
        <v>54</v>
      </c>
      <c r="E374" s="1" t="s">
        <v>66</v>
      </c>
      <c r="F374" s="1">
        <v>13460</v>
      </c>
      <c r="G374" s="10">
        <f t="shared" si="9"/>
        <v>13.46</v>
      </c>
    </row>
    <row r="375" spans="1:7" x14ac:dyDescent="0.25">
      <c r="A375" s="1">
        <v>2023</v>
      </c>
      <c r="B375" s="1">
        <v>7</v>
      </c>
      <c r="C375" s="1">
        <v>28</v>
      </c>
      <c r="D375" s="1" t="s">
        <v>54</v>
      </c>
      <c r="E375" s="1" t="s">
        <v>66</v>
      </c>
      <c r="F375" s="1">
        <v>28135</v>
      </c>
      <c r="G375" s="10">
        <f t="shared" si="9"/>
        <v>28.135000000000002</v>
      </c>
    </row>
    <row r="376" spans="1:7" x14ac:dyDescent="0.25">
      <c r="A376" s="1">
        <v>2023</v>
      </c>
      <c r="B376" s="1">
        <v>7</v>
      </c>
      <c r="C376" s="1">
        <v>28</v>
      </c>
      <c r="D376" s="1" t="s">
        <v>28</v>
      </c>
      <c r="E376" s="1" t="s">
        <v>66</v>
      </c>
      <c r="F376" s="1">
        <v>10344</v>
      </c>
      <c r="G376" s="10">
        <f t="shared" si="9"/>
        <v>10.343999999999999</v>
      </c>
    </row>
    <row r="377" spans="1:7" x14ac:dyDescent="0.25">
      <c r="A377" s="1">
        <v>2023</v>
      </c>
      <c r="B377" s="1">
        <v>7</v>
      </c>
      <c r="C377" s="1">
        <v>30</v>
      </c>
      <c r="D377" s="1" t="s">
        <v>54</v>
      </c>
      <c r="E377" s="1" t="s">
        <v>66</v>
      </c>
      <c r="F377" s="1">
        <v>36907</v>
      </c>
      <c r="G377" s="10">
        <f t="shared" si="9"/>
        <v>36.906999999999996</v>
      </c>
    </row>
    <row r="378" spans="1:7" x14ac:dyDescent="0.25">
      <c r="A378" s="1">
        <v>2023</v>
      </c>
      <c r="B378" s="1">
        <v>7</v>
      </c>
      <c r="C378" s="1">
        <v>30</v>
      </c>
      <c r="D378" s="1" t="s">
        <v>12</v>
      </c>
      <c r="E378" s="1" t="s">
        <v>66</v>
      </c>
      <c r="F378" s="1">
        <v>18140</v>
      </c>
      <c r="G378" s="10">
        <f t="shared" si="9"/>
        <v>18.14</v>
      </c>
    </row>
    <row r="379" spans="1:7" x14ac:dyDescent="0.25">
      <c r="A379" s="1">
        <v>2023</v>
      </c>
      <c r="B379" s="1">
        <v>8</v>
      </c>
      <c r="C379" s="1">
        <v>3</v>
      </c>
      <c r="D379" s="1" t="s">
        <v>12</v>
      </c>
      <c r="E379" s="1" t="s">
        <v>66</v>
      </c>
      <c r="F379" s="1">
        <v>16661</v>
      </c>
      <c r="G379" s="10">
        <f t="shared" si="9"/>
        <v>16.661000000000001</v>
      </c>
    </row>
    <row r="380" spans="1:7" x14ac:dyDescent="0.25">
      <c r="A380" s="1">
        <v>2023</v>
      </c>
      <c r="B380" s="1">
        <v>8</v>
      </c>
      <c r="C380" s="1">
        <v>7</v>
      </c>
      <c r="D380" s="1" t="s">
        <v>12</v>
      </c>
      <c r="E380" s="1" t="s">
        <v>66</v>
      </c>
      <c r="F380" s="1">
        <v>16722</v>
      </c>
      <c r="G380" s="10">
        <f t="shared" si="9"/>
        <v>16.722000000000001</v>
      </c>
    </row>
    <row r="381" spans="1:7" x14ac:dyDescent="0.25">
      <c r="A381" s="1">
        <v>2023</v>
      </c>
      <c r="B381" s="1">
        <v>8</v>
      </c>
      <c r="C381" s="1">
        <v>13</v>
      </c>
      <c r="D381" s="1" t="s">
        <v>20</v>
      </c>
      <c r="E381" s="1" t="s">
        <v>66</v>
      </c>
      <c r="F381" s="1">
        <v>7629</v>
      </c>
      <c r="G381" s="10">
        <f t="shared" si="9"/>
        <v>7.6289999999999996</v>
      </c>
    </row>
    <row r="382" spans="1:7" x14ac:dyDescent="0.25">
      <c r="A382" s="1">
        <v>2023</v>
      </c>
      <c r="B382" s="1">
        <v>8</v>
      </c>
      <c r="C382" s="1">
        <v>16</v>
      </c>
      <c r="D382" s="1" t="s">
        <v>12</v>
      </c>
      <c r="E382" s="1" t="s">
        <v>66</v>
      </c>
      <c r="F382" s="1">
        <v>13853</v>
      </c>
      <c r="G382" s="10">
        <f t="shared" si="9"/>
        <v>13.853</v>
      </c>
    </row>
    <row r="383" spans="1:7" x14ac:dyDescent="0.25">
      <c r="A383" s="1">
        <v>2023</v>
      </c>
      <c r="B383" s="1">
        <v>8</v>
      </c>
      <c r="C383" s="1">
        <v>17</v>
      </c>
      <c r="D383" s="1" t="s">
        <v>12</v>
      </c>
      <c r="E383" s="1" t="s">
        <v>66</v>
      </c>
      <c r="F383" s="1">
        <v>4868</v>
      </c>
      <c r="G383" s="10">
        <f t="shared" si="9"/>
        <v>4.8680000000000003</v>
      </c>
    </row>
    <row r="384" spans="1:7" x14ac:dyDescent="0.25">
      <c r="A384" s="1">
        <v>2023</v>
      </c>
      <c r="B384" s="1">
        <v>8</v>
      </c>
      <c r="C384" s="1">
        <v>17</v>
      </c>
      <c r="D384" s="1" t="s">
        <v>12</v>
      </c>
      <c r="E384" s="1" t="s">
        <v>66</v>
      </c>
      <c r="F384" s="1">
        <v>1858</v>
      </c>
      <c r="G384" s="10">
        <f t="shared" si="9"/>
        <v>1.8580000000000001</v>
      </c>
    </row>
    <row r="385" spans="1:7" x14ac:dyDescent="0.25">
      <c r="A385" s="1">
        <v>2023</v>
      </c>
      <c r="B385" s="1">
        <v>8</v>
      </c>
      <c r="C385" s="1">
        <v>19</v>
      </c>
      <c r="D385" s="1" t="s">
        <v>5</v>
      </c>
      <c r="E385" s="1" t="s">
        <v>66</v>
      </c>
      <c r="F385" s="1">
        <v>37449</v>
      </c>
      <c r="G385" s="10">
        <f t="shared" si="9"/>
        <v>37.448999999999998</v>
      </c>
    </row>
    <row r="386" spans="1:7" x14ac:dyDescent="0.25">
      <c r="A386" s="1">
        <v>2023</v>
      </c>
      <c r="B386" s="1">
        <v>8</v>
      </c>
      <c r="C386" s="1">
        <v>19</v>
      </c>
      <c r="D386" s="1" t="s">
        <v>91</v>
      </c>
      <c r="E386" s="1" t="s">
        <v>66</v>
      </c>
      <c r="F386" s="1">
        <v>51300</v>
      </c>
      <c r="G386" s="10">
        <f t="shared" si="9"/>
        <v>51.3</v>
      </c>
    </row>
    <row r="387" spans="1:7" x14ac:dyDescent="0.25">
      <c r="A387" s="1">
        <v>2023</v>
      </c>
      <c r="B387" s="1">
        <v>8</v>
      </c>
      <c r="C387" s="1">
        <v>19</v>
      </c>
      <c r="D387" s="1" t="s">
        <v>12</v>
      </c>
      <c r="E387" s="1" t="s">
        <v>66</v>
      </c>
      <c r="F387" s="1">
        <v>16722</v>
      </c>
      <c r="G387" s="10">
        <f t="shared" si="9"/>
        <v>16.722000000000001</v>
      </c>
    </row>
    <row r="388" spans="1:7" x14ac:dyDescent="0.25">
      <c r="A388" s="1">
        <v>2023</v>
      </c>
      <c r="B388" s="1">
        <v>8</v>
      </c>
      <c r="C388" s="1">
        <v>23</v>
      </c>
      <c r="D388" s="1" t="s">
        <v>33</v>
      </c>
      <c r="E388" s="1" t="s">
        <v>66</v>
      </c>
      <c r="F388" s="1">
        <v>39375</v>
      </c>
      <c r="G388" s="10">
        <f t="shared" si="9"/>
        <v>39.375</v>
      </c>
    </row>
    <row r="389" spans="1:7" x14ac:dyDescent="0.25">
      <c r="A389" s="1">
        <v>2023</v>
      </c>
      <c r="B389" s="1">
        <v>8</v>
      </c>
      <c r="C389" s="1">
        <v>23</v>
      </c>
      <c r="D389" s="1" t="s">
        <v>28</v>
      </c>
      <c r="E389" s="1" t="s">
        <v>84</v>
      </c>
      <c r="F389" s="1">
        <v>5586</v>
      </c>
      <c r="G389" s="10">
        <f t="shared" si="9"/>
        <v>5.5860000000000003</v>
      </c>
    </row>
    <row r="390" spans="1:7" x14ac:dyDescent="0.25">
      <c r="A390" s="1">
        <v>2023</v>
      </c>
      <c r="B390" s="1">
        <v>8</v>
      </c>
      <c r="C390" s="1">
        <v>23</v>
      </c>
      <c r="D390" s="1" t="s">
        <v>92</v>
      </c>
      <c r="E390" s="1" t="s">
        <v>84</v>
      </c>
      <c r="F390" s="1">
        <v>6693</v>
      </c>
      <c r="G390" s="10">
        <f t="shared" si="9"/>
        <v>6.6929999999999996</v>
      </c>
    </row>
    <row r="391" spans="1:7" x14ac:dyDescent="0.25">
      <c r="A391" s="1">
        <v>2023</v>
      </c>
      <c r="B391" s="1">
        <v>8</v>
      </c>
      <c r="C391" s="1">
        <v>27</v>
      </c>
      <c r="D391" s="1" t="s">
        <v>12</v>
      </c>
      <c r="E391" s="1" t="s">
        <v>66</v>
      </c>
      <c r="F391" s="1">
        <v>18140</v>
      </c>
      <c r="G391" s="10">
        <f t="shared" ref="G391:G425" si="10">F391/1000</f>
        <v>18.14</v>
      </c>
    </row>
    <row r="392" spans="1:7" x14ac:dyDescent="0.25">
      <c r="A392" s="1">
        <v>2023</v>
      </c>
      <c r="B392" s="1">
        <v>8</v>
      </c>
      <c r="C392" s="1">
        <v>28</v>
      </c>
      <c r="D392" s="1" t="s">
        <v>14</v>
      </c>
      <c r="E392" s="1" t="s">
        <v>66</v>
      </c>
      <c r="F392" s="1">
        <v>33804</v>
      </c>
      <c r="G392" s="10">
        <f t="shared" si="10"/>
        <v>33.804000000000002</v>
      </c>
    </row>
    <row r="393" spans="1:7" x14ac:dyDescent="0.25">
      <c r="A393" s="1">
        <v>2023</v>
      </c>
      <c r="B393" s="1">
        <v>8</v>
      </c>
      <c r="C393" s="1">
        <v>29</v>
      </c>
      <c r="D393" s="1" t="s">
        <v>12</v>
      </c>
      <c r="E393" s="1" t="s">
        <v>66</v>
      </c>
      <c r="F393" s="1">
        <v>14541</v>
      </c>
      <c r="G393" s="10">
        <f t="shared" si="10"/>
        <v>14.541</v>
      </c>
    </row>
    <row r="394" spans="1:7" x14ac:dyDescent="0.25">
      <c r="A394" s="1">
        <v>2023</v>
      </c>
      <c r="B394" s="1">
        <v>8</v>
      </c>
      <c r="C394" s="1">
        <v>30</v>
      </c>
      <c r="D394" s="1" t="s">
        <v>12</v>
      </c>
      <c r="E394" s="1" t="s">
        <v>84</v>
      </c>
      <c r="F394" s="1">
        <v>16163</v>
      </c>
      <c r="G394" s="10">
        <f t="shared" si="10"/>
        <v>16.163</v>
      </c>
    </row>
    <row r="395" spans="1:7" x14ac:dyDescent="0.25">
      <c r="A395" s="1">
        <v>2023</v>
      </c>
      <c r="B395" s="1">
        <v>9</v>
      </c>
      <c r="C395" s="1">
        <v>4</v>
      </c>
      <c r="D395" s="1" t="s">
        <v>12</v>
      </c>
      <c r="E395" s="1" t="s">
        <v>66</v>
      </c>
      <c r="F395" s="1">
        <v>16722</v>
      </c>
      <c r="G395" s="10">
        <f t="shared" si="10"/>
        <v>16.722000000000001</v>
      </c>
    </row>
    <row r="396" spans="1:7" x14ac:dyDescent="0.25">
      <c r="A396" s="1">
        <v>2023</v>
      </c>
      <c r="B396" s="1">
        <v>9</v>
      </c>
      <c r="C396" s="1">
        <v>7</v>
      </c>
      <c r="D396" s="1" t="s">
        <v>12</v>
      </c>
      <c r="E396" s="1" t="s">
        <v>66</v>
      </c>
      <c r="F396" s="1">
        <v>18140</v>
      </c>
      <c r="G396" s="10">
        <f t="shared" si="10"/>
        <v>18.14</v>
      </c>
    </row>
    <row r="397" spans="1:7" x14ac:dyDescent="0.25">
      <c r="A397" s="1">
        <v>2023</v>
      </c>
      <c r="B397" s="1">
        <v>9</v>
      </c>
      <c r="C397" s="1">
        <v>11</v>
      </c>
      <c r="D397" s="1" t="s">
        <v>12</v>
      </c>
      <c r="E397" s="1" t="s">
        <v>84</v>
      </c>
      <c r="F397" s="1">
        <v>457</v>
      </c>
      <c r="G397" s="10">
        <f t="shared" si="10"/>
        <v>0.45700000000000002</v>
      </c>
    </row>
    <row r="398" spans="1:7" x14ac:dyDescent="0.25">
      <c r="A398" s="1">
        <v>2023</v>
      </c>
      <c r="B398" s="1">
        <v>9</v>
      </c>
      <c r="C398" s="1">
        <v>12</v>
      </c>
      <c r="D398" s="1" t="s">
        <v>12</v>
      </c>
      <c r="E398" s="1" t="s">
        <v>66</v>
      </c>
      <c r="F398" s="1">
        <v>16356</v>
      </c>
      <c r="G398" s="10">
        <f t="shared" si="10"/>
        <v>16.356000000000002</v>
      </c>
    </row>
    <row r="399" spans="1:7" x14ac:dyDescent="0.25">
      <c r="A399" s="1">
        <v>2023</v>
      </c>
      <c r="B399" s="1">
        <v>9</v>
      </c>
      <c r="C399" s="1">
        <v>17</v>
      </c>
      <c r="D399" s="1" t="s">
        <v>12</v>
      </c>
      <c r="E399" s="1" t="s">
        <v>66</v>
      </c>
      <c r="F399" s="1">
        <v>13794</v>
      </c>
      <c r="G399" s="10">
        <f t="shared" si="10"/>
        <v>13.794</v>
      </c>
    </row>
    <row r="400" spans="1:7" x14ac:dyDescent="0.25">
      <c r="A400" s="1">
        <v>2023</v>
      </c>
      <c r="B400" s="1">
        <v>9</v>
      </c>
      <c r="C400" s="1">
        <v>18</v>
      </c>
      <c r="D400" s="1" t="s">
        <v>12</v>
      </c>
      <c r="E400" s="1" t="s">
        <v>66</v>
      </c>
      <c r="F400" s="1">
        <v>16566</v>
      </c>
      <c r="G400" s="10">
        <f t="shared" si="10"/>
        <v>16.565999999999999</v>
      </c>
    </row>
    <row r="401" spans="1:7" x14ac:dyDescent="0.25">
      <c r="A401" s="1">
        <v>2023</v>
      </c>
      <c r="B401" s="1">
        <v>9</v>
      </c>
      <c r="C401" s="1">
        <v>20</v>
      </c>
      <c r="D401" s="1" t="s">
        <v>5</v>
      </c>
      <c r="E401" s="1" t="s">
        <v>66</v>
      </c>
      <c r="F401" s="1">
        <v>99055</v>
      </c>
      <c r="G401" s="10">
        <f t="shared" si="10"/>
        <v>99.055000000000007</v>
      </c>
    </row>
    <row r="402" spans="1:7" x14ac:dyDescent="0.25">
      <c r="A402" s="1">
        <v>2023</v>
      </c>
      <c r="B402" s="1">
        <v>9</v>
      </c>
      <c r="C402" s="1">
        <v>22</v>
      </c>
      <c r="D402" s="1" t="s">
        <v>20</v>
      </c>
      <c r="E402" s="1" t="s">
        <v>66</v>
      </c>
      <c r="F402" s="1">
        <v>2724</v>
      </c>
      <c r="G402" s="10">
        <f t="shared" si="10"/>
        <v>2.7240000000000002</v>
      </c>
    </row>
    <row r="403" spans="1:7" x14ac:dyDescent="0.25">
      <c r="A403" s="1">
        <v>2023</v>
      </c>
      <c r="B403" s="1">
        <v>9</v>
      </c>
      <c r="C403" s="1">
        <v>22</v>
      </c>
      <c r="D403" s="1" t="s">
        <v>20</v>
      </c>
      <c r="E403" s="1" t="s">
        <v>66</v>
      </c>
      <c r="F403" s="1">
        <v>7630</v>
      </c>
      <c r="G403" s="10">
        <f t="shared" si="10"/>
        <v>7.63</v>
      </c>
    </row>
    <row r="404" spans="1:7" x14ac:dyDescent="0.25">
      <c r="A404" s="1">
        <v>2023</v>
      </c>
      <c r="B404" s="1">
        <v>9</v>
      </c>
      <c r="C404" s="1">
        <v>25</v>
      </c>
      <c r="D404" s="1" t="s">
        <v>12</v>
      </c>
      <c r="E404" s="1" t="s">
        <v>66</v>
      </c>
      <c r="F404" s="1">
        <v>16722</v>
      </c>
      <c r="G404" s="10">
        <f t="shared" si="10"/>
        <v>16.722000000000001</v>
      </c>
    </row>
    <row r="405" spans="1:7" x14ac:dyDescent="0.25">
      <c r="A405" s="1">
        <v>2023</v>
      </c>
      <c r="B405" s="1">
        <v>9</v>
      </c>
      <c r="C405" s="1">
        <v>26</v>
      </c>
      <c r="D405" s="1" t="s">
        <v>12</v>
      </c>
      <c r="E405" s="1" t="s">
        <v>66</v>
      </c>
      <c r="F405" s="1">
        <v>8486</v>
      </c>
      <c r="G405" s="10">
        <f t="shared" si="10"/>
        <v>8.4860000000000007</v>
      </c>
    </row>
    <row r="406" spans="1:7" x14ac:dyDescent="0.25">
      <c r="A406" s="1">
        <v>2023</v>
      </c>
      <c r="B406" s="1">
        <v>9</v>
      </c>
      <c r="C406" s="1">
        <v>29</v>
      </c>
      <c r="D406" s="1" t="s">
        <v>90</v>
      </c>
      <c r="E406" s="1" t="s">
        <v>66</v>
      </c>
      <c r="F406" s="1">
        <v>94708</v>
      </c>
      <c r="G406" s="10">
        <f t="shared" si="10"/>
        <v>94.707999999999998</v>
      </c>
    </row>
    <row r="407" spans="1:7" x14ac:dyDescent="0.25">
      <c r="A407" s="1">
        <v>2023</v>
      </c>
      <c r="B407" s="1">
        <v>9</v>
      </c>
      <c r="C407" s="1">
        <v>29</v>
      </c>
      <c r="D407" s="1" t="s">
        <v>12</v>
      </c>
      <c r="E407" s="1" t="s">
        <v>66</v>
      </c>
      <c r="F407" s="1">
        <v>12443</v>
      </c>
      <c r="G407" s="10">
        <f t="shared" si="10"/>
        <v>12.443</v>
      </c>
    </row>
    <row r="408" spans="1:7" x14ac:dyDescent="0.25">
      <c r="A408" s="1">
        <v>2023</v>
      </c>
      <c r="B408" s="1">
        <v>10</v>
      </c>
      <c r="C408" s="1">
        <v>1</v>
      </c>
      <c r="D408" s="1" t="s">
        <v>14</v>
      </c>
      <c r="E408" s="1" t="s">
        <v>66</v>
      </c>
      <c r="F408" s="1">
        <v>29736</v>
      </c>
      <c r="G408" s="10">
        <f t="shared" si="10"/>
        <v>29.736000000000001</v>
      </c>
    </row>
    <row r="409" spans="1:7" x14ac:dyDescent="0.25">
      <c r="A409" s="1">
        <v>2023</v>
      </c>
      <c r="B409" s="1">
        <v>10</v>
      </c>
      <c r="C409" s="1">
        <v>2</v>
      </c>
      <c r="D409" s="1" t="s">
        <v>31</v>
      </c>
      <c r="E409" s="1" t="s">
        <v>66</v>
      </c>
      <c r="F409" s="1">
        <v>89028</v>
      </c>
      <c r="G409" s="10">
        <f t="shared" si="10"/>
        <v>89.028000000000006</v>
      </c>
    </row>
    <row r="410" spans="1:7" x14ac:dyDescent="0.25">
      <c r="A410" s="1">
        <v>2023</v>
      </c>
      <c r="B410" s="1">
        <v>10</v>
      </c>
      <c r="C410" s="1">
        <v>3</v>
      </c>
      <c r="D410" s="1" t="s">
        <v>12</v>
      </c>
      <c r="E410" s="1" t="s">
        <v>66</v>
      </c>
      <c r="F410" s="1">
        <v>12397</v>
      </c>
      <c r="G410" s="10">
        <f t="shared" si="10"/>
        <v>12.397</v>
      </c>
    </row>
    <row r="411" spans="1:7" x14ac:dyDescent="0.25">
      <c r="A411" s="1">
        <v>2023</v>
      </c>
      <c r="B411" s="1">
        <v>10</v>
      </c>
      <c r="C411" s="1">
        <v>3</v>
      </c>
      <c r="D411" s="1" t="s">
        <v>12</v>
      </c>
      <c r="E411" s="1" t="s">
        <v>66</v>
      </c>
      <c r="F411" s="1">
        <v>4224</v>
      </c>
      <c r="G411" s="10">
        <f t="shared" si="10"/>
        <v>4.2240000000000002</v>
      </c>
    </row>
    <row r="412" spans="1:7" x14ac:dyDescent="0.25">
      <c r="A412" s="1">
        <v>2023</v>
      </c>
      <c r="B412" s="1">
        <v>10</v>
      </c>
      <c r="C412" s="1">
        <v>8</v>
      </c>
      <c r="D412" s="1" t="s">
        <v>28</v>
      </c>
      <c r="E412" s="1" t="s">
        <v>66</v>
      </c>
      <c r="F412" s="1">
        <v>27348</v>
      </c>
      <c r="G412" s="10">
        <f t="shared" si="10"/>
        <v>27.347999999999999</v>
      </c>
    </row>
    <row r="413" spans="1:7" x14ac:dyDescent="0.25">
      <c r="A413" s="1">
        <v>2023</v>
      </c>
      <c r="B413" s="1">
        <v>10</v>
      </c>
      <c r="C413" s="1">
        <v>10</v>
      </c>
      <c r="D413" s="1" t="s">
        <v>12</v>
      </c>
      <c r="E413" s="1" t="s">
        <v>66</v>
      </c>
      <c r="F413" s="1">
        <v>8388</v>
      </c>
      <c r="G413" s="10">
        <f t="shared" si="10"/>
        <v>8.3879999999999999</v>
      </c>
    </row>
    <row r="414" spans="1:7" x14ac:dyDescent="0.25">
      <c r="A414" s="1">
        <v>2023</v>
      </c>
      <c r="B414" s="1">
        <v>10</v>
      </c>
      <c r="C414" s="1">
        <v>12</v>
      </c>
      <c r="D414" s="1" t="s">
        <v>22</v>
      </c>
      <c r="E414" s="1" t="s">
        <v>66</v>
      </c>
      <c r="F414" s="1">
        <v>7220</v>
      </c>
      <c r="G414" s="10">
        <f t="shared" si="10"/>
        <v>7.22</v>
      </c>
    </row>
    <row r="415" spans="1:7" x14ac:dyDescent="0.25">
      <c r="A415" s="1">
        <v>2023</v>
      </c>
      <c r="B415" s="1">
        <v>10</v>
      </c>
      <c r="C415" s="1">
        <v>12</v>
      </c>
      <c r="D415" s="1" t="s">
        <v>22</v>
      </c>
      <c r="E415" s="1" t="s">
        <v>66</v>
      </c>
      <c r="F415" s="1">
        <v>43713</v>
      </c>
      <c r="G415" s="10">
        <f t="shared" si="10"/>
        <v>43.713000000000001</v>
      </c>
    </row>
    <row r="416" spans="1:7" x14ac:dyDescent="0.25">
      <c r="A416" s="1">
        <v>2023</v>
      </c>
      <c r="B416" s="1">
        <v>10</v>
      </c>
      <c r="C416" s="1">
        <v>16</v>
      </c>
      <c r="D416" s="1" t="s">
        <v>12</v>
      </c>
      <c r="E416" s="1" t="s">
        <v>66</v>
      </c>
      <c r="F416" s="1">
        <v>16855</v>
      </c>
      <c r="G416" s="10">
        <f t="shared" si="10"/>
        <v>16.855</v>
      </c>
    </row>
    <row r="417" spans="1:7" x14ac:dyDescent="0.25">
      <c r="A417" s="1">
        <v>2023</v>
      </c>
      <c r="B417" s="1">
        <v>10</v>
      </c>
      <c r="C417" s="1">
        <v>17</v>
      </c>
      <c r="D417" s="1" t="s">
        <v>12</v>
      </c>
      <c r="E417" s="1" t="s">
        <v>66</v>
      </c>
      <c r="F417" s="1">
        <v>8907</v>
      </c>
      <c r="G417" s="10">
        <f t="shared" si="10"/>
        <v>8.907</v>
      </c>
    </row>
    <row r="418" spans="1:7" x14ac:dyDescent="0.25">
      <c r="A418" s="1">
        <v>2023</v>
      </c>
      <c r="B418" s="1">
        <v>10</v>
      </c>
      <c r="C418" s="1">
        <v>17</v>
      </c>
      <c r="D418" s="1" t="s">
        <v>12</v>
      </c>
      <c r="E418" s="1" t="s">
        <v>66</v>
      </c>
      <c r="F418" s="1">
        <v>7413</v>
      </c>
      <c r="G418" s="10">
        <f t="shared" si="10"/>
        <v>7.4130000000000003</v>
      </c>
    </row>
    <row r="419" spans="1:7" x14ac:dyDescent="0.25">
      <c r="A419" s="1">
        <v>2023</v>
      </c>
      <c r="B419" s="1">
        <v>10</v>
      </c>
      <c r="C419" s="1">
        <v>21</v>
      </c>
      <c r="D419" s="1" t="s">
        <v>12</v>
      </c>
      <c r="E419" s="1" t="s">
        <v>66</v>
      </c>
      <c r="F419" s="1">
        <v>16722</v>
      </c>
      <c r="G419" s="10">
        <f t="shared" si="10"/>
        <v>16.722000000000001</v>
      </c>
    </row>
    <row r="420" spans="1:7" x14ac:dyDescent="0.25">
      <c r="A420" s="1">
        <v>2023</v>
      </c>
      <c r="B420" s="1">
        <v>10</v>
      </c>
      <c r="C420" s="1">
        <v>22</v>
      </c>
      <c r="D420" s="1" t="s">
        <v>5</v>
      </c>
      <c r="E420" s="1" t="s">
        <v>66</v>
      </c>
      <c r="F420" s="1">
        <v>83508</v>
      </c>
      <c r="G420" s="10">
        <f t="shared" si="10"/>
        <v>83.507999999999996</v>
      </c>
    </row>
    <row r="421" spans="1:7" x14ac:dyDescent="0.25">
      <c r="A421" s="1">
        <v>2023</v>
      </c>
      <c r="B421" s="1">
        <v>10</v>
      </c>
      <c r="C421" s="1">
        <v>23</v>
      </c>
      <c r="D421" s="1" t="s">
        <v>12</v>
      </c>
      <c r="E421" s="1" t="s">
        <v>66</v>
      </c>
      <c r="F421" s="1">
        <v>10726</v>
      </c>
      <c r="G421" s="10">
        <f t="shared" si="10"/>
        <v>10.726000000000001</v>
      </c>
    </row>
    <row r="422" spans="1:7" x14ac:dyDescent="0.25">
      <c r="A422" s="1">
        <v>2023</v>
      </c>
      <c r="B422" s="1">
        <v>10</v>
      </c>
      <c r="C422" s="1">
        <v>26</v>
      </c>
      <c r="D422" s="1" t="s">
        <v>28</v>
      </c>
      <c r="E422" s="1" t="s">
        <v>66</v>
      </c>
      <c r="F422" s="1">
        <v>5926</v>
      </c>
      <c r="G422" s="10">
        <f t="shared" si="10"/>
        <v>5.9260000000000002</v>
      </c>
    </row>
    <row r="423" spans="1:7" x14ac:dyDescent="0.25">
      <c r="A423" s="1">
        <v>2023</v>
      </c>
      <c r="B423" s="1">
        <v>10</v>
      </c>
      <c r="C423" s="1">
        <v>26</v>
      </c>
      <c r="D423" s="1" t="s">
        <v>12</v>
      </c>
      <c r="E423" s="1" t="s">
        <v>66</v>
      </c>
      <c r="F423" s="1">
        <v>6290</v>
      </c>
      <c r="G423" s="10">
        <f t="shared" si="10"/>
        <v>6.29</v>
      </c>
    </row>
    <row r="424" spans="1:7" x14ac:dyDescent="0.25">
      <c r="A424" s="1">
        <v>2023</v>
      </c>
      <c r="B424" s="1">
        <v>10</v>
      </c>
      <c r="C424" s="1">
        <v>26</v>
      </c>
      <c r="D424" s="1" t="s">
        <v>12</v>
      </c>
      <c r="E424" s="1" t="s">
        <v>66</v>
      </c>
      <c r="F424" s="1">
        <v>10371</v>
      </c>
      <c r="G424" s="10">
        <f t="shared" si="10"/>
        <v>10.371</v>
      </c>
    </row>
    <row r="425" spans="1:7" x14ac:dyDescent="0.25">
      <c r="A425" s="1">
        <v>2023</v>
      </c>
      <c r="B425" s="1">
        <v>10</v>
      </c>
      <c r="C425" s="1">
        <v>27</v>
      </c>
      <c r="D425" s="1" t="s">
        <v>28</v>
      </c>
      <c r="E425" s="1" t="s">
        <v>66</v>
      </c>
      <c r="F425" s="1">
        <v>7214</v>
      </c>
      <c r="G425" s="10">
        <f t="shared" si="10"/>
        <v>7.2140000000000004</v>
      </c>
    </row>
    <row r="426" spans="1:7" x14ac:dyDescent="0.25">
      <c r="A426" s="1">
        <v>2023</v>
      </c>
      <c r="B426" s="1">
        <v>10</v>
      </c>
      <c r="C426" s="1">
        <v>30</v>
      </c>
      <c r="D426" s="1" t="s">
        <v>8</v>
      </c>
      <c r="E426" s="1" t="s">
        <v>66</v>
      </c>
      <c r="F426" s="1">
        <v>9736</v>
      </c>
      <c r="G426" s="10">
        <f t="shared" ref="G426:G466" si="11">F426/1000</f>
        <v>9.7360000000000007</v>
      </c>
    </row>
    <row r="427" spans="1:7" x14ac:dyDescent="0.25">
      <c r="A427" s="1">
        <v>2023</v>
      </c>
      <c r="B427" s="1">
        <v>10</v>
      </c>
      <c r="C427" s="1">
        <v>31</v>
      </c>
      <c r="D427" s="1" t="s">
        <v>12</v>
      </c>
      <c r="E427" s="1" t="s">
        <v>84</v>
      </c>
      <c r="F427" s="1">
        <v>16722</v>
      </c>
      <c r="G427" s="10">
        <f t="shared" si="11"/>
        <v>16.722000000000001</v>
      </c>
    </row>
    <row r="428" spans="1:7" x14ac:dyDescent="0.25">
      <c r="A428" s="1">
        <v>2023</v>
      </c>
      <c r="B428" s="1">
        <v>11</v>
      </c>
      <c r="C428" s="1">
        <v>2</v>
      </c>
      <c r="D428" s="1" t="s">
        <v>14</v>
      </c>
      <c r="E428" s="1" t="s">
        <v>66</v>
      </c>
      <c r="F428" s="1">
        <v>34643</v>
      </c>
      <c r="G428" s="10">
        <f t="shared" si="11"/>
        <v>34.643000000000001</v>
      </c>
    </row>
    <row r="429" spans="1:7" x14ac:dyDescent="0.25">
      <c r="A429" s="1">
        <v>2023</v>
      </c>
      <c r="B429" s="1">
        <v>11</v>
      </c>
      <c r="C429" s="1">
        <v>2</v>
      </c>
      <c r="D429" s="1" t="s">
        <v>14</v>
      </c>
      <c r="E429" s="1" t="s">
        <v>66</v>
      </c>
      <c r="F429" s="1">
        <v>17321</v>
      </c>
      <c r="G429" s="10">
        <f t="shared" si="11"/>
        <v>17.321000000000002</v>
      </c>
    </row>
    <row r="430" spans="1:7" x14ac:dyDescent="0.25">
      <c r="A430" s="1">
        <v>2023</v>
      </c>
      <c r="B430" s="1">
        <v>11</v>
      </c>
      <c r="C430" s="1">
        <v>5</v>
      </c>
      <c r="D430" s="1" t="s">
        <v>14</v>
      </c>
      <c r="E430" s="1" t="s">
        <v>66</v>
      </c>
      <c r="F430" s="1">
        <v>43304</v>
      </c>
      <c r="G430" s="10">
        <f t="shared" si="11"/>
        <v>43.304000000000002</v>
      </c>
    </row>
    <row r="431" spans="1:7" x14ac:dyDescent="0.25">
      <c r="A431" s="1">
        <v>2023</v>
      </c>
      <c r="B431" s="1">
        <v>11</v>
      </c>
      <c r="C431" s="1">
        <v>7</v>
      </c>
      <c r="D431" s="1" t="s">
        <v>8</v>
      </c>
      <c r="E431" s="1" t="s">
        <v>66</v>
      </c>
      <c r="F431" s="1">
        <v>6123</v>
      </c>
      <c r="G431" s="10">
        <f t="shared" si="11"/>
        <v>6.1230000000000002</v>
      </c>
    </row>
    <row r="432" spans="1:7" x14ac:dyDescent="0.25">
      <c r="A432" s="1">
        <v>2023</v>
      </c>
      <c r="B432" s="1">
        <v>11</v>
      </c>
      <c r="C432" s="1">
        <v>10</v>
      </c>
      <c r="D432" s="1" t="s">
        <v>10</v>
      </c>
      <c r="E432" s="1" t="s">
        <v>66</v>
      </c>
      <c r="F432" s="1">
        <v>37147</v>
      </c>
      <c r="G432" s="10">
        <f t="shared" si="11"/>
        <v>37.146999999999998</v>
      </c>
    </row>
    <row r="433" spans="1:7" x14ac:dyDescent="0.25">
      <c r="A433" s="1">
        <v>2023</v>
      </c>
      <c r="B433" s="1">
        <v>11</v>
      </c>
      <c r="C433" s="1">
        <v>11</v>
      </c>
      <c r="D433" s="1" t="s">
        <v>3</v>
      </c>
      <c r="E433" s="1" t="s">
        <v>66</v>
      </c>
      <c r="F433" s="1">
        <v>27417</v>
      </c>
      <c r="G433" s="10">
        <f t="shared" si="11"/>
        <v>27.417000000000002</v>
      </c>
    </row>
    <row r="434" spans="1:7" x14ac:dyDescent="0.25">
      <c r="A434" s="1">
        <v>2023</v>
      </c>
      <c r="B434" s="1">
        <v>11</v>
      </c>
      <c r="C434" s="1">
        <v>12</v>
      </c>
      <c r="D434" s="1" t="s">
        <v>20</v>
      </c>
      <c r="E434" s="1" t="s">
        <v>66</v>
      </c>
      <c r="F434" s="1">
        <v>1634</v>
      </c>
      <c r="G434" s="10">
        <f t="shared" si="11"/>
        <v>1.6339999999999999</v>
      </c>
    </row>
    <row r="435" spans="1:7" x14ac:dyDescent="0.25">
      <c r="A435" s="1">
        <v>2023</v>
      </c>
      <c r="B435" s="1">
        <v>11</v>
      </c>
      <c r="C435" s="1">
        <v>12</v>
      </c>
      <c r="D435" s="1" t="s">
        <v>20</v>
      </c>
      <c r="E435" s="1" t="s">
        <v>66</v>
      </c>
      <c r="F435" s="1">
        <v>9811</v>
      </c>
      <c r="G435" s="10">
        <f t="shared" si="11"/>
        <v>9.8109999999999999</v>
      </c>
    </row>
    <row r="436" spans="1:7" x14ac:dyDescent="0.25">
      <c r="A436" s="1">
        <v>2023</v>
      </c>
      <c r="B436" s="1">
        <v>11</v>
      </c>
      <c r="C436" s="1">
        <v>13</v>
      </c>
      <c r="D436" s="1" t="s">
        <v>20</v>
      </c>
      <c r="E436" s="1" t="s">
        <v>66</v>
      </c>
      <c r="F436" s="1">
        <v>1634</v>
      </c>
      <c r="G436" s="10">
        <f t="shared" si="11"/>
        <v>1.6339999999999999</v>
      </c>
    </row>
    <row r="437" spans="1:7" x14ac:dyDescent="0.25">
      <c r="A437" s="1">
        <v>2023</v>
      </c>
      <c r="B437" s="1">
        <v>11</v>
      </c>
      <c r="C437" s="1">
        <v>15</v>
      </c>
      <c r="D437" s="1" t="s">
        <v>14</v>
      </c>
      <c r="E437" s="1" t="s">
        <v>66</v>
      </c>
      <c r="F437" s="1">
        <v>67455</v>
      </c>
      <c r="G437" s="10">
        <f t="shared" si="11"/>
        <v>67.454999999999998</v>
      </c>
    </row>
    <row r="438" spans="1:7" x14ac:dyDescent="0.25">
      <c r="A438" s="1">
        <v>2023</v>
      </c>
      <c r="B438" s="1">
        <v>11</v>
      </c>
      <c r="C438" s="1">
        <v>19</v>
      </c>
      <c r="D438" s="1" t="s">
        <v>28</v>
      </c>
      <c r="E438" s="1" t="s">
        <v>66</v>
      </c>
      <c r="F438" s="1">
        <v>30135</v>
      </c>
      <c r="G438" s="10">
        <f t="shared" si="11"/>
        <v>30.135000000000002</v>
      </c>
    </row>
    <row r="439" spans="1:7" x14ac:dyDescent="0.25">
      <c r="A439" s="1">
        <v>2023</v>
      </c>
      <c r="B439" s="1">
        <v>11</v>
      </c>
      <c r="C439" s="1">
        <v>19</v>
      </c>
      <c r="D439" s="1" t="s">
        <v>12</v>
      </c>
      <c r="E439" s="1" t="s">
        <v>66</v>
      </c>
      <c r="F439" s="1">
        <v>14364</v>
      </c>
      <c r="G439" s="10">
        <f t="shared" si="11"/>
        <v>14.364000000000001</v>
      </c>
    </row>
    <row r="440" spans="1:7" x14ac:dyDescent="0.25">
      <c r="A440" s="1">
        <v>2023</v>
      </c>
      <c r="B440" s="1">
        <v>11</v>
      </c>
      <c r="C440" s="1">
        <v>19</v>
      </c>
      <c r="D440" s="1" t="s">
        <v>12</v>
      </c>
      <c r="E440" s="1" t="s">
        <v>66</v>
      </c>
      <c r="F440" s="1">
        <v>16356</v>
      </c>
      <c r="G440" s="10">
        <f t="shared" si="11"/>
        <v>16.356000000000002</v>
      </c>
    </row>
    <row r="441" spans="1:7" x14ac:dyDescent="0.25">
      <c r="A441" s="1">
        <v>2023</v>
      </c>
      <c r="B441" s="1">
        <v>11</v>
      </c>
      <c r="C441" s="1">
        <v>21</v>
      </c>
      <c r="D441" s="1" t="s">
        <v>12</v>
      </c>
      <c r="E441" s="1" t="s">
        <v>66</v>
      </c>
      <c r="F441" s="1">
        <v>16337</v>
      </c>
      <c r="G441" s="10">
        <f t="shared" si="11"/>
        <v>16.337</v>
      </c>
    </row>
    <row r="442" spans="1:7" x14ac:dyDescent="0.25">
      <c r="A442" s="1">
        <v>2023</v>
      </c>
      <c r="B442" s="1">
        <v>11</v>
      </c>
      <c r="C442" s="1">
        <v>22</v>
      </c>
      <c r="D442" s="1" t="s">
        <v>5</v>
      </c>
      <c r="E442" s="1" t="s">
        <v>66</v>
      </c>
      <c r="F442" s="1">
        <v>67715</v>
      </c>
      <c r="G442" s="10">
        <f t="shared" si="11"/>
        <v>67.715000000000003</v>
      </c>
    </row>
    <row r="443" spans="1:7" x14ac:dyDescent="0.25">
      <c r="A443" s="1">
        <v>2023</v>
      </c>
      <c r="B443" s="1">
        <v>11</v>
      </c>
      <c r="C443" s="1">
        <v>30</v>
      </c>
      <c r="D443" s="1" t="s">
        <v>12</v>
      </c>
      <c r="E443" s="1" t="s">
        <v>66</v>
      </c>
      <c r="F443" s="1">
        <v>16386</v>
      </c>
      <c r="G443" s="10">
        <f t="shared" si="11"/>
        <v>16.385999999999999</v>
      </c>
    </row>
    <row r="444" spans="1:7" x14ac:dyDescent="0.25">
      <c r="A444" s="1">
        <v>2023</v>
      </c>
      <c r="B444" s="1">
        <v>11</v>
      </c>
      <c r="C444" s="1">
        <v>30</v>
      </c>
      <c r="D444" s="1" t="s">
        <v>97</v>
      </c>
      <c r="E444" s="1" t="s">
        <v>66</v>
      </c>
      <c r="F444" s="1">
        <v>3030</v>
      </c>
      <c r="G444" s="10">
        <f t="shared" si="11"/>
        <v>3.03</v>
      </c>
    </row>
    <row r="445" spans="1:7" x14ac:dyDescent="0.25">
      <c r="A445" s="1">
        <v>2023</v>
      </c>
      <c r="B445" s="1">
        <v>12</v>
      </c>
      <c r="C445" s="1">
        <v>2</v>
      </c>
      <c r="D445" s="1" t="s">
        <v>12</v>
      </c>
      <c r="E445" s="1" t="s">
        <v>66</v>
      </c>
      <c r="F445" s="1">
        <v>6987</v>
      </c>
      <c r="G445" s="10">
        <f t="shared" si="11"/>
        <v>6.9870000000000001</v>
      </c>
    </row>
    <row r="446" spans="1:7" x14ac:dyDescent="0.25">
      <c r="A446" s="1">
        <v>2023</v>
      </c>
      <c r="B446" s="1">
        <v>12</v>
      </c>
      <c r="C446" s="1">
        <v>2</v>
      </c>
      <c r="D446" s="1" t="s">
        <v>12</v>
      </c>
      <c r="E446" s="1" t="s">
        <v>66</v>
      </c>
      <c r="F446" s="1">
        <v>6424</v>
      </c>
      <c r="G446" s="10">
        <f t="shared" si="11"/>
        <v>6.4240000000000004</v>
      </c>
    </row>
    <row r="447" spans="1:7" x14ac:dyDescent="0.25">
      <c r="A447" s="1">
        <v>2023</v>
      </c>
      <c r="B447" s="1">
        <v>12</v>
      </c>
      <c r="C447" s="1">
        <v>3</v>
      </c>
      <c r="D447" s="1" t="s">
        <v>36</v>
      </c>
      <c r="E447" s="1" t="s">
        <v>84</v>
      </c>
      <c r="F447" s="1">
        <v>25430</v>
      </c>
      <c r="G447" s="10">
        <f t="shared" si="11"/>
        <v>25.43</v>
      </c>
    </row>
    <row r="448" spans="1:7" x14ac:dyDescent="0.25">
      <c r="A448" s="1">
        <v>2023</v>
      </c>
      <c r="B448" s="1">
        <v>12</v>
      </c>
      <c r="C448" s="1">
        <v>5</v>
      </c>
      <c r="D448" s="1" t="s">
        <v>12</v>
      </c>
      <c r="E448" s="1" t="s">
        <v>66</v>
      </c>
      <c r="F448" s="1">
        <v>16000</v>
      </c>
      <c r="G448" s="10">
        <f t="shared" si="11"/>
        <v>16</v>
      </c>
    </row>
    <row r="449" spans="1:7" x14ac:dyDescent="0.25">
      <c r="A449" s="1">
        <v>2023</v>
      </c>
      <c r="B449" s="1">
        <v>12</v>
      </c>
      <c r="C449" s="1">
        <v>7</v>
      </c>
      <c r="D449" s="1" t="s">
        <v>8</v>
      </c>
      <c r="E449" s="1" t="s">
        <v>66</v>
      </c>
      <c r="F449" s="1">
        <v>6228</v>
      </c>
      <c r="G449" s="10">
        <f t="shared" si="11"/>
        <v>6.2279999999999998</v>
      </c>
    </row>
    <row r="450" spans="1:7" x14ac:dyDescent="0.25">
      <c r="A450" s="1">
        <v>2023</v>
      </c>
      <c r="B450" s="1">
        <v>12</v>
      </c>
      <c r="C450" s="1">
        <v>9</v>
      </c>
      <c r="D450" s="1" t="s">
        <v>12</v>
      </c>
      <c r="E450" s="1" t="s">
        <v>66</v>
      </c>
      <c r="F450" s="1">
        <v>10131</v>
      </c>
      <c r="G450" s="10">
        <f t="shared" si="11"/>
        <v>10.131</v>
      </c>
    </row>
    <row r="451" spans="1:7" x14ac:dyDescent="0.25">
      <c r="A451" s="1">
        <v>2023</v>
      </c>
      <c r="B451" s="1">
        <v>12</v>
      </c>
      <c r="C451" s="1">
        <v>9</v>
      </c>
      <c r="D451" s="1" t="s">
        <v>12</v>
      </c>
      <c r="E451" s="1" t="s">
        <v>66</v>
      </c>
      <c r="F451" s="1">
        <v>5428</v>
      </c>
      <c r="G451" s="10">
        <f t="shared" si="11"/>
        <v>5.4279999999999999</v>
      </c>
    </row>
    <row r="452" spans="1:7" x14ac:dyDescent="0.25">
      <c r="A452" s="1">
        <v>2023</v>
      </c>
      <c r="B452" s="1">
        <v>12</v>
      </c>
      <c r="C452" s="1">
        <v>12</v>
      </c>
      <c r="D452" s="1" t="s">
        <v>24</v>
      </c>
      <c r="E452" s="1" t="s">
        <v>66</v>
      </c>
      <c r="F452" s="1">
        <v>32806</v>
      </c>
      <c r="G452" s="10">
        <f t="shared" si="11"/>
        <v>32.805999999999997</v>
      </c>
    </row>
    <row r="453" spans="1:7" x14ac:dyDescent="0.25">
      <c r="A453" s="1">
        <v>2023</v>
      </c>
      <c r="B453" s="1">
        <v>12</v>
      </c>
      <c r="C453" s="1">
        <v>12</v>
      </c>
      <c r="D453" s="1" t="s">
        <v>24</v>
      </c>
      <c r="E453" s="1" t="s">
        <v>66</v>
      </c>
      <c r="F453" s="1">
        <v>22906</v>
      </c>
      <c r="G453" s="10">
        <f t="shared" si="11"/>
        <v>22.905999999999999</v>
      </c>
    </row>
    <row r="454" spans="1:7" x14ac:dyDescent="0.25">
      <c r="A454" s="1">
        <v>2023</v>
      </c>
      <c r="B454" s="1">
        <v>12</v>
      </c>
      <c r="C454" s="1">
        <v>13</v>
      </c>
      <c r="D454" s="1" t="s">
        <v>12</v>
      </c>
      <c r="E454" s="1" t="s">
        <v>66</v>
      </c>
      <c r="F454" s="1">
        <v>3463</v>
      </c>
      <c r="G454" s="10">
        <f t="shared" si="11"/>
        <v>3.4630000000000001</v>
      </c>
    </row>
    <row r="455" spans="1:7" x14ac:dyDescent="0.25">
      <c r="A455" s="1">
        <v>2023</v>
      </c>
      <c r="B455" s="1">
        <v>12</v>
      </c>
      <c r="C455" s="1">
        <v>13</v>
      </c>
      <c r="D455" s="1" t="s">
        <v>12</v>
      </c>
      <c r="E455" s="1" t="s">
        <v>66</v>
      </c>
      <c r="F455" s="1">
        <v>9253</v>
      </c>
      <c r="G455" s="10">
        <f t="shared" si="11"/>
        <v>9.2530000000000001</v>
      </c>
    </row>
    <row r="456" spans="1:7" x14ac:dyDescent="0.25">
      <c r="A456" s="1">
        <v>2023</v>
      </c>
      <c r="B456" s="1">
        <v>12</v>
      </c>
      <c r="C456" s="1">
        <v>14</v>
      </c>
      <c r="D456" s="1" t="s">
        <v>24</v>
      </c>
      <c r="E456" s="1" t="s">
        <v>66</v>
      </c>
      <c r="F456" s="1">
        <v>55298</v>
      </c>
      <c r="G456" s="10">
        <f t="shared" si="11"/>
        <v>55.298000000000002</v>
      </c>
    </row>
    <row r="457" spans="1:7" x14ac:dyDescent="0.25">
      <c r="A457" s="1">
        <v>2023</v>
      </c>
      <c r="B457" s="1">
        <v>12</v>
      </c>
      <c r="C457" s="1">
        <v>17</v>
      </c>
      <c r="D457" s="1" t="s">
        <v>12</v>
      </c>
      <c r="E457" s="1" t="s">
        <v>66</v>
      </c>
      <c r="F457" s="1">
        <v>16401</v>
      </c>
      <c r="G457" s="10">
        <f t="shared" si="11"/>
        <v>16.401</v>
      </c>
    </row>
    <row r="458" spans="1:7" x14ac:dyDescent="0.25">
      <c r="A458" s="1">
        <v>2023</v>
      </c>
      <c r="B458" s="1">
        <v>12</v>
      </c>
      <c r="C458" s="1">
        <v>21</v>
      </c>
      <c r="D458" s="1" t="s">
        <v>12</v>
      </c>
      <c r="E458" s="1" t="s">
        <v>66</v>
      </c>
      <c r="F458" s="1">
        <v>15920</v>
      </c>
      <c r="G458" s="10">
        <f t="shared" si="11"/>
        <v>15.92</v>
      </c>
    </row>
    <row r="459" spans="1:7" x14ac:dyDescent="0.25">
      <c r="A459" s="1">
        <v>2023</v>
      </c>
      <c r="B459" s="1">
        <v>12</v>
      </c>
      <c r="C459" s="1">
        <v>25</v>
      </c>
      <c r="D459" s="1" t="s">
        <v>5</v>
      </c>
      <c r="E459" s="1" t="s">
        <v>66</v>
      </c>
      <c r="F459" s="1">
        <v>89999</v>
      </c>
      <c r="G459" s="10">
        <f t="shared" si="11"/>
        <v>89.998999999999995</v>
      </c>
    </row>
    <row r="460" spans="1:7" x14ac:dyDescent="0.25">
      <c r="A460" s="1">
        <v>2023</v>
      </c>
      <c r="B460" s="1">
        <v>12</v>
      </c>
      <c r="C460" s="1">
        <v>26</v>
      </c>
      <c r="D460" s="1" t="s">
        <v>12</v>
      </c>
      <c r="E460" s="1" t="s">
        <v>66</v>
      </c>
      <c r="F460" s="1">
        <v>16722</v>
      </c>
      <c r="G460" s="10">
        <f t="shared" si="11"/>
        <v>16.722000000000001</v>
      </c>
    </row>
    <row r="461" spans="1:7" x14ac:dyDescent="0.25">
      <c r="A461" s="1">
        <v>2023</v>
      </c>
      <c r="B461" s="1">
        <v>12</v>
      </c>
      <c r="C461" s="1">
        <v>27</v>
      </c>
      <c r="D461" s="1" t="s">
        <v>20</v>
      </c>
      <c r="E461" s="1" t="s">
        <v>66</v>
      </c>
      <c r="F461" s="1">
        <v>5722</v>
      </c>
      <c r="G461" s="10">
        <f t="shared" si="11"/>
        <v>5.7220000000000004</v>
      </c>
    </row>
    <row r="462" spans="1:7" x14ac:dyDescent="0.25">
      <c r="A462" s="1">
        <v>2023</v>
      </c>
      <c r="B462" s="1">
        <v>12</v>
      </c>
      <c r="C462" s="1">
        <v>30</v>
      </c>
      <c r="D462" s="1" t="s">
        <v>12</v>
      </c>
      <c r="E462" s="1" t="s">
        <v>66</v>
      </c>
      <c r="F462" s="1">
        <v>16401</v>
      </c>
      <c r="G462" s="10">
        <f t="shared" si="11"/>
        <v>16.401</v>
      </c>
    </row>
    <row r="463" spans="1:7" x14ac:dyDescent="0.25">
      <c r="A463" s="1">
        <v>2023</v>
      </c>
      <c r="B463" s="1">
        <v>12</v>
      </c>
      <c r="C463" s="1">
        <v>30</v>
      </c>
      <c r="D463" s="1" t="s">
        <v>14</v>
      </c>
      <c r="E463" s="1" t="s">
        <v>66</v>
      </c>
      <c r="F463" s="1">
        <v>74762</v>
      </c>
      <c r="G463" s="10">
        <f t="shared" si="11"/>
        <v>74.762</v>
      </c>
    </row>
    <row r="464" spans="1:7" x14ac:dyDescent="0.25">
      <c r="A464" s="1">
        <v>2024</v>
      </c>
      <c r="B464" s="1">
        <v>1</v>
      </c>
      <c r="C464" s="1">
        <v>3</v>
      </c>
      <c r="D464" s="1" t="s">
        <v>8</v>
      </c>
      <c r="E464" s="1" t="s">
        <v>66</v>
      </c>
      <c r="F464" s="1">
        <v>1769</v>
      </c>
      <c r="G464" s="10">
        <f t="shared" si="11"/>
        <v>1.7689999999999999</v>
      </c>
    </row>
    <row r="465" spans="1:7" x14ac:dyDescent="0.25">
      <c r="A465" s="1">
        <v>2024</v>
      </c>
      <c r="B465" s="1">
        <v>1</v>
      </c>
      <c r="C465" s="1">
        <v>3</v>
      </c>
      <c r="D465" s="1" t="s">
        <v>8</v>
      </c>
      <c r="E465" s="1" t="s">
        <v>66</v>
      </c>
      <c r="F465" s="1">
        <v>2762</v>
      </c>
      <c r="G465" s="10">
        <f t="shared" si="11"/>
        <v>2.762</v>
      </c>
    </row>
    <row r="466" spans="1:7" x14ac:dyDescent="0.25">
      <c r="A466" s="1">
        <v>2024</v>
      </c>
      <c r="B466" s="1">
        <v>1</v>
      </c>
      <c r="C466" s="1">
        <v>3</v>
      </c>
      <c r="D466" s="1" t="s">
        <v>12</v>
      </c>
      <c r="E466" s="1" t="s">
        <v>66</v>
      </c>
      <c r="F466" s="1">
        <v>16722</v>
      </c>
      <c r="G466" s="10">
        <f t="shared" si="11"/>
        <v>16.722000000000001</v>
      </c>
    </row>
    <row r="467" spans="1:7" x14ac:dyDescent="0.25">
      <c r="A467" s="1">
        <v>2024</v>
      </c>
      <c r="B467" s="1">
        <v>1</v>
      </c>
      <c r="C467" s="1">
        <v>8</v>
      </c>
      <c r="D467" s="1" t="s">
        <v>12</v>
      </c>
      <c r="E467" s="1" t="s">
        <v>66</v>
      </c>
      <c r="F467" s="1">
        <v>17098</v>
      </c>
      <c r="G467" s="10">
        <f t="shared" ref="G467:G501" si="12">F467/1000</f>
        <v>17.097999999999999</v>
      </c>
    </row>
    <row r="468" spans="1:7" x14ac:dyDescent="0.25">
      <c r="A468" s="1">
        <v>2024</v>
      </c>
      <c r="B468" s="1">
        <v>1</v>
      </c>
      <c r="C468" s="1">
        <v>9</v>
      </c>
      <c r="D468" s="1" t="s">
        <v>12</v>
      </c>
      <c r="E468" s="1" t="s">
        <v>66</v>
      </c>
      <c r="F468" s="1">
        <v>16401</v>
      </c>
      <c r="G468" s="10">
        <f t="shared" si="12"/>
        <v>16.401</v>
      </c>
    </row>
    <row r="469" spans="1:7" x14ac:dyDescent="0.25">
      <c r="A469" s="1">
        <v>2024</v>
      </c>
      <c r="B469" s="1">
        <v>1</v>
      </c>
      <c r="C469" s="1">
        <v>12</v>
      </c>
      <c r="D469" s="1" t="s">
        <v>12</v>
      </c>
      <c r="E469" s="1" t="s">
        <v>66</v>
      </c>
      <c r="F469" s="1">
        <v>15920</v>
      </c>
      <c r="G469" s="10">
        <f t="shared" si="12"/>
        <v>15.92</v>
      </c>
    </row>
    <row r="470" spans="1:7" x14ac:dyDescent="0.25">
      <c r="A470" s="1">
        <v>2024</v>
      </c>
      <c r="B470" s="1">
        <v>1</v>
      </c>
      <c r="C470" s="1">
        <v>14</v>
      </c>
      <c r="D470" s="1" t="s">
        <v>5</v>
      </c>
      <c r="E470" s="1" t="s">
        <v>66</v>
      </c>
      <c r="F470" s="1">
        <v>4017</v>
      </c>
      <c r="G470" s="10">
        <f t="shared" si="12"/>
        <v>4.0170000000000003</v>
      </c>
    </row>
    <row r="471" spans="1:7" x14ac:dyDescent="0.25">
      <c r="A471" s="1">
        <v>2024</v>
      </c>
      <c r="B471" s="1">
        <v>1</v>
      </c>
      <c r="C471" s="1">
        <v>16</v>
      </c>
      <c r="D471" s="1" t="s">
        <v>3</v>
      </c>
      <c r="E471" s="1" t="s">
        <v>66</v>
      </c>
      <c r="F471" s="1">
        <v>10349</v>
      </c>
      <c r="G471" s="10">
        <f t="shared" si="12"/>
        <v>10.349</v>
      </c>
    </row>
    <row r="472" spans="1:7" x14ac:dyDescent="0.25">
      <c r="A472" s="1">
        <v>2024</v>
      </c>
      <c r="B472" s="1">
        <v>1</v>
      </c>
      <c r="C472" s="1">
        <v>16</v>
      </c>
      <c r="D472" s="1" t="s">
        <v>3</v>
      </c>
      <c r="E472" s="1" t="s">
        <v>66</v>
      </c>
      <c r="F472" s="1">
        <v>6362</v>
      </c>
      <c r="G472" s="10">
        <f t="shared" si="12"/>
        <v>6.3620000000000001</v>
      </c>
    </row>
    <row r="473" spans="1:7" x14ac:dyDescent="0.25">
      <c r="A473" s="1">
        <v>2024</v>
      </c>
      <c r="B473" s="1">
        <v>1</v>
      </c>
      <c r="C473" s="1">
        <v>16</v>
      </c>
      <c r="D473" s="1" t="s">
        <v>12</v>
      </c>
      <c r="E473" s="1" t="s">
        <v>66</v>
      </c>
      <c r="F473" s="1">
        <v>1976</v>
      </c>
      <c r="G473" s="10">
        <f t="shared" si="12"/>
        <v>1.976</v>
      </c>
    </row>
    <row r="474" spans="1:7" x14ac:dyDescent="0.25">
      <c r="A474" s="1">
        <v>2024</v>
      </c>
      <c r="B474" s="1">
        <v>1</v>
      </c>
      <c r="C474" s="1">
        <v>16</v>
      </c>
      <c r="D474" s="1" t="s">
        <v>12</v>
      </c>
      <c r="E474" s="1" t="s">
        <v>66</v>
      </c>
      <c r="F474" s="1">
        <v>10345</v>
      </c>
      <c r="G474" s="10">
        <f t="shared" si="12"/>
        <v>10.345000000000001</v>
      </c>
    </row>
    <row r="475" spans="1:7" x14ac:dyDescent="0.25">
      <c r="A475" s="1">
        <v>2024</v>
      </c>
      <c r="B475" s="1">
        <v>1</v>
      </c>
      <c r="C475" s="1">
        <v>20</v>
      </c>
      <c r="D475" s="1" t="s">
        <v>12</v>
      </c>
      <c r="E475" s="1" t="s">
        <v>84</v>
      </c>
      <c r="F475" s="1">
        <v>14384</v>
      </c>
      <c r="G475" s="10">
        <f t="shared" si="12"/>
        <v>14.384</v>
      </c>
    </row>
    <row r="476" spans="1:7" x14ac:dyDescent="0.25">
      <c r="A476" s="1">
        <v>2024</v>
      </c>
      <c r="B476" s="1">
        <v>1</v>
      </c>
      <c r="C476" s="1">
        <v>20</v>
      </c>
      <c r="D476" s="1" t="s">
        <v>12</v>
      </c>
      <c r="E476" s="1" t="s">
        <v>84</v>
      </c>
      <c r="F476" s="1">
        <v>2338</v>
      </c>
      <c r="G476" s="10">
        <f t="shared" si="12"/>
        <v>2.3380000000000001</v>
      </c>
    </row>
    <row r="477" spans="1:7" x14ac:dyDescent="0.25">
      <c r="A477" s="1">
        <v>2024</v>
      </c>
      <c r="B477" s="1">
        <v>1</v>
      </c>
      <c r="C477" s="1">
        <v>20</v>
      </c>
      <c r="D477" s="1" t="s">
        <v>12</v>
      </c>
      <c r="E477" s="1" t="s">
        <v>66</v>
      </c>
      <c r="F477" s="1">
        <v>14999</v>
      </c>
      <c r="G477" s="10">
        <f t="shared" si="12"/>
        <v>14.999000000000001</v>
      </c>
    </row>
    <row r="478" spans="1:7" x14ac:dyDescent="0.25">
      <c r="A478" s="1">
        <v>2024</v>
      </c>
      <c r="B478" s="1">
        <v>1</v>
      </c>
      <c r="C478" s="1">
        <v>20</v>
      </c>
      <c r="D478" s="1" t="s">
        <v>10</v>
      </c>
      <c r="E478" s="1" t="s">
        <v>84</v>
      </c>
      <c r="F478" s="1">
        <v>60112</v>
      </c>
      <c r="G478" s="10">
        <f t="shared" si="12"/>
        <v>60.112000000000002</v>
      </c>
    </row>
    <row r="479" spans="1:7" x14ac:dyDescent="0.25">
      <c r="A479" s="1">
        <v>2024</v>
      </c>
      <c r="B479" s="1">
        <v>1</v>
      </c>
      <c r="C479" s="1">
        <v>21</v>
      </c>
      <c r="D479" s="1"/>
      <c r="E479" s="1" t="s">
        <v>66</v>
      </c>
      <c r="F479" s="1">
        <v>45587</v>
      </c>
      <c r="G479" s="10">
        <f t="shared" si="12"/>
        <v>45.587000000000003</v>
      </c>
    </row>
    <row r="480" spans="1:7" x14ac:dyDescent="0.25">
      <c r="A480" s="1">
        <v>2024</v>
      </c>
      <c r="B480" s="1">
        <v>1</v>
      </c>
      <c r="C480" s="1">
        <v>28</v>
      </c>
      <c r="D480" s="1" t="s">
        <v>14</v>
      </c>
      <c r="E480" s="1" t="s">
        <v>66</v>
      </c>
      <c r="F480" s="1">
        <v>17125</v>
      </c>
      <c r="G480" s="10">
        <f t="shared" si="12"/>
        <v>17.125</v>
      </c>
    </row>
    <row r="481" spans="1:7" x14ac:dyDescent="0.25">
      <c r="A481" s="1">
        <v>2024</v>
      </c>
      <c r="B481" s="1">
        <v>1</v>
      </c>
      <c r="C481" s="1">
        <v>28</v>
      </c>
      <c r="D481" s="1" t="s">
        <v>14</v>
      </c>
      <c r="E481" s="1" t="s">
        <v>66</v>
      </c>
      <c r="F481" s="1">
        <v>17125</v>
      </c>
      <c r="G481" s="10">
        <f t="shared" si="12"/>
        <v>17.125</v>
      </c>
    </row>
    <row r="482" spans="1:7" x14ac:dyDescent="0.25">
      <c r="A482" s="1">
        <v>2024</v>
      </c>
      <c r="B482" s="1">
        <v>1</v>
      </c>
      <c r="C482" s="1">
        <v>29</v>
      </c>
      <c r="D482" s="1" t="s">
        <v>12</v>
      </c>
      <c r="E482" s="1" t="s">
        <v>66</v>
      </c>
      <c r="F482" s="1">
        <v>16715</v>
      </c>
      <c r="G482" s="10">
        <f t="shared" si="12"/>
        <v>16.715</v>
      </c>
    </row>
    <row r="483" spans="1:7" x14ac:dyDescent="0.25">
      <c r="A483" s="1">
        <v>2024</v>
      </c>
      <c r="B483" s="1">
        <v>1</v>
      </c>
      <c r="C483" s="1">
        <v>29</v>
      </c>
      <c r="D483" s="1" t="s">
        <v>12</v>
      </c>
      <c r="E483" s="1" t="s">
        <v>66</v>
      </c>
      <c r="F483" s="1">
        <v>16722</v>
      </c>
      <c r="G483" s="10">
        <f t="shared" si="12"/>
        <v>16.722000000000001</v>
      </c>
    </row>
    <row r="484" spans="1:7" x14ac:dyDescent="0.25">
      <c r="A484" s="1">
        <v>2024</v>
      </c>
      <c r="B484" s="1">
        <v>1</v>
      </c>
      <c r="C484" s="1">
        <v>29</v>
      </c>
      <c r="D484" s="1" t="s">
        <v>10</v>
      </c>
      <c r="E484" s="1" t="s">
        <v>66</v>
      </c>
      <c r="F484" s="1">
        <v>37382</v>
      </c>
      <c r="G484" s="10">
        <f t="shared" si="12"/>
        <v>37.381999999999998</v>
      </c>
    </row>
    <row r="485" spans="1:7" x14ac:dyDescent="0.25">
      <c r="A485" s="1">
        <v>2024</v>
      </c>
      <c r="B485" s="1">
        <v>1</v>
      </c>
      <c r="C485" s="1">
        <v>30</v>
      </c>
      <c r="D485" s="1" t="s">
        <v>20</v>
      </c>
      <c r="E485" s="1" t="s">
        <v>66</v>
      </c>
      <c r="F485" s="1">
        <v>2179</v>
      </c>
      <c r="G485" s="10">
        <f t="shared" si="12"/>
        <v>2.1789999999999998</v>
      </c>
    </row>
    <row r="486" spans="1:7" x14ac:dyDescent="0.25">
      <c r="A486" s="1">
        <v>2024</v>
      </c>
      <c r="B486" s="1">
        <v>1</v>
      </c>
      <c r="C486" s="1">
        <v>30</v>
      </c>
      <c r="D486" s="1" t="s">
        <v>10</v>
      </c>
      <c r="E486" s="1" t="s">
        <v>66</v>
      </c>
      <c r="F486" s="1">
        <v>5516</v>
      </c>
      <c r="G486" s="10">
        <f t="shared" si="12"/>
        <v>5.516</v>
      </c>
    </row>
    <row r="487" spans="1:7" x14ac:dyDescent="0.25">
      <c r="A487" s="1">
        <v>2024</v>
      </c>
      <c r="B487" s="1">
        <v>1</v>
      </c>
      <c r="C487" s="1">
        <v>31</v>
      </c>
      <c r="D487" s="1" t="s">
        <v>14</v>
      </c>
      <c r="E487" s="1" t="s">
        <v>66</v>
      </c>
      <c r="F487" s="1">
        <v>20563</v>
      </c>
      <c r="G487" s="10">
        <f t="shared" si="12"/>
        <v>20.562999999999999</v>
      </c>
    </row>
    <row r="488" spans="1:7" x14ac:dyDescent="0.25">
      <c r="A488" s="1">
        <v>2024</v>
      </c>
      <c r="B488" s="1">
        <v>1</v>
      </c>
      <c r="C488" s="1">
        <v>31</v>
      </c>
      <c r="D488" s="1" t="s">
        <v>14</v>
      </c>
      <c r="E488" s="1" t="s">
        <v>66</v>
      </c>
      <c r="F488" s="1">
        <v>12158</v>
      </c>
      <c r="G488" s="10">
        <f t="shared" si="12"/>
        <v>12.157999999999999</v>
      </c>
    </row>
    <row r="489" spans="1:7" x14ac:dyDescent="0.25">
      <c r="A489" s="1">
        <v>2024</v>
      </c>
      <c r="B489" s="1">
        <v>1</v>
      </c>
      <c r="C489" s="1">
        <v>31</v>
      </c>
      <c r="D489" s="1" t="s">
        <v>10</v>
      </c>
      <c r="E489" s="1" t="s">
        <v>66</v>
      </c>
      <c r="F489" s="1">
        <v>11889</v>
      </c>
      <c r="G489" s="10">
        <f t="shared" si="12"/>
        <v>11.888999999999999</v>
      </c>
    </row>
    <row r="490" spans="1:7" x14ac:dyDescent="0.25">
      <c r="A490" s="1">
        <v>2024</v>
      </c>
      <c r="B490" s="1">
        <v>2</v>
      </c>
      <c r="C490" s="1">
        <v>1</v>
      </c>
      <c r="D490" s="1" t="s">
        <v>12</v>
      </c>
      <c r="E490" s="1" t="s">
        <v>66</v>
      </c>
      <c r="F490" s="1">
        <v>11677</v>
      </c>
      <c r="G490" s="10">
        <f t="shared" si="12"/>
        <v>11.677</v>
      </c>
    </row>
    <row r="491" spans="1:7" x14ac:dyDescent="0.25">
      <c r="A491" s="1">
        <v>2024</v>
      </c>
      <c r="B491" s="1">
        <v>2</v>
      </c>
      <c r="C491" s="1">
        <v>5</v>
      </c>
      <c r="D491" s="1" t="s">
        <v>12</v>
      </c>
      <c r="E491" s="1" t="s">
        <v>66</v>
      </c>
      <c r="F491" s="1">
        <v>16988</v>
      </c>
      <c r="G491" s="10">
        <f t="shared" si="12"/>
        <v>16.988</v>
      </c>
    </row>
    <row r="492" spans="1:7" x14ac:dyDescent="0.25">
      <c r="A492" s="1">
        <v>2024</v>
      </c>
      <c r="B492" s="1">
        <v>2</v>
      </c>
      <c r="C492" s="1">
        <v>9</v>
      </c>
      <c r="D492" s="1" t="s">
        <v>12</v>
      </c>
      <c r="E492" s="1" t="s">
        <v>66</v>
      </c>
      <c r="F492" s="1">
        <v>16715</v>
      </c>
      <c r="G492" s="10">
        <f t="shared" si="12"/>
        <v>16.715</v>
      </c>
    </row>
    <row r="493" spans="1:7" x14ac:dyDescent="0.25">
      <c r="A493" s="1">
        <v>2024</v>
      </c>
      <c r="B493" s="1">
        <v>2</v>
      </c>
      <c r="C493" s="1">
        <v>10</v>
      </c>
      <c r="D493" s="1" t="s">
        <v>24</v>
      </c>
      <c r="E493" s="1" t="s">
        <v>66</v>
      </c>
      <c r="F493" s="1">
        <v>141422</v>
      </c>
      <c r="G493" s="10">
        <f t="shared" si="12"/>
        <v>141.422</v>
      </c>
    </row>
    <row r="494" spans="1:7" x14ac:dyDescent="0.25">
      <c r="A494" s="1">
        <v>2024</v>
      </c>
      <c r="B494" s="1">
        <v>2</v>
      </c>
      <c r="C494" s="1">
        <v>11</v>
      </c>
      <c r="D494" s="1" t="s">
        <v>12</v>
      </c>
      <c r="E494" s="1" t="s">
        <v>66</v>
      </c>
      <c r="F494" s="1">
        <v>9890</v>
      </c>
      <c r="G494" s="10">
        <f t="shared" si="12"/>
        <v>9.89</v>
      </c>
    </row>
    <row r="495" spans="1:7" x14ac:dyDescent="0.25">
      <c r="A495" s="1">
        <v>2024</v>
      </c>
      <c r="B495" s="1">
        <v>2</v>
      </c>
      <c r="C495" s="1">
        <v>17</v>
      </c>
      <c r="D495" s="1" t="s">
        <v>12</v>
      </c>
      <c r="E495" s="1" t="s">
        <v>66</v>
      </c>
      <c r="F495" s="1">
        <v>5092</v>
      </c>
      <c r="G495" s="10">
        <f t="shared" si="12"/>
        <v>5.0919999999999996</v>
      </c>
    </row>
    <row r="496" spans="1:7" x14ac:dyDescent="0.25">
      <c r="A496" s="1">
        <v>2024</v>
      </c>
      <c r="B496" s="1">
        <v>2</v>
      </c>
      <c r="C496" s="1">
        <v>17</v>
      </c>
      <c r="D496" s="1" t="s">
        <v>12</v>
      </c>
      <c r="E496" s="1" t="s">
        <v>66</v>
      </c>
      <c r="F496" s="1">
        <v>9762</v>
      </c>
      <c r="G496" s="10">
        <f t="shared" si="12"/>
        <v>9.7620000000000005</v>
      </c>
    </row>
    <row r="497" spans="1:7" x14ac:dyDescent="0.25">
      <c r="A497" s="1">
        <v>2024</v>
      </c>
      <c r="B497" s="1">
        <v>2</v>
      </c>
      <c r="C497" s="1">
        <v>19</v>
      </c>
      <c r="D497" s="1" t="s">
        <v>12</v>
      </c>
      <c r="E497" s="1" t="s">
        <v>66</v>
      </c>
      <c r="F497" s="1">
        <v>10322</v>
      </c>
      <c r="G497" s="10">
        <f t="shared" si="12"/>
        <v>10.321999999999999</v>
      </c>
    </row>
    <row r="498" spans="1:7" x14ac:dyDescent="0.25">
      <c r="A498" s="1">
        <v>2024</v>
      </c>
      <c r="B498" s="1">
        <v>2</v>
      </c>
      <c r="C498" s="1">
        <v>19</v>
      </c>
      <c r="D498" s="1" t="s">
        <v>12</v>
      </c>
      <c r="E498" s="1" t="s">
        <v>66</v>
      </c>
      <c r="F498" s="1">
        <v>6339</v>
      </c>
      <c r="G498" s="10">
        <f t="shared" si="12"/>
        <v>6.3390000000000004</v>
      </c>
    </row>
    <row r="499" spans="1:7" x14ac:dyDescent="0.25">
      <c r="A499" s="1">
        <v>2024</v>
      </c>
      <c r="B499" s="1">
        <v>2</v>
      </c>
      <c r="C499" s="1">
        <v>21</v>
      </c>
      <c r="D499" s="1" t="s">
        <v>12</v>
      </c>
      <c r="E499" s="1" t="s">
        <v>66</v>
      </c>
      <c r="F499" s="1">
        <v>14095</v>
      </c>
      <c r="G499" s="10">
        <f t="shared" si="12"/>
        <v>14.095000000000001</v>
      </c>
    </row>
    <row r="500" spans="1:7" x14ac:dyDescent="0.25">
      <c r="A500" s="1">
        <v>2024</v>
      </c>
      <c r="B500" s="1">
        <v>2</v>
      </c>
      <c r="C500" s="1">
        <v>24</v>
      </c>
      <c r="D500" s="1" t="s">
        <v>12</v>
      </c>
      <c r="E500" s="1" t="s">
        <v>66</v>
      </c>
      <c r="F500" s="1">
        <v>2380</v>
      </c>
      <c r="G500" s="10">
        <f t="shared" si="12"/>
        <v>2.38</v>
      </c>
    </row>
    <row r="501" spans="1:7" x14ac:dyDescent="0.25">
      <c r="A501" s="1">
        <v>2024</v>
      </c>
      <c r="B501" s="1">
        <v>2</v>
      </c>
      <c r="C501" s="1">
        <v>24</v>
      </c>
      <c r="D501" s="1" t="s">
        <v>12</v>
      </c>
      <c r="E501" s="1" t="s">
        <v>66</v>
      </c>
      <c r="F501" s="1">
        <v>7834</v>
      </c>
      <c r="G501" s="10">
        <f t="shared" si="12"/>
        <v>7.8339999999999996</v>
      </c>
    </row>
    <row r="502" spans="1:7" x14ac:dyDescent="0.25">
      <c r="A502" s="1">
        <v>2024</v>
      </c>
      <c r="B502" s="1">
        <v>2</v>
      </c>
      <c r="C502" s="1">
        <v>24</v>
      </c>
      <c r="D502" s="1" t="s">
        <v>18</v>
      </c>
      <c r="E502" s="1" t="s">
        <v>66</v>
      </c>
      <c r="F502" s="1">
        <v>52649</v>
      </c>
      <c r="G502" s="10">
        <f t="shared" ref="G502:G543" si="13">F502/1000</f>
        <v>52.649000000000001</v>
      </c>
    </row>
    <row r="503" spans="1:7" x14ac:dyDescent="0.25">
      <c r="A503" s="1">
        <v>2024</v>
      </c>
      <c r="B503" s="1">
        <v>2</v>
      </c>
      <c r="C503" s="1">
        <v>27</v>
      </c>
      <c r="D503" s="1" t="s">
        <v>14</v>
      </c>
      <c r="E503" s="1" t="s">
        <v>66</v>
      </c>
      <c r="F503" s="1">
        <v>69287</v>
      </c>
      <c r="G503" s="10">
        <f t="shared" si="13"/>
        <v>69.287000000000006</v>
      </c>
    </row>
    <row r="504" spans="1:7" x14ac:dyDescent="0.25">
      <c r="A504" s="1">
        <v>2024</v>
      </c>
      <c r="B504" s="1">
        <v>2</v>
      </c>
      <c r="C504" s="1">
        <v>27</v>
      </c>
      <c r="D504" s="1" t="s">
        <v>10</v>
      </c>
      <c r="E504" s="1" t="s">
        <v>84</v>
      </c>
      <c r="F504" s="1">
        <v>52022</v>
      </c>
      <c r="G504" s="10">
        <f t="shared" si="13"/>
        <v>52.021999999999998</v>
      </c>
    </row>
    <row r="505" spans="1:7" x14ac:dyDescent="0.25">
      <c r="A505" s="1">
        <v>2024</v>
      </c>
      <c r="B505" s="1">
        <v>2</v>
      </c>
      <c r="C505" s="1">
        <v>27</v>
      </c>
      <c r="D505" s="1" t="s">
        <v>10</v>
      </c>
      <c r="E505" s="1" t="s">
        <v>84</v>
      </c>
      <c r="F505" s="1">
        <v>18198</v>
      </c>
      <c r="G505" s="10">
        <f t="shared" si="13"/>
        <v>18.198</v>
      </c>
    </row>
    <row r="506" spans="1:7" x14ac:dyDescent="0.25">
      <c r="A506" s="1">
        <v>2024</v>
      </c>
      <c r="B506" s="1">
        <v>3</v>
      </c>
      <c r="C506" s="1">
        <v>1</v>
      </c>
      <c r="D506" s="1" t="s">
        <v>5</v>
      </c>
      <c r="E506" s="1" t="s">
        <v>66</v>
      </c>
      <c r="F506" s="1">
        <v>96744</v>
      </c>
      <c r="G506" s="10">
        <f t="shared" si="13"/>
        <v>96.744</v>
      </c>
    </row>
    <row r="507" spans="1:7" x14ac:dyDescent="0.25">
      <c r="A507" s="1">
        <v>2024</v>
      </c>
      <c r="B507" s="1">
        <v>3</v>
      </c>
      <c r="C507" s="1">
        <v>1</v>
      </c>
      <c r="D507" s="1" t="s">
        <v>12</v>
      </c>
      <c r="E507" s="1" t="s">
        <v>66</v>
      </c>
      <c r="F507" s="1">
        <v>16722</v>
      </c>
      <c r="G507" s="10">
        <f t="shared" si="13"/>
        <v>16.722000000000001</v>
      </c>
    </row>
    <row r="508" spans="1:7" x14ac:dyDescent="0.25">
      <c r="A508" s="1">
        <v>2024</v>
      </c>
      <c r="B508" s="1">
        <v>3</v>
      </c>
      <c r="C508" s="1">
        <v>1</v>
      </c>
      <c r="D508" s="1" t="s">
        <v>12</v>
      </c>
      <c r="E508" s="1" t="s">
        <v>66</v>
      </c>
      <c r="F508" s="1">
        <v>17037</v>
      </c>
      <c r="G508" s="10">
        <f t="shared" si="13"/>
        <v>17.036999999999999</v>
      </c>
    </row>
    <row r="509" spans="1:7" x14ac:dyDescent="0.25">
      <c r="A509" s="1">
        <v>2024</v>
      </c>
      <c r="B509" s="1">
        <v>3</v>
      </c>
      <c r="C509" s="1">
        <v>2</v>
      </c>
      <c r="D509" s="1" t="s">
        <v>12</v>
      </c>
      <c r="E509" s="1" t="s">
        <v>66</v>
      </c>
      <c r="F509" s="1">
        <v>8683</v>
      </c>
      <c r="G509" s="10">
        <f t="shared" si="13"/>
        <v>8.6829999999999998</v>
      </c>
    </row>
    <row r="510" spans="1:7" x14ac:dyDescent="0.25">
      <c r="A510" s="1">
        <v>2024</v>
      </c>
      <c r="B510" s="1">
        <v>3</v>
      </c>
      <c r="C510" s="1">
        <v>3</v>
      </c>
      <c r="D510" s="1" t="s">
        <v>22</v>
      </c>
      <c r="E510" s="1" t="s">
        <v>66</v>
      </c>
      <c r="F510" s="1">
        <v>45728</v>
      </c>
      <c r="G510" s="10">
        <f t="shared" si="13"/>
        <v>45.728000000000002</v>
      </c>
    </row>
    <row r="511" spans="1:7" x14ac:dyDescent="0.25">
      <c r="A511" s="1">
        <v>2024</v>
      </c>
      <c r="B511" s="1">
        <v>3</v>
      </c>
      <c r="C511" s="1">
        <v>3</v>
      </c>
      <c r="D511" s="1" t="s">
        <v>22</v>
      </c>
      <c r="E511" s="1" t="s">
        <v>66</v>
      </c>
      <c r="F511" s="1">
        <v>7676</v>
      </c>
      <c r="G511" s="10">
        <f t="shared" si="13"/>
        <v>7.6760000000000002</v>
      </c>
    </row>
    <row r="512" spans="1:7" x14ac:dyDescent="0.25">
      <c r="A512" s="1">
        <v>2024</v>
      </c>
      <c r="B512" s="1">
        <v>3</v>
      </c>
      <c r="C512" s="1">
        <v>6</v>
      </c>
      <c r="D512" s="1" t="s">
        <v>20</v>
      </c>
      <c r="E512" s="1" t="s">
        <v>66</v>
      </c>
      <c r="F512" s="1">
        <v>4087</v>
      </c>
      <c r="G512" s="10">
        <f t="shared" si="13"/>
        <v>4.0869999999999997</v>
      </c>
    </row>
    <row r="513" spans="1:7" x14ac:dyDescent="0.25">
      <c r="A513" s="1">
        <v>2024</v>
      </c>
      <c r="B513" s="1">
        <v>3</v>
      </c>
      <c r="C513" s="1">
        <v>9</v>
      </c>
      <c r="D513" s="1" t="s">
        <v>12</v>
      </c>
      <c r="E513" s="1" t="s">
        <v>66</v>
      </c>
      <c r="F513" s="1">
        <v>16093</v>
      </c>
      <c r="G513" s="10">
        <f t="shared" si="13"/>
        <v>16.093</v>
      </c>
    </row>
    <row r="514" spans="1:7" x14ac:dyDescent="0.25">
      <c r="A514" s="1">
        <v>2024</v>
      </c>
      <c r="B514" s="1">
        <v>3</v>
      </c>
      <c r="C514" s="1">
        <v>12</v>
      </c>
      <c r="D514" s="1" t="s">
        <v>12</v>
      </c>
      <c r="E514" s="1" t="s">
        <v>66</v>
      </c>
      <c r="F514" s="1">
        <v>5705</v>
      </c>
      <c r="G514" s="10">
        <f t="shared" si="13"/>
        <v>5.7050000000000001</v>
      </c>
    </row>
    <row r="515" spans="1:7" x14ac:dyDescent="0.25">
      <c r="A515" s="1">
        <v>2024</v>
      </c>
      <c r="B515" s="1">
        <v>3</v>
      </c>
      <c r="C515" s="1">
        <v>12</v>
      </c>
      <c r="D515" s="1" t="s">
        <v>12</v>
      </c>
      <c r="E515" s="1" t="s">
        <v>66</v>
      </c>
      <c r="F515" s="1">
        <v>10956</v>
      </c>
      <c r="G515" s="10">
        <f t="shared" si="13"/>
        <v>10.956</v>
      </c>
    </row>
    <row r="516" spans="1:7" x14ac:dyDescent="0.25">
      <c r="A516" s="1">
        <v>2024</v>
      </c>
      <c r="B516" s="1">
        <v>3</v>
      </c>
      <c r="C516" s="1">
        <v>14</v>
      </c>
      <c r="D516" s="1" t="s">
        <v>22</v>
      </c>
      <c r="E516" s="1" t="s">
        <v>66</v>
      </c>
      <c r="F516" s="1">
        <v>70850</v>
      </c>
      <c r="G516" s="10">
        <f t="shared" si="13"/>
        <v>70.849999999999994</v>
      </c>
    </row>
    <row r="517" spans="1:7" x14ac:dyDescent="0.25">
      <c r="A517" s="1">
        <v>2024</v>
      </c>
      <c r="B517" s="1">
        <v>3</v>
      </c>
      <c r="C517" s="1">
        <v>14</v>
      </c>
      <c r="D517" s="1" t="s">
        <v>22</v>
      </c>
      <c r="E517" s="1" t="s">
        <v>66</v>
      </c>
      <c r="F517" s="1">
        <v>27439</v>
      </c>
      <c r="G517" s="10">
        <f t="shared" si="13"/>
        <v>27.439</v>
      </c>
    </row>
    <row r="518" spans="1:7" x14ac:dyDescent="0.25">
      <c r="A518" s="1">
        <v>2024</v>
      </c>
      <c r="B518" s="1">
        <v>3</v>
      </c>
      <c r="C518" s="1">
        <v>14</v>
      </c>
      <c r="D518" s="1" t="s">
        <v>22</v>
      </c>
      <c r="E518" s="1" t="s">
        <v>66</v>
      </c>
      <c r="F518" s="1">
        <v>47880</v>
      </c>
      <c r="G518" s="10">
        <f t="shared" si="13"/>
        <v>47.88</v>
      </c>
    </row>
    <row r="519" spans="1:7" x14ac:dyDescent="0.25">
      <c r="A519" s="1">
        <v>2024</v>
      </c>
      <c r="B519" s="1">
        <v>3</v>
      </c>
      <c r="C519" s="1">
        <v>15</v>
      </c>
      <c r="D519" s="1" t="s">
        <v>28</v>
      </c>
      <c r="E519" s="1" t="s">
        <v>66</v>
      </c>
      <c r="F519" s="1">
        <v>10187</v>
      </c>
      <c r="G519" s="10">
        <f t="shared" si="13"/>
        <v>10.186999999999999</v>
      </c>
    </row>
    <row r="520" spans="1:7" x14ac:dyDescent="0.25">
      <c r="A520" s="1">
        <v>2024</v>
      </c>
      <c r="B520" s="1">
        <v>3</v>
      </c>
      <c r="C520" s="1">
        <v>15</v>
      </c>
      <c r="D520" s="1" t="s">
        <v>28</v>
      </c>
      <c r="E520" s="1" t="s">
        <v>66</v>
      </c>
      <c r="F520" s="1">
        <v>9965</v>
      </c>
      <c r="G520" s="10">
        <f t="shared" si="13"/>
        <v>9.9649999999999999</v>
      </c>
    </row>
    <row r="521" spans="1:7" x14ac:dyDescent="0.25">
      <c r="A521" s="1">
        <v>2024</v>
      </c>
      <c r="B521" s="1">
        <v>3</v>
      </c>
      <c r="C521" s="1">
        <v>16</v>
      </c>
      <c r="D521" s="1" t="s">
        <v>28</v>
      </c>
      <c r="E521" s="1" t="s">
        <v>66</v>
      </c>
      <c r="F521" s="1">
        <v>6492</v>
      </c>
      <c r="G521" s="10">
        <f t="shared" si="13"/>
        <v>6.492</v>
      </c>
    </row>
    <row r="522" spans="1:7" x14ac:dyDescent="0.25">
      <c r="A522" s="1">
        <v>2024</v>
      </c>
      <c r="B522" s="1">
        <v>3</v>
      </c>
      <c r="C522" s="1">
        <v>18</v>
      </c>
      <c r="D522" s="1" t="s">
        <v>8</v>
      </c>
      <c r="E522" s="1" t="s">
        <v>66</v>
      </c>
      <c r="F522" s="1">
        <v>3801</v>
      </c>
      <c r="G522" s="10">
        <f t="shared" si="13"/>
        <v>3.8010000000000002</v>
      </c>
    </row>
    <row r="523" spans="1:7" x14ac:dyDescent="0.25">
      <c r="A523" s="1">
        <v>2024</v>
      </c>
      <c r="B523" s="1">
        <v>3</v>
      </c>
      <c r="C523" s="1">
        <v>18</v>
      </c>
      <c r="D523" s="1" t="s">
        <v>12</v>
      </c>
      <c r="E523" s="1" t="s">
        <v>66</v>
      </c>
      <c r="F523" s="1">
        <v>16099</v>
      </c>
      <c r="G523" s="10">
        <f t="shared" si="13"/>
        <v>16.099</v>
      </c>
    </row>
    <row r="524" spans="1:7" x14ac:dyDescent="0.25">
      <c r="A524" s="1">
        <v>2024</v>
      </c>
      <c r="B524" s="1">
        <v>3</v>
      </c>
      <c r="C524" s="1">
        <v>20</v>
      </c>
      <c r="D524" s="1" t="s">
        <v>8</v>
      </c>
      <c r="E524" s="1" t="s">
        <v>66</v>
      </c>
      <c r="F524" s="1">
        <v>5226</v>
      </c>
      <c r="G524" s="10">
        <f t="shared" si="13"/>
        <v>5.226</v>
      </c>
    </row>
    <row r="525" spans="1:7" x14ac:dyDescent="0.25">
      <c r="A525" s="1">
        <v>2024</v>
      </c>
      <c r="B525" s="1">
        <v>3</v>
      </c>
      <c r="C525" s="1">
        <v>20</v>
      </c>
      <c r="D525" s="1" t="s">
        <v>18</v>
      </c>
      <c r="E525" s="1" t="s">
        <v>66</v>
      </c>
      <c r="F525" s="1">
        <v>17685</v>
      </c>
      <c r="G525" s="10">
        <f t="shared" si="13"/>
        <v>17.684999999999999</v>
      </c>
    </row>
    <row r="526" spans="1:7" x14ac:dyDescent="0.25">
      <c r="A526" s="1">
        <v>2024</v>
      </c>
      <c r="B526" s="1">
        <v>3</v>
      </c>
      <c r="C526" s="1">
        <v>20</v>
      </c>
      <c r="D526" s="1" t="s">
        <v>18</v>
      </c>
      <c r="E526" s="1" t="s">
        <v>66</v>
      </c>
      <c r="F526" s="1">
        <v>26161</v>
      </c>
      <c r="G526" s="10">
        <f t="shared" si="13"/>
        <v>26.161000000000001</v>
      </c>
    </row>
    <row r="527" spans="1:7" x14ac:dyDescent="0.25">
      <c r="A527" s="1">
        <v>2024</v>
      </c>
      <c r="B527" s="1">
        <v>3</v>
      </c>
      <c r="C527" s="1">
        <v>23</v>
      </c>
      <c r="D527" s="1" t="s">
        <v>31</v>
      </c>
      <c r="E527" s="1" t="s">
        <v>66</v>
      </c>
      <c r="F527" s="1">
        <v>77969</v>
      </c>
      <c r="G527" s="10">
        <f t="shared" si="13"/>
        <v>77.968999999999994</v>
      </c>
    </row>
    <row r="528" spans="1:7" x14ac:dyDescent="0.25">
      <c r="A528" s="1">
        <v>2024</v>
      </c>
      <c r="B528" s="1">
        <v>3</v>
      </c>
      <c r="C528" s="1">
        <v>25</v>
      </c>
      <c r="D528" s="1" t="s">
        <v>12</v>
      </c>
      <c r="E528" s="1" t="s">
        <v>66</v>
      </c>
      <c r="F528" s="1">
        <v>16561</v>
      </c>
      <c r="G528" s="10">
        <f t="shared" si="13"/>
        <v>16.561</v>
      </c>
    </row>
    <row r="529" spans="1:7" x14ac:dyDescent="0.25">
      <c r="A529" s="1">
        <v>2024</v>
      </c>
      <c r="B529" s="1">
        <v>3</v>
      </c>
      <c r="C529" s="1">
        <v>25</v>
      </c>
      <c r="D529" s="1" t="s">
        <v>12</v>
      </c>
      <c r="E529" s="1" t="s">
        <v>66</v>
      </c>
      <c r="F529" s="1">
        <v>14296</v>
      </c>
      <c r="G529" s="10">
        <f t="shared" si="13"/>
        <v>14.295999999999999</v>
      </c>
    </row>
    <row r="530" spans="1:7" x14ac:dyDescent="0.25">
      <c r="A530" s="1">
        <v>2024</v>
      </c>
      <c r="B530" s="1">
        <v>3</v>
      </c>
      <c r="C530" s="1">
        <v>29</v>
      </c>
      <c r="D530" s="1" t="s">
        <v>12</v>
      </c>
      <c r="E530" s="1" t="s">
        <v>66</v>
      </c>
      <c r="F530" s="1">
        <v>17097</v>
      </c>
      <c r="G530" s="10">
        <f t="shared" si="13"/>
        <v>17.097000000000001</v>
      </c>
    </row>
    <row r="531" spans="1:7" x14ac:dyDescent="0.25">
      <c r="A531" s="1">
        <v>2024</v>
      </c>
      <c r="B531" s="1">
        <v>4</v>
      </c>
      <c r="C531" s="1">
        <v>1</v>
      </c>
      <c r="D531" s="1" t="s">
        <v>22</v>
      </c>
      <c r="E531" s="1" t="s">
        <v>66</v>
      </c>
      <c r="F531" s="1">
        <v>9851</v>
      </c>
      <c r="G531" s="10">
        <f t="shared" si="13"/>
        <v>9.8510000000000009</v>
      </c>
    </row>
    <row r="532" spans="1:7" x14ac:dyDescent="0.25">
      <c r="A532" s="1">
        <v>2024</v>
      </c>
      <c r="B532" s="1">
        <v>4</v>
      </c>
      <c r="C532" s="1">
        <v>1</v>
      </c>
      <c r="D532" s="1" t="s">
        <v>22</v>
      </c>
      <c r="E532" s="1" t="s">
        <v>66</v>
      </c>
      <c r="F532" s="1">
        <v>12674</v>
      </c>
      <c r="G532" s="10">
        <f t="shared" si="13"/>
        <v>12.673999999999999</v>
      </c>
    </row>
    <row r="533" spans="1:7" x14ac:dyDescent="0.25">
      <c r="A533" s="1">
        <v>2024</v>
      </c>
      <c r="B533" s="1">
        <v>4</v>
      </c>
      <c r="C533" s="1">
        <v>1</v>
      </c>
      <c r="D533" s="1" t="s">
        <v>22</v>
      </c>
      <c r="E533" s="1" t="s">
        <v>66</v>
      </c>
      <c r="F533" s="1">
        <v>5645</v>
      </c>
      <c r="G533" s="10">
        <f t="shared" si="13"/>
        <v>5.6449999999999996</v>
      </c>
    </row>
    <row r="534" spans="1:7" x14ac:dyDescent="0.25">
      <c r="A534" s="1">
        <v>2024</v>
      </c>
      <c r="B534" s="1">
        <v>4</v>
      </c>
      <c r="C534" s="1">
        <v>1</v>
      </c>
      <c r="D534" s="1" t="s">
        <v>22</v>
      </c>
      <c r="E534" s="1" t="s">
        <v>66</v>
      </c>
      <c r="F534" s="1">
        <v>12674</v>
      </c>
      <c r="G534" s="10">
        <f t="shared" si="13"/>
        <v>12.673999999999999</v>
      </c>
    </row>
    <row r="535" spans="1:7" x14ac:dyDescent="0.25">
      <c r="A535" s="1">
        <v>2024</v>
      </c>
      <c r="B535" s="1">
        <v>4</v>
      </c>
      <c r="C535" s="1">
        <v>1</v>
      </c>
      <c r="D535" s="1" t="s">
        <v>36</v>
      </c>
      <c r="E535" s="1" t="s">
        <v>66</v>
      </c>
      <c r="F535" s="1">
        <v>4418</v>
      </c>
      <c r="G535" s="10">
        <f t="shared" si="13"/>
        <v>4.4180000000000001</v>
      </c>
    </row>
    <row r="536" spans="1:7" x14ac:dyDescent="0.25">
      <c r="A536" s="1">
        <v>2024</v>
      </c>
      <c r="B536" s="1">
        <v>4</v>
      </c>
      <c r="C536" s="1">
        <v>2</v>
      </c>
      <c r="D536" s="1" t="s">
        <v>12</v>
      </c>
      <c r="E536" s="1" t="s">
        <v>66</v>
      </c>
      <c r="F536" s="1">
        <v>16715</v>
      </c>
      <c r="G536" s="10">
        <f t="shared" si="13"/>
        <v>16.715</v>
      </c>
    </row>
    <row r="537" spans="1:7" x14ac:dyDescent="0.25">
      <c r="A537" s="1">
        <v>2024</v>
      </c>
      <c r="B537" s="1">
        <v>4</v>
      </c>
      <c r="C537" s="1">
        <v>3</v>
      </c>
      <c r="D537" s="1" t="s">
        <v>22</v>
      </c>
      <c r="E537" s="1" t="s">
        <v>66</v>
      </c>
      <c r="F537" s="1">
        <v>17541</v>
      </c>
      <c r="G537" s="10">
        <f t="shared" si="13"/>
        <v>17.541</v>
      </c>
    </row>
    <row r="538" spans="1:7" x14ac:dyDescent="0.25">
      <c r="A538" s="1">
        <v>2024</v>
      </c>
      <c r="B538" s="1">
        <v>4</v>
      </c>
      <c r="C538" s="1">
        <v>3</v>
      </c>
      <c r="D538" s="1" t="s">
        <v>22</v>
      </c>
      <c r="E538" s="1" t="s">
        <v>66</v>
      </c>
      <c r="F538" s="1">
        <v>10175</v>
      </c>
      <c r="G538" s="10">
        <f t="shared" si="13"/>
        <v>10.175000000000001</v>
      </c>
    </row>
    <row r="539" spans="1:7" x14ac:dyDescent="0.25">
      <c r="A539" s="1">
        <v>2024</v>
      </c>
      <c r="B539" s="1">
        <v>4</v>
      </c>
      <c r="C539" s="1">
        <v>3</v>
      </c>
      <c r="D539" s="1" t="s">
        <v>22</v>
      </c>
      <c r="E539" s="1" t="s">
        <v>66</v>
      </c>
      <c r="F539" s="1">
        <v>4589</v>
      </c>
      <c r="G539" s="10">
        <f t="shared" si="13"/>
        <v>4.5890000000000004</v>
      </c>
    </row>
    <row r="540" spans="1:7" x14ac:dyDescent="0.25">
      <c r="A540" s="1">
        <v>2024</v>
      </c>
      <c r="B540" s="1">
        <v>4</v>
      </c>
      <c r="C540" s="1">
        <v>3</v>
      </c>
      <c r="D540" s="1" t="s">
        <v>22</v>
      </c>
      <c r="E540" s="1" t="s">
        <v>66</v>
      </c>
      <c r="F540" s="1">
        <v>8009</v>
      </c>
      <c r="G540" s="10">
        <f t="shared" si="13"/>
        <v>8.0090000000000003</v>
      </c>
    </row>
    <row r="541" spans="1:7" x14ac:dyDescent="0.25">
      <c r="A541" s="1">
        <v>2024</v>
      </c>
      <c r="B541" s="1">
        <v>4</v>
      </c>
      <c r="C541" s="1">
        <v>3</v>
      </c>
      <c r="D541" s="1" t="s">
        <v>10</v>
      </c>
      <c r="E541" s="1" t="s">
        <v>66</v>
      </c>
      <c r="F541" s="1">
        <v>61872</v>
      </c>
      <c r="G541" s="10">
        <f t="shared" si="13"/>
        <v>61.872</v>
      </c>
    </row>
    <row r="542" spans="1:7" x14ac:dyDescent="0.25">
      <c r="A542" s="1">
        <v>2024</v>
      </c>
      <c r="B542" s="1">
        <v>4</v>
      </c>
      <c r="C542" s="1">
        <v>4</v>
      </c>
      <c r="D542" s="1" t="s">
        <v>33</v>
      </c>
      <c r="E542" s="1" t="s">
        <v>66</v>
      </c>
      <c r="F542" s="1">
        <v>41975</v>
      </c>
      <c r="G542" s="10">
        <f t="shared" si="13"/>
        <v>41.975000000000001</v>
      </c>
    </row>
    <row r="543" spans="1:7" x14ac:dyDescent="0.25">
      <c r="A543" s="1">
        <v>2024</v>
      </c>
      <c r="B543" s="1">
        <v>4</v>
      </c>
      <c r="C543" s="1">
        <v>4</v>
      </c>
      <c r="D543" s="1" t="s">
        <v>14</v>
      </c>
      <c r="E543" s="1" t="s">
        <v>66</v>
      </c>
      <c r="F543" s="1">
        <v>26731</v>
      </c>
      <c r="G543" s="10">
        <f t="shared" si="13"/>
        <v>26.731000000000002</v>
      </c>
    </row>
    <row r="544" spans="1:7" x14ac:dyDescent="0.25">
      <c r="A544" s="1">
        <v>2024</v>
      </c>
      <c r="B544" s="1">
        <v>4</v>
      </c>
      <c r="C544" s="1">
        <v>7</v>
      </c>
      <c r="D544" s="1" t="s">
        <v>5</v>
      </c>
      <c r="E544" s="1" t="s">
        <v>66</v>
      </c>
      <c r="F544" s="1">
        <v>98230</v>
      </c>
      <c r="G544" s="10">
        <f t="shared" ref="G544:G573" si="14">F544/1000</f>
        <v>98.23</v>
      </c>
    </row>
    <row r="545" spans="1:7" x14ac:dyDescent="0.25">
      <c r="A545" s="1">
        <v>2024</v>
      </c>
      <c r="B545" s="1">
        <v>4</v>
      </c>
      <c r="C545" s="1">
        <v>14</v>
      </c>
      <c r="D545" s="1" t="s">
        <v>12</v>
      </c>
      <c r="E545" s="1" t="s">
        <v>66</v>
      </c>
      <c r="F545" s="1">
        <v>15779</v>
      </c>
      <c r="G545" s="10">
        <f t="shared" si="14"/>
        <v>15.779</v>
      </c>
    </row>
    <row r="546" spans="1:7" x14ac:dyDescent="0.25">
      <c r="A546" s="1">
        <v>2024</v>
      </c>
      <c r="B546" s="1">
        <v>4</v>
      </c>
      <c r="C546" s="1">
        <v>17</v>
      </c>
      <c r="D546" s="1" t="s">
        <v>18</v>
      </c>
      <c r="E546" s="1" t="s">
        <v>66</v>
      </c>
      <c r="F546" s="1">
        <v>75987</v>
      </c>
      <c r="G546" s="10">
        <f t="shared" si="14"/>
        <v>75.986999999999995</v>
      </c>
    </row>
    <row r="547" spans="1:7" x14ac:dyDescent="0.25">
      <c r="A547" s="1">
        <v>2024</v>
      </c>
      <c r="B547" s="1">
        <v>4</v>
      </c>
      <c r="C547" s="1">
        <v>20</v>
      </c>
      <c r="D547" s="1" t="s">
        <v>20</v>
      </c>
      <c r="E547" s="1" t="s">
        <v>66</v>
      </c>
      <c r="F547" s="1">
        <v>6540</v>
      </c>
      <c r="G547" s="10">
        <f t="shared" si="14"/>
        <v>6.54</v>
      </c>
    </row>
    <row r="548" spans="1:7" x14ac:dyDescent="0.25">
      <c r="A548" s="1">
        <v>2024</v>
      </c>
      <c r="B548" s="1">
        <v>4</v>
      </c>
      <c r="C548" s="1">
        <v>20</v>
      </c>
      <c r="D548" s="1" t="s">
        <v>10</v>
      </c>
      <c r="E548" s="1" t="s">
        <v>84</v>
      </c>
      <c r="F548" s="1">
        <v>63108</v>
      </c>
      <c r="G548" s="10">
        <f t="shared" si="14"/>
        <v>63.107999999999997</v>
      </c>
    </row>
    <row r="549" spans="1:7" x14ac:dyDescent="0.25">
      <c r="A549" s="1">
        <v>2024</v>
      </c>
      <c r="B549" s="1">
        <v>4</v>
      </c>
      <c r="C549" s="1">
        <v>23</v>
      </c>
      <c r="D549" s="1" t="s">
        <v>12</v>
      </c>
      <c r="E549" s="1" t="s">
        <v>66</v>
      </c>
      <c r="F549" s="1">
        <v>15817</v>
      </c>
      <c r="G549" s="10">
        <f t="shared" si="14"/>
        <v>15.817</v>
      </c>
    </row>
    <row r="550" spans="1:7" x14ac:dyDescent="0.25">
      <c r="A550" s="1">
        <v>2024</v>
      </c>
      <c r="B550" s="1">
        <v>4</v>
      </c>
      <c r="C550" s="1">
        <v>29</v>
      </c>
      <c r="D550" s="1" t="s">
        <v>12</v>
      </c>
      <c r="E550" s="1" t="s">
        <v>66</v>
      </c>
      <c r="F550" s="1">
        <v>16661</v>
      </c>
      <c r="G550" s="10">
        <f t="shared" si="14"/>
        <v>16.661000000000001</v>
      </c>
    </row>
    <row r="551" spans="1:7" x14ac:dyDescent="0.25">
      <c r="A551" s="1">
        <v>2024</v>
      </c>
      <c r="B551" s="1">
        <v>4</v>
      </c>
      <c r="C551" s="1">
        <v>29</v>
      </c>
      <c r="D551" s="1" t="s">
        <v>31</v>
      </c>
      <c r="E551" s="1" t="s">
        <v>66</v>
      </c>
      <c r="F551" s="1">
        <v>66454</v>
      </c>
      <c r="G551" s="10">
        <f t="shared" si="14"/>
        <v>66.453999999999994</v>
      </c>
    </row>
    <row r="552" spans="1:7" x14ac:dyDescent="0.25">
      <c r="A552" s="1">
        <v>2024</v>
      </c>
      <c r="B552" s="1">
        <v>4</v>
      </c>
      <c r="C552" s="1">
        <v>30</v>
      </c>
      <c r="D552" s="1" t="s">
        <v>36</v>
      </c>
      <c r="E552" s="1" t="s">
        <v>66</v>
      </c>
      <c r="F552" s="1">
        <v>28741</v>
      </c>
      <c r="G552" s="10">
        <f t="shared" si="14"/>
        <v>28.741</v>
      </c>
    </row>
    <row r="553" spans="1:7" x14ac:dyDescent="0.25">
      <c r="A553" s="1">
        <v>2024</v>
      </c>
      <c r="B553" s="1">
        <v>5</v>
      </c>
      <c r="C553" s="1">
        <v>1</v>
      </c>
      <c r="D553" s="1" t="s">
        <v>5</v>
      </c>
      <c r="E553" s="1" t="s">
        <v>66</v>
      </c>
      <c r="F553" s="1">
        <v>103796</v>
      </c>
      <c r="G553" s="10">
        <f t="shared" si="14"/>
        <v>103.79600000000001</v>
      </c>
    </row>
    <row r="554" spans="1:7" x14ac:dyDescent="0.25">
      <c r="A554" s="1">
        <v>2024</v>
      </c>
      <c r="B554" s="1">
        <v>5</v>
      </c>
      <c r="C554" s="1">
        <v>3</v>
      </c>
      <c r="D554" s="1" t="s">
        <v>3</v>
      </c>
      <c r="E554" s="1" t="s">
        <v>66</v>
      </c>
      <c r="F554" s="1">
        <v>21113</v>
      </c>
      <c r="G554" s="10">
        <f t="shared" si="14"/>
        <v>21.113</v>
      </c>
    </row>
    <row r="555" spans="1:7" x14ac:dyDescent="0.25">
      <c r="A555" s="1">
        <v>2024</v>
      </c>
      <c r="B555" s="1">
        <v>5</v>
      </c>
      <c r="C555" s="1">
        <v>3</v>
      </c>
      <c r="D555" s="1" t="s">
        <v>3</v>
      </c>
      <c r="E555" s="1" t="s">
        <v>66</v>
      </c>
      <c r="F555" s="1">
        <v>15162</v>
      </c>
      <c r="G555" s="10">
        <f t="shared" si="14"/>
        <v>15.162000000000001</v>
      </c>
    </row>
    <row r="556" spans="1:7" x14ac:dyDescent="0.25">
      <c r="A556" s="1">
        <v>2024</v>
      </c>
      <c r="B556" s="1">
        <v>5</v>
      </c>
      <c r="C556" s="1">
        <v>4</v>
      </c>
      <c r="D556" s="1" t="s">
        <v>12</v>
      </c>
      <c r="E556" s="1" t="s">
        <v>66</v>
      </c>
      <c r="F556" s="1">
        <v>15779</v>
      </c>
      <c r="G556" s="10">
        <f t="shared" si="14"/>
        <v>15.779</v>
      </c>
    </row>
    <row r="557" spans="1:7" x14ac:dyDescent="0.25">
      <c r="A557" s="1">
        <v>2024</v>
      </c>
      <c r="B557" s="1">
        <v>5</v>
      </c>
      <c r="C557" s="1">
        <v>12</v>
      </c>
      <c r="D557" s="1" t="s">
        <v>41</v>
      </c>
      <c r="E557" s="1" t="s">
        <v>66</v>
      </c>
      <c r="F557" s="1">
        <v>31585</v>
      </c>
      <c r="G557" s="10">
        <f t="shared" si="14"/>
        <v>31.585000000000001</v>
      </c>
    </row>
    <row r="558" spans="1:7" x14ac:dyDescent="0.25">
      <c r="A558" s="1">
        <v>2024</v>
      </c>
      <c r="B558" s="1">
        <v>5</v>
      </c>
      <c r="C558" s="1">
        <v>12</v>
      </c>
      <c r="D558" s="1" t="s">
        <v>10</v>
      </c>
      <c r="E558" s="1" t="s">
        <v>66</v>
      </c>
      <c r="F558" s="1">
        <v>39815</v>
      </c>
      <c r="G558" s="10">
        <f t="shared" si="14"/>
        <v>39.814999999999998</v>
      </c>
    </row>
    <row r="559" spans="1:7" x14ac:dyDescent="0.25">
      <c r="A559" s="1">
        <v>2024</v>
      </c>
      <c r="B559" s="1">
        <v>5</v>
      </c>
      <c r="C559" s="1">
        <v>13</v>
      </c>
      <c r="D559" s="1" t="s">
        <v>12</v>
      </c>
      <c r="E559" s="1" t="s">
        <v>66</v>
      </c>
      <c r="F559" s="1">
        <v>17631</v>
      </c>
      <c r="G559" s="10">
        <f t="shared" si="14"/>
        <v>17.631</v>
      </c>
    </row>
    <row r="560" spans="1:7" x14ac:dyDescent="0.25">
      <c r="A560" s="1">
        <v>2024</v>
      </c>
      <c r="B560" s="1">
        <v>5</v>
      </c>
      <c r="C560" s="1">
        <v>14</v>
      </c>
      <c r="D560" s="1" t="s">
        <v>12</v>
      </c>
      <c r="E560" s="1" t="s">
        <v>66</v>
      </c>
      <c r="F560" s="1">
        <v>16661</v>
      </c>
      <c r="G560" s="10">
        <f t="shared" si="14"/>
        <v>16.661000000000001</v>
      </c>
    </row>
    <row r="561" spans="1:7" x14ac:dyDescent="0.25">
      <c r="A561" s="1">
        <v>2024</v>
      </c>
      <c r="B561" s="1">
        <v>5</v>
      </c>
      <c r="C561" s="1">
        <v>17</v>
      </c>
      <c r="D561" s="1" t="s">
        <v>12</v>
      </c>
      <c r="E561" s="1" t="s">
        <v>66</v>
      </c>
      <c r="F561" s="1">
        <v>7673</v>
      </c>
      <c r="G561" s="10">
        <f t="shared" si="14"/>
        <v>7.673</v>
      </c>
    </row>
    <row r="562" spans="1:7" x14ac:dyDescent="0.25">
      <c r="A562" s="1">
        <v>2024</v>
      </c>
      <c r="B562" s="1">
        <v>5</v>
      </c>
      <c r="C562" s="1">
        <v>21</v>
      </c>
      <c r="D562" s="1" t="s">
        <v>12</v>
      </c>
      <c r="E562" s="1" t="s">
        <v>66</v>
      </c>
      <c r="F562" s="1">
        <v>9042</v>
      </c>
      <c r="G562" s="10">
        <f t="shared" si="14"/>
        <v>9.0419999999999998</v>
      </c>
    </row>
    <row r="563" spans="1:7" x14ac:dyDescent="0.25">
      <c r="A563" s="1">
        <v>2024</v>
      </c>
      <c r="B563" s="1">
        <v>5</v>
      </c>
      <c r="C563" s="1">
        <v>22</v>
      </c>
      <c r="D563" s="1" t="s">
        <v>12</v>
      </c>
      <c r="E563" s="1" t="s">
        <v>66</v>
      </c>
      <c r="F563" s="1">
        <v>16661</v>
      </c>
      <c r="G563" s="10">
        <f t="shared" si="14"/>
        <v>16.661000000000001</v>
      </c>
    </row>
    <row r="564" spans="1:7" x14ac:dyDescent="0.25">
      <c r="A564" s="1">
        <v>2024</v>
      </c>
      <c r="B564" s="1">
        <v>5</v>
      </c>
      <c r="C564" s="1">
        <v>28</v>
      </c>
      <c r="D564" s="1" t="s">
        <v>10</v>
      </c>
      <c r="E564" s="1" t="s">
        <v>66</v>
      </c>
      <c r="F564" s="1">
        <v>47475</v>
      </c>
      <c r="G564" s="10">
        <f t="shared" si="14"/>
        <v>47.475000000000001</v>
      </c>
    </row>
    <row r="565" spans="1:7" x14ac:dyDescent="0.25">
      <c r="A565" s="1">
        <v>2024</v>
      </c>
      <c r="B565" s="1">
        <v>5</v>
      </c>
      <c r="C565" s="1">
        <v>29</v>
      </c>
      <c r="D565" s="1" t="s">
        <v>3</v>
      </c>
      <c r="E565" s="1" t="s">
        <v>66</v>
      </c>
      <c r="F565" s="1">
        <v>8193</v>
      </c>
      <c r="G565" s="10">
        <f t="shared" si="14"/>
        <v>8.1929999999999996</v>
      </c>
    </row>
    <row r="566" spans="1:7" x14ac:dyDescent="0.25">
      <c r="A566" s="1">
        <v>2024</v>
      </c>
      <c r="B566" s="1">
        <v>5</v>
      </c>
      <c r="C566" s="1">
        <v>29</v>
      </c>
      <c r="D566" s="1" t="s">
        <v>38</v>
      </c>
      <c r="E566" s="1" t="s">
        <v>66</v>
      </c>
      <c r="F566" s="1">
        <v>11603</v>
      </c>
      <c r="G566" s="10">
        <f t="shared" si="14"/>
        <v>11.603</v>
      </c>
    </row>
    <row r="567" spans="1:7" x14ac:dyDescent="0.25">
      <c r="A567" s="1">
        <v>2024</v>
      </c>
      <c r="B567" s="1">
        <v>5</v>
      </c>
      <c r="C567" s="1">
        <v>29</v>
      </c>
      <c r="D567" s="1" t="s">
        <v>38</v>
      </c>
      <c r="E567" s="1" t="s">
        <v>66</v>
      </c>
      <c r="F567" s="1">
        <v>11603</v>
      </c>
      <c r="G567" s="10">
        <f t="shared" si="14"/>
        <v>11.603</v>
      </c>
    </row>
    <row r="568" spans="1:7" x14ac:dyDescent="0.25">
      <c r="A568" s="1">
        <v>2024</v>
      </c>
      <c r="B568" s="1">
        <v>5</v>
      </c>
      <c r="C568" s="1">
        <v>31</v>
      </c>
      <c r="D568" s="1" t="s">
        <v>20</v>
      </c>
      <c r="E568" s="1" t="s">
        <v>66</v>
      </c>
      <c r="F568" s="1">
        <v>2724</v>
      </c>
      <c r="G568" s="10">
        <f t="shared" si="14"/>
        <v>2.7240000000000002</v>
      </c>
    </row>
    <row r="569" spans="1:7" x14ac:dyDescent="0.25">
      <c r="A569" s="1">
        <v>2024</v>
      </c>
      <c r="B569" s="1">
        <v>5</v>
      </c>
      <c r="C569" s="1">
        <v>31</v>
      </c>
      <c r="D569" s="1" t="s">
        <v>20</v>
      </c>
      <c r="E569" s="1" t="s">
        <v>66</v>
      </c>
      <c r="F569" s="1">
        <v>5994</v>
      </c>
      <c r="G569" s="10">
        <f t="shared" si="14"/>
        <v>5.9939999999999998</v>
      </c>
    </row>
    <row r="570" spans="1:7" x14ac:dyDescent="0.25">
      <c r="A570" s="1">
        <v>2024</v>
      </c>
      <c r="B570" s="1">
        <v>6</v>
      </c>
      <c r="C570" s="1">
        <v>3</v>
      </c>
      <c r="D570" s="1" t="s">
        <v>12</v>
      </c>
      <c r="E570" s="1" t="s">
        <v>66</v>
      </c>
      <c r="F570" s="1">
        <v>16163</v>
      </c>
      <c r="G570" s="10">
        <f t="shared" si="14"/>
        <v>16.163</v>
      </c>
    </row>
    <row r="571" spans="1:7" x14ac:dyDescent="0.25">
      <c r="A571" s="1">
        <v>2024</v>
      </c>
      <c r="B571" s="1">
        <v>6</v>
      </c>
      <c r="C571" s="1">
        <v>4</v>
      </c>
      <c r="D571" s="1" t="s">
        <v>5</v>
      </c>
      <c r="E571" s="1" t="s">
        <v>66</v>
      </c>
      <c r="F571" s="1">
        <v>91677</v>
      </c>
      <c r="G571" s="10">
        <f t="shared" si="14"/>
        <v>91.677000000000007</v>
      </c>
    </row>
    <row r="572" spans="1:7" x14ac:dyDescent="0.25">
      <c r="A572" s="1">
        <v>2024</v>
      </c>
      <c r="B572" s="1">
        <v>6</v>
      </c>
      <c r="C572" s="1">
        <v>12</v>
      </c>
      <c r="D572" s="1" t="s">
        <v>12</v>
      </c>
      <c r="E572" s="1" t="s">
        <v>66</v>
      </c>
      <c r="F572" s="1">
        <v>15817</v>
      </c>
      <c r="G572" s="10">
        <f t="shared" si="14"/>
        <v>15.817</v>
      </c>
    </row>
    <row r="573" spans="1:7" x14ac:dyDescent="0.25">
      <c r="A573" s="1">
        <v>2024</v>
      </c>
      <c r="B573" s="1">
        <v>6</v>
      </c>
      <c r="C573" s="1">
        <v>13</v>
      </c>
      <c r="D573" s="1" t="s">
        <v>8</v>
      </c>
      <c r="E573" s="1" t="s">
        <v>66</v>
      </c>
      <c r="F573" s="1">
        <v>9674</v>
      </c>
      <c r="G573" s="10">
        <f t="shared" si="14"/>
        <v>9.6739999999999995</v>
      </c>
    </row>
    <row r="574" spans="1:7" x14ac:dyDescent="0.25">
      <c r="A574" s="1">
        <v>2024</v>
      </c>
      <c r="B574" s="1">
        <v>6</v>
      </c>
      <c r="C574" s="1">
        <v>22</v>
      </c>
      <c r="D574" s="1" t="s">
        <v>12</v>
      </c>
      <c r="E574" s="1" t="s">
        <v>66</v>
      </c>
      <c r="F574" s="1">
        <v>16933</v>
      </c>
      <c r="G574" s="10">
        <f t="shared" ref="G574:G604" si="15">F574/1000</f>
        <v>16.933</v>
      </c>
    </row>
    <row r="575" spans="1:7" x14ac:dyDescent="0.25">
      <c r="A575" s="1">
        <v>2024</v>
      </c>
      <c r="B575" s="1">
        <v>6</v>
      </c>
      <c r="C575" s="1">
        <v>28</v>
      </c>
      <c r="D575" s="1" t="s">
        <v>12</v>
      </c>
      <c r="E575" s="1" t="s">
        <v>66</v>
      </c>
      <c r="F575" s="1">
        <v>16707</v>
      </c>
      <c r="G575" s="10">
        <f t="shared" si="15"/>
        <v>16.707000000000001</v>
      </c>
    </row>
    <row r="576" spans="1:7" x14ac:dyDescent="0.25">
      <c r="A576" s="1">
        <v>2024</v>
      </c>
      <c r="B576" s="1">
        <v>7</v>
      </c>
      <c r="C576" s="1">
        <v>2</v>
      </c>
      <c r="D576" s="1" t="s">
        <v>44</v>
      </c>
      <c r="E576" s="1" t="s">
        <v>66</v>
      </c>
      <c r="F576" s="1">
        <v>52012</v>
      </c>
      <c r="G576" s="10">
        <f t="shared" si="15"/>
        <v>52.012</v>
      </c>
    </row>
    <row r="577" spans="1:7" x14ac:dyDescent="0.25">
      <c r="A577" s="1">
        <v>2024</v>
      </c>
      <c r="B577" s="1">
        <v>7</v>
      </c>
      <c r="C577" s="1">
        <v>4</v>
      </c>
      <c r="D577" s="1" t="s">
        <v>12</v>
      </c>
      <c r="E577" s="1" t="s">
        <v>66</v>
      </c>
      <c r="F577" s="1">
        <v>15817</v>
      </c>
      <c r="G577" s="10">
        <f t="shared" si="15"/>
        <v>15.817</v>
      </c>
    </row>
    <row r="578" spans="1:7" x14ac:dyDescent="0.25">
      <c r="A578" s="1">
        <v>2024</v>
      </c>
      <c r="B578" s="1">
        <v>7</v>
      </c>
      <c r="C578" s="1">
        <v>10</v>
      </c>
      <c r="D578" s="1" t="s">
        <v>28</v>
      </c>
      <c r="E578" s="1" t="s">
        <v>66</v>
      </c>
      <c r="F578" s="1">
        <v>37781</v>
      </c>
      <c r="G578" s="10">
        <f t="shared" si="15"/>
        <v>37.780999999999999</v>
      </c>
    </row>
    <row r="579" spans="1:7" x14ac:dyDescent="0.25">
      <c r="A579" s="1">
        <v>2024</v>
      </c>
      <c r="B579" s="1">
        <v>7</v>
      </c>
      <c r="C579" s="1">
        <v>11</v>
      </c>
      <c r="D579" s="1" t="s">
        <v>28</v>
      </c>
      <c r="E579" s="1" t="s">
        <v>66</v>
      </c>
      <c r="F579" s="1">
        <v>2770</v>
      </c>
      <c r="G579" s="10">
        <f t="shared" si="15"/>
        <v>2.77</v>
      </c>
    </row>
    <row r="580" spans="1:7" x14ac:dyDescent="0.25">
      <c r="A580" s="1">
        <v>2024</v>
      </c>
      <c r="B580" s="1">
        <v>7</v>
      </c>
      <c r="C580" s="1">
        <v>12</v>
      </c>
      <c r="D580" s="1" t="s">
        <v>12</v>
      </c>
      <c r="E580" s="1" t="s">
        <v>66</v>
      </c>
      <c r="F580" s="1">
        <v>15779</v>
      </c>
      <c r="G580" s="10">
        <f t="shared" si="15"/>
        <v>15.779</v>
      </c>
    </row>
    <row r="581" spans="1:7" x14ac:dyDescent="0.25">
      <c r="A581" s="1">
        <v>2024</v>
      </c>
      <c r="B581" s="1">
        <v>7</v>
      </c>
      <c r="C581" s="1">
        <v>13</v>
      </c>
      <c r="D581" s="1" t="s">
        <v>20</v>
      </c>
      <c r="E581" s="1" t="s">
        <v>66</v>
      </c>
      <c r="F581" s="1">
        <v>2179</v>
      </c>
      <c r="G581" s="10">
        <f t="shared" si="15"/>
        <v>2.1789999999999998</v>
      </c>
    </row>
    <row r="582" spans="1:7" x14ac:dyDescent="0.25">
      <c r="A582" s="1">
        <v>2024</v>
      </c>
      <c r="B582" s="1">
        <v>7</v>
      </c>
      <c r="C582" s="1">
        <v>13</v>
      </c>
      <c r="D582" s="1" t="s">
        <v>20</v>
      </c>
      <c r="E582" s="1" t="s">
        <v>66</v>
      </c>
      <c r="F582" s="1">
        <v>5449</v>
      </c>
      <c r="G582" s="10">
        <f t="shared" si="15"/>
        <v>5.4489999999999998</v>
      </c>
    </row>
    <row r="583" spans="1:7" x14ac:dyDescent="0.25">
      <c r="A583" s="1">
        <v>2024</v>
      </c>
      <c r="B583" s="1">
        <v>7</v>
      </c>
      <c r="C583" s="1">
        <v>13</v>
      </c>
      <c r="D583" s="1" t="s">
        <v>31</v>
      </c>
      <c r="E583" s="1" t="s">
        <v>66</v>
      </c>
      <c r="F583" s="1">
        <v>41384</v>
      </c>
      <c r="G583" s="10">
        <f t="shared" si="15"/>
        <v>41.384</v>
      </c>
    </row>
    <row r="584" spans="1:7" x14ac:dyDescent="0.25">
      <c r="A584" s="1">
        <v>2024</v>
      </c>
      <c r="B584" s="1">
        <v>7</v>
      </c>
      <c r="C584" s="1">
        <v>13</v>
      </c>
      <c r="D584" s="1"/>
      <c r="E584" s="1" t="s">
        <v>66</v>
      </c>
      <c r="F584" s="1">
        <v>17409</v>
      </c>
      <c r="G584" s="10">
        <f t="shared" si="15"/>
        <v>17.408999999999999</v>
      </c>
    </row>
    <row r="585" spans="1:7" x14ac:dyDescent="0.25">
      <c r="A585" s="1">
        <v>2024</v>
      </c>
      <c r="B585" s="1">
        <v>7</v>
      </c>
      <c r="C585" s="1">
        <v>14</v>
      </c>
      <c r="D585" s="1" t="s">
        <v>5</v>
      </c>
      <c r="E585" s="1" t="s">
        <v>66</v>
      </c>
      <c r="F585" s="1">
        <v>95991</v>
      </c>
      <c r="G585" s="10">
        <f t="shared" si="15"/>
        <v>95.991</v>
      </c>
    </row>
    <row r="586" spans="1:7" x14ac:dyDescent="0.25">
      <c r="A586" s="1">
        <v>2024</v>
      </c>
      <c r="B586" s="1">
        <v>7</v>
      </c>
      <c r="C586" s="1">
        <v>16</v>
      </c>
      <c r="D586" s="1" t="s">
        <v>10</v>
      </c>
      <c r="E586" s="1" t="s">
        <v>66</v>
      </c>
      <c r="F586" s="1">
        <v>50362</v>
      </c>
      <c r="G586" s="10">
        <f t="shared" si="15"/>
        <v>50.362000000000002</v>
      </c>
    </row>
    <row r="587" spans="1:7" x14ac:dyDescent="0.25">
      <c r="A587" s="1">
        <v>2024</v>
      </c>
      <c r="B587" s="1">
        <v>7</v>
      </c>
      <c r="C587" s="1">
        <v>19</v>
      </c>
      <c r="D587" s="1" t="s">
        <v>22</v>
      </c>
      <c r="E587" s="1" t="s">
        <v>66</v>
      </c>
      <c r="F587" s="1">
        <v>41080</v>
      </c>
      <c r="G587" s="10">
        <f t="shared" si="15"/>
        <v>41.08</v>
      </c>
    </row>
    <row r="588" spans="1:7" x14ac:dyDescent="0.25">
      <c r="A588" s="1">
        <v>2024</v>
      </c>
      <c r="B588" s="1">
        <v>7</v>
      </c>
      <c r="C588" s="1">
        <v>19</v>
      </c>
      <c r="D588" s="1" t="s">
        <v>22</v>
      </c>
      <c r="E588" s="1" t="s">
        <v>66</v>
      </c>
      <c r="F588" s="1">
        <v>44036</v>
      </c>
      <c r="G588" s="10">
        <f t="shared" si="15"/>
        <v>44.036000000000001</v>
      </c>
    </row>
    <row r="589" spans="1:7" x14ac:dyDescent="0.25">
      <c r="A589" s="1">
        <v>2024</v>
      </c>
      <c r="B589" s="1">
        <v>7</v>
      </c>
      <c r="C589" s="1">
        <v>19</v>
      </c>
      <c r="D589" s="1" t="s">
        <v>22</v>
      </c>
      <c r="E589" s="1" t="s">
        <v>66</v>
      </c>
      <c r="F589" s="1">
        <v>58693</v>
      </c>
      <c r="G589" s="10">
        <f t="shared" si="15"/>
        <v>58.692999999999998</v>
      </c>
    </row>
    <row r="590" spans="1:7" x14ac:dyDescent="0.25">
      <c r="A590" s="1">
        <v>2024</v>
      </c>
      <c r="B590" s="1">
        <v>7</v>
      </c>
      <c r="C590" s="1">
        <v>22</v>
      </c>
      <c r="D590" s="1" t="s">
        <v>12</v>
      </c>
      <c r="E590" s="1" t="s">
        <v>66</v>
      </c>
      <c r="F590" s="1">
        <v>16661</v>
      </c>
      <c r="G590" s="10">
        <f t="shared" si="15"/>
        <v>16.661000000000001</v>
      </c>
    </row>
    <row r="591" spans="1:7" x14ac:dyDescent="0.25">
      <c r="A591" s="1">
        <v>2024</v>
      </c>
      <c r="B591" s="1">
        <v>7</v>
      </c>
      <c r="C591" s="1">
        <v>25</v>
      </c>
      <c r="D591" s="1" t="s">
        <v>10</v>
      </c>
      <c r="E591" s="1" t="s">
        <v>84</v>
      </c>
      <c r="F591" s="1">
        <v>27738</v>
      </c>
      <c r="G591" s="10">
        <f t="shared" si="15"/>
        <v>27.738</v>
      </c>
    </row>
    <row r="592" spans="1:7" x14ac:dyDescent="0.25">
      <c r="A592" s="1">
        <v>2024</v>
      </c>
      <c r="B592" s="1">
        <v>7</v>
      </c>
      <c r="C592" s="1">
        <v>31</v>
      </c>
      <c r="D592" s="1" t="s">
        <v>12</v>
      </c>
      <c r="E592" s="1" t="s">
        <v>66</v>
      </c>
      <c r="F592" s="1">
        <v>16933</v>
      </c>
      <c r="G592" s="10">
        <f t="shared" si="15"/>
        <v>16.933</v>
      </c>
    </row>
    <row r="593" spans="1:7" x14ac:dyDescent="0.25">
      <c r="A593" s="1">
        <v>2024</v>
      </c>
      <c r="B593" s="1">
        <v>7</v>
      </c>
      <c r="C593" s="1">
        <v>31</v>
      </c>
      <c r="D593" s="1" t="s">
        <v>10</v>
      </c>
      <c r="E593" s="1" t="s">
        <v>66</v>
      </c>
      <c r="F593" s="1">
        <v>28700</v>
      </c>
      <c r="G593" s="10">
        <f t="shared" si="15"/>
        <v>28.7</v>
      </c>
    </row>
    <row r="594" spans="1:7" x14ac:dyDescent="0.25">
      <c r="A594" s="1">
        <v>2024</v>
      </c>
      <c r="B594" s="1">
        <v>8</v>
      </c>
      <c r="C594" s="1">
        <v>3</v>
      </c>
      <c r="D594" s="1" t="s">
        <v>12</v>
      </c>
      <c r="E594" s="1" t="s">
        <v>66</v>
      </c>
      <c r="F594" s="1">
        <v>16661</v>
      </c>
      <c r="G594" s="10">
        <f t="shared" si="15"/>
        <v>16.661000000000001</v>
      </c>
    </row>
    <row r="595" spans="1:7" x14ac:dyDescent="0.25">
      <c r="A595" s="1">
        <v>2024</v>
      </c>
      <c r="B595" s="1">
        <v>8</v>
      </c>
      <c r="C595" s="1">
        <v>7</v>
      </c>
      <c r="D595" s="1" t="s">
        <v>12</v>
      </c>
      <c r="E595" s="1" t="s">
        <v>66</v>
      </c>
      <c r="F595" s="1">
        <v>16722</v>
      </c>
      <c r="G595" s="10">
        <f t="shared" si="15"/>
        <v>16.722000000000001</v>
      </c>
    </row>
    <row r="596" spans="1:7" x14ac:dyDescent="0.25">
      <c r="A596" s="1">
        <v>2024</v>
      </c>
      <c r="B596" s="1">
        <v>8</v>
      </c>
      <c r="C596" s="1">
        <v>11</v>
      </c>
      <c r="D596" s="1" t="s">
        <v>12</v>
      </c>
      <c r="E596" s="1" t="s">
        <v>66</v>
      </c>
      <c r="F596" s="1">
        <v>16715</v>
      </c>
      <c r="G596" s="10">
        <f t="shared" si="15"/>
        <v>16.715</v>
      </c>
    </row>
    <row r="597" spans="1:7" x14ac:dyDescent="0.25">
      <c r="A597" s="1">
        <v>2024</v>
      </c>
      <c r="B597" s="1">
        <v>8</v>
      </c>
      <c r="C597" s="1">
        <v>12</v>
      </c>
      <c r="D597" s="1" t="s">
        <v>10</v>
      </c>
      <c r="E597" s="1" t="s">
        <v>66</v>
      </c>
      <c r="F597" s="1">
        <v>76334</v>
      </c>
      <c r="G597" s="10">
        <f t="shared" si="15"/>
        <v>76.334000000000003</v>
      </c>
    </row>
    <row r="598" spans="1:7" x14ac:dyDescent="0.25">
      <c r="A598" s="1">
        <v>2024</v>
      </c>
      <c r="B598" s="1">
        <v>8</v>
      </c>
      <c r="C598" s="1">
        <v>13</v>
      </c>
      <c r="D598" s="1" t="s">
        <v>10</v>
      </c>
      <c r="E598" s="1" t="s">
        <v>66</v>
      </c>
      <c r="F598" s="1">
        <v>54380</v>
      </c>
      <c r="G598" s="10">
        <f t="shared" si="15"/>
        <v>54.38</v>
      </c>
    </row>
    <row r="599" spans="1:7" x14ac:dyDescent="0.25">
      <c r="A599" s="1">
        <v>2024</v>
      </c>
      <c r="B599" s="1">
        <v>8</v>
      </c>
      <c r="C599" s="1">
        <v>15</v>
      </c>
      <c r="D599" s="1" t="s">
        <v>12</v>
      </c>
      <c r="E599" s="1" t="s">
        <v>66</v>
      </c>
      <c r="F599" s="1">
        <v>16722</v>
      </c>
      <c r="G599" s="10">
        <f t="shared" si="15"/>
        <v>16.722000000000001</v>
      </c>
    </row>
    <row r="600" spans="1:7" x14ac:dyDescent="0.25">
      <c r="A600" s="1">
        <v>2024</v>
      </c>
      <c r="B600" s="1">
        <v>8</v>
      </c>
      <c r="C600" s="1">
        <v>17</v>
      </c>
      <c r="D600" s="1" t="s">
        <v>5</v>
      </c>
      <c r="E600" s="1" t="s">
        <v>66</v>
      </c>
      <c r="F600" s="1">
        <v>49388</v>
      </c>
      <c r="G600" s="10">
        <f t="shared" si="15"/>
        <v>49.387999999999998</v>
      </c>
    </row>
    <row r="601" spans="1:7" x14ac:dyDescent="0.25">
      <c r="A601" s="1">
        <v>2024</v>
      </c>
      <c r="B601" s="1">
        <v>8</v>
      </c>
      <c r="C601" s="1">
        <v>18</v>
      </c>
      <c r="D601" s="1" t="s">
        <v>12</v>
      </c>
      <c r="E601" s="1" t="s">
        <v>66</v>
      </c>
      <c r="F601" s="1">
        <v>10741</v>
      </c>
      <c r="G601" s="10">
        <f t="shared" si="15"/>
        <v>10.741</v>
      </c>
    </row>
    <row r="602" spans="1:7" x14ac:dyDescent="0.25">
      <c r="A602" s="1">
        <v>2024</v>
      </c>
      <c r="B602" s="1">
        <v>8</v>
      </c>
      <c r="C602" s="1">
        <v>19</v>
      </c>
      <c r="D602" s="1" t="s">
        <v>5</v>
      </c>
      <c r="E602" s="1" t="s">
        <v>66</v>
      </c>
      <c r="F602" s="1">
        <v>50967</v>
      </c>
      <c r="G602" s="10">
        <f t="shared" si="15"/>
        <v>50.966999999999999</v>
      </c>
    </row>
    <row r="603" spans="1:7" x14ac:dyDescent="0.25">
      <c r="A603" s="1">
        <v>2024</v>
      </c>
      <c r="B603" s="1">
        <v>8</v>
      </c>
      <c r="C603" s="1">
        <v>24</v>
      </c>
      <c r="D603" s="1" t="s">
        <v>12</v>
      </c>
      <c r="E603" s="1" t="s">
        <v>66</v>
      </c>
      <c r="F603" s="1">
        <v>16722</v>
      </c>
      <c r="G603" s="10">
        <f t="shared" si="15"/>
        <v>16.722000000000001</v>
      </c>
    </row>
    <row r="604" spans="1:7" x14ac:dyDescent="0.25">
      <c r="A604" s="1">
        <v>2024</v>
      </c>
      <c r="B604" s="1">
        <v>8</v>
      </c>
      <c r="C604" s="1">
        <v>25</v>
      </c>
      <c r="D604" s="1" t="s">
        <v>20</v>
      </c>
      <c r="E604" s="1" t="s">
        <v>66</v>
      </c>
      <c r="F604" s="1">
        <v>8175</v>
      </c>
      <c r="G604" s="10">
        <f t="shared" si="15"/>
        <v>8.1750000000000007</v>
      </c>
    </row>
    <row r="605" spans="1:7" x14ac:dyDescent="0.25">
      <c r="A605" s="1">
        <v>2024</v>
      </c>
      <c r="B605" s="1">
        <v>8</v>
      </c>
      <c r="C605" s="1">
        <v>30</v>
      </c>
      <c r="D605" s="1" t="s">
        <v>22</v>
      </c>
      <c r="E605" s="1" t="s">
        <v>66</v>
      </c>
      <c r="F605" s="1">
        <v>27195</v>
      </c>
      <c r="G605" s="10">
        <f t="shared" ref="G605:G645" si="16">F605/1000</f>
        <v>27.195</v>
      </c>
    </row>
    <row r="606" spans="1:7" x14ac:dyDescent="0.25">
      <c r="A606" s="1">
        <v>2024</v>
      </c>
      <c r="B606" s="1">
        <v>8</v>
      </c>
      <c r="C606" s="1">
        <v>30</v>
      </c>
      <c r="D606" s="1" t="s">
        <v>22</v>
      </c>
      <c r="E606" s="1" t="s">
        <v>66</v>
      </c>
      <c r="F606" s="1">
        <v>43225</v>
      </c>
      <c r="G606" s="10">
        <f t="shared" si="16"/>
        <v>43.225000000000001</v>
      </c>
    </row>
    <row r="607" spans="1:7" x14ac:dyDescent="0.25">
      <c r="A607" s="1">
        <v>2024</v>
      </c>
      <c r="B607" s="1">
        <v>8</v>
      </c>
      <c r="C607" s="1">
        <v>30</v>
      </c>
      <c r="D607" s="1" t="s">
        <v>22</v>
      </c>
      <c r="E607" s="1" t="s">
        <v>66</v>
      </c>
      <c r="F607" s="1">
        <v>36651</v>
      </c>
      <c r="G607" s="10">
        <f t="shared" si="16"/>
        <v>36.651000000000003</v>
      </c>
    </row>
    <row r="608" spans="1:7" x14ac:dyDescent="0.25">
      <c r="A608" s="1">
        <v>2024</v>
      </c>
      <c r="B608" s="1">
        <v>8</v>
      </c>
      <c r="C608" s="1">
        <v>30</v>
      </c>
      <c r="D608" s="1" t="s">
        <v>22</v>
      </c>
      <c r="E608" s="1" t="s">
        <v>66</v>
      </c>
      <c r="F608" s="1">
        <v>19569</v>
      </c>
      <c r="G608" s="10">
        <f t="shared" si="16"/>
        <v>19.568999999999999</v>
      </c>
    </row>
    <row r="609" spans="1:7" x14ac:dyDescent="0.25">
      <c r="A609" s="1">
        <v>2024</v>
      </c>
      <c r="B609" s="1">
        <v>8</v>
      </c>
      <c r="C609" s="1">
        <v>30</v>
      </c>
      <c r="D609" s="1" t="s">
        <v>22</v>
      </c>
      <c r="E609" s="1" t="s">
        <v>66</v>
      </c>
      <c r="F609" s="1">
        <v>22167</v>
      </c>
      <c r="G609" s="10">
        <f t="shared" si="16"/>
        <v>22.167000000000002</v>
      </c>
    </row>
    <row r="610" spans="1:7" x14ac:dyDescent="0.25">
      <c r="A610" s="1">
        <v>2024</v>
      </c>
      <c r="B610" s="1">
        <v>9</v>
      </c>
      <c r="C610" s="1">
        <v>1</v>
      </c>
      <c r="D610" s="1" t="s">
        <v>12</v>
      </c>
      <c r="E610" s="1" t="s">
        <v>66</v>
      </c>
      <c r="F610" s="1">
        <v>13101</v>
      </c>
      <c r="G610" s="10">
        <f t="shared" si="16"/>
        <v>13.101000000000001</v>
      </c>
    </row>
    <row r="611" spans="1:7" x14ac:dyDescent="0.25">
      <c r="A611" s="1">
        <v>2024</v>
      </c>
      <c r="B611" s="1">
        <v>9</v>
      </c>
      <c r="C611" s="1">
        <v>4</v>
      </c>
      <c r="D611" s="1" t="s">
        <v>12</v>
      </c>
      <c r="E611" s="1" t="s">
        <v>66</v>
      </c>
      <c r="F611" s="1">
        <v>3620</v>
      </c>
      <c r="G611" s="10">
        <f t="shared" si="16"/>
        <v>3.62</v>
      </c>
    </row>
    <row r="612" spans="1:7" x14ac:dyDescent="0.25">
      <c r="A612" s="1">
        <v>2024</v>
      </c>
      <c r="B612" s="1">
        <v>9</v>
      </c>
      <c r="C612" s="1">
        <v>5</v>
      </c>
      <c r="D612" s="1" t="s">
        <v>12</v>
      </c>
      <c r="E612" s="1" t="s">
        <v>66</v>
      </c>
      <c r="F612" s="1">
        <v>17055</v>
      </c>
      <c r="G612" s="10">
        <f t="shared" si="16"/>
        <v>17.055</v>
      </c>
    </row>
    <row r="613" spans="1:7" x14ac:dyDescent="0.25">
      <c r="A613" s="1">
        <v>2024</v>
      </c>
      <c r="B613" s="1">
        <v>9</v>
      </c>
      <c r="C613" s="1">
        <v>7</v>
      </c>
      <c r="D613" s="1" t="s">
        <v>47</v>
      </c>
      <c r="E613" s="1" t="s">
        <v>66</v>
      </c>
      <c r="F613" s="1">
        <v>4502</v>
      </c>
      <c r="G613" s="10">
        <f t="shared" si="16"/>
        <v>4.5019999999999998</v>
      </c>
    </row>
    <row r="614" spans="1:7" x14ac:dyDescent="0.25">
      <c r="A614" s="1">
        <v>2024</v>
      </c>
      <c r="B614" s="1">
        <v>9</v>
      </c>
      <c r="C614" s="1">
        <v>7</v>
      </c>
      <c r="D614" s="1" t="s">
        <v>8</v>
      </c>
      <c r="E614" s="1" t="s">
        <v>66</v>
      </c>
      <c r="F614" s="1">
        <v>23307</v>
      </c>
      <c r="G614" s="10">
        <f t="shared" si="16"/>
        <v>23.306999999999999</v>
      </c>
    </row>
    <row r="615" spans="1:7" x14ac:dyDescent="0.25">
      <c r="A615" s="1">
        <v>2024</v>
      </c>
      <c r="B615" s="1">
        <v>9</v>
      </c>
      <c r="C615" s="1">
        <v>9</v>
      </c>
      <c r="D615" s="1" t="s">
        <v>10</v>
      </c>
      <c r="E615" s="1" t="s">
        <v>66</v>
      </c>
      <c r="F615" s="1">
        <v>61208</v>
      </c>
      <c r="G615" s="10">
        <f t="shared" si="16"/>
        <v>61.207999999999998</v>
      </c>
    </row>
    <row r="616" spans="1:7" x14ac:dyDescent="0.25">
      <c r="A616" s="1">
        <v>2024</v>
      </c>
      <c r="B616" s="1">
        <v>9</v>
      </c>
      <c r="C616" s="1">
        <v>10</v>
      </c>
      <c r="D616" s="1" t="s">
        <v>12</v>
      </c>
      <c r="E616" s="1" t="s">
        <v>66</v>
      </c>
      <c r="F616" s="1">
        <v>16661</v>
      </c>
      <c r="G616" s="10">
        <f t="shared" si="16"/>
        <v>16.661000000000001</v>
      </c>
    </row>
    <row r="617" spans="1:7" x14ac:dyDescent="0.25">
      <c r="A617" s="1">
        <v>2024</v>
      </c>
      <c r="B617" s="1">
        <v>9</v>
      </c>
      <c r="C617" s="1">
        <v>12</v>
      </c>
      <c r="D617" s="1" t="s">
        <v>50</v>
      </c>
      <c r="E617" s="1" t="s">
        <v>66</v>
      </c>
      <c r="F617" s="1">
        <v>42154</v>
      </c>
      <c r="G617" s="10">
        <f t="shared" si="16"/>
        <v>42.154000000000003</v>
      </c>
    </row>
    <row r="618" spans="1:7" x14ac:dyDescent="0.25">
      <c r="A618" s="1">
        <v>2024</v>
      </c>
      <c r="B618" s="1">
        <v>9</v>
      </c>
      <c r="C618" s="1">
        <v>13</v>
      </c>
      <c r="D618" s="1" t="s">
        <v>5</v>
      </c>
      <c r="E618" s="1" t="s">
        <v>66</v>
      </c>
      <c r="F618" s="1">
        <v>66901</v>
      </c>
      <c r="G618" s="10">
        <f t="shared" si="16"/>
        <v>66.900999999999996</v>
      </c>
    </row>
    <row r="619" spans="1:7" x14ac:dyDescent="0.25">
      <c r="A619" s="1">
        <v>2024</v>
      </c>
      <c r="B619" s="1">
        <v>9</v>
      </c>
      <c r="C619" s="1">
        <v>13</v>
      </c>
      <c r="D619" s="1" t="s">
        <v>12</v>
      </c>
      <c r="E619" s="1" t="s">
        <v>66</v>
      </c>
      <c r="F619" s="1">
        <v>16722</v>
      </c>
      <c r="G619" s="10">
        <f t="shared" si="16"/>
        <v>16.722000000000001</v>
      </c>
    </row>
    <row r="620" spans="1:7" x14ac:dyDescent="0.25">
      <c r="A620" s="1">
        <v>2024</v>
      </c>
      <c r="B620" s="1">
        <v>9</v>
      </c>
      <c r="C620" s="1">
        <v>18</v>
      </c>
      <c r="D620" s="1" t="s">
        <v>14</v>
      </c>
      <c r="E620" s="1" t="s">
        <v>66</v>
      </c>
      <c r="F620" s="1">
        <v>60525</v>
      </c>
      <c r="G620" s="10">
        <f t="shared" si="16"/>
        <v>60.524999999999999</v>
      </c>
    </row>
    <row r="621" spans="1:7" x14ac:dyDescent="0.25">
      <c r="A621" s="1">
        <v>2024</v>
      </c>
      <c r="B621" s="1">
        <v>9</v>
      </c>
      <c r="C621" s="1">
        <v>20</v>
      </c>
      <c r="D621" s="1" t="s">
        <v>12</v>
      </c>
      <c r="E621" s="1" t="s">
        <v>66</v>
      </c>
      <c r="F621" s="1">
        <v>16722</v>
      </c>
      <c r="G621" s="10">
        <f t="shared" si="16"/>
        <v>16.722000000000001</v>
      </c>
    </row>
    <row r="622" spans="1:7" x14ac:dyDescent="0.25">
      <c r="A622" s="1">
        <v>2024</v>
      </c>
      <c r="B622" s="1">
        <v>9</v>
      </c>
      <c r="C622" s="1">
        <v>23</v>
      </c>
      <c r="D622" s="1" t="s">
        <v>10</v>
      </c>
      <c r="E622" s="1" t="s">
        <v>66</v>
      </c>
      <c r="F622" s="1">
        <v>67145</v>
      </c>
      <c r="G622" s="10">
        <f t="shared" si="16"/>
        <v>67.144999999999996</v>
      </c>
    </row>
    <row r="623" spans="1:7" x14ac:dyDescent="0.25">
      <c r="A623" s="1">
        <v>2024</v>
      </c>
      <c r="B623" s="1">
        <v>9</v>
      </c>
      <c r="C623" s="1">
        <v>24</v>
      </c>
      <c r="D623" s="1" t="s">
        <v>31</v>
      </c>
      <c r="E623" s="1" t="s">
        <v>66</v>
      </c>
      <c r="F623" s="1">
        <v>43600</v>
      </c>
      <c r="G623" s="10">
        <f t="shared" si="16"/>
        <v>43.6</v>
      </c>
    </row>
    <row r="624" spans="1:7" x14ac:dyDescent="0.25">
      <c r="A624" s="1">
        <v>2024</v>
      </c>
      <c r="B624" s="1">
        <v>9</v>
      </c>
      <c r="C624" s="1">
        <v>26</v>
      </c>
      <c r="D624" s="1" t="s">
        <v>8</v>
      </c>
      <c r="E624" s="1" t="s">
        <v>66</v>
      </c>
      <c r="F624" s="1">
        <v>4931</v>
      </c>
      <c r="G624" s="10">
        <f t="shared" si="16"/>
        <v>4.931</v>
      </c>
    </row>
    <row r="625" spans="1:7" x14ac:dyDescent="0.25">
      <c r="A625" s="1">
        <v>2024</v>
      </c>
      <c r="B625" s="1">
        <v>9</v>
      </c>
      <c r="C625" s="1">
        <v>29</v>
      </c>
      <c r="D625" s="1" t="s">
        <v>12</v>
      </c>
      <c r="E625" s="1" t="s">
        <v>66</v>
      </c>
      <c r="F625" s="1">
        <v>16934</v>
      </c>
      <c r="G625" s="10">
        <f t="shared" si="16"/>
        <v>16.934000000000001</v>
      </c>
    </row>
    <row r="626" spans="1:7" x14ac:dyDescent="0.25">
      <c r="A626" s="1">
        <v>2024</v>
      </c>
      <c r="B626" s="1">
        <v>10</v>
      </c>
      <c r="C626" s="1">
        <v>2</v>
      </c>
      <c r="D626" s="1" t="s">
        <v>8</v>
      </c>
      <c r="E626" s="1" t="s">
        <v>66</v>
      </c>
      <c r="F626" s="1">
        <v>5702</v>
      </c>
      <c r="G626" s="10">
        <f t="shared" si="16"/>
        <v>5.702</v>
      </c>
    </row>
    <row r="627" spans="1:7" x14ac:dyDescent="0.25">
      <c r="A627" s="1">
        <v>2024</v>
      </c>
      <c r="B627" s="1">
        <v>10</v>
      </c>
      <c r="C627" s="1">
        <v>3</v>
      </c>
      <c r="D627" s="1" t="s">
        <v>12</v>
      </c>
      <c r="E627" s="1" t="s">
        <v>66</v>
      </c>
      <c r="F627" s="1">
        <v>16722</v>
      </c>
      <c r="G627" s="10">
        <f t="shared" si="16"/>
        <v>16.722000000000001</v>
      </c>
    </row>
    <row r="628" spans="1:7" x14ac:dyDescent="0.25">
      <c r="A628" s="1">
        <v>2024</v>
      </c>
      <c r="B628" s="1">
        <v>10</v>
      </c>
      <c r="C628" s="1">
        <v>5</v>
      </c>
      <c r="D628" s="1" t="s">
        <v>98</v>
      </c>
      <c r="E628" s="1" t="s">
        <v>66</v>
      </c>
      <c r="F628" s="1">
        <v>4987</v>
      </c>
      <c r="G628" s="10">
        <f t="shared" si="16"/>
        <v>4.9870000000000001</v>
      </c>
    </row>
    <row r="629" spans="1:7" x14ac:dyDescent="0.25">
      <c r="A629" s="1">
        <v>2024</v>
      </c>
      <c r="B629" s="1">
        <v>10</v>
      </c>
      <c r="C629" s="1">
        <v>7</v>
      </c>
      <c r="D629" s="1" t="s">
        <v>12</v>
      </c>
      <c r="E629" s="1" t="s">
        <v>66</v>
      </c>
      <c r="F629" s="1">
        <v>15779</v>
      </c>
      <c r="G629" s="10">
        <f t="shared" si="16"/>
        <v>15.779</v>
      </c>
    </row>
    <row r="630" spans="1:7" x14ac:dyDescent="0.25">
      <c r="A630" s="1">
        <v>2024</v>
      </c>
      <c r="B630" s="1">
        <v>10</v>
      </c>
      <c r="C630" s="1">
        <v>7</v>
      </c>
      <c r="D630" s="1" t="s">
        <v>36</v>
      </c>
      <c r="E630" s="1" t="s">
        <v>66</v>
      </c>
      <c r="F630" s="1">
        <v>37696</v>
      </c>
      <c r="G630" s="10">
        <f t="shared" si="16"/>
        <v>37.695999999999998</v>
      </c>
    </row>
    <row r="631" spans="1:7" x14ac:dyDescent="0.25">
      <c r="A631" s="1">
        <v>2024</v>
      </c>
      <c r="B631" s="1">
        <v>10</v>
      </c>
      <c r="C631" s="1">
        <v>7</v>
      </c>
      <c r="D631" s="1" t="s">
        <v>14</v>
      </c>
      <c r="E631" s="1" t="s">
        <v>66</v>
      </c>
      <c r="F631" s="1">
        <v>21971</v>
      </c>
      <c r="G631" s="10">
        <f t="shared" si="16"/>
        <v>21.971</v>
      </c>
    </row>
    <row r="632" spans="1:7" x14ac:dyDescent="0.25">
      <c r="A632" s="1">
        <v>2024</v>
      </c>
      <c r="B632" s="1">
        <v>10</v>
      </c>
      <c r="C632" s="1">
        <v>7</v>
      </c>
      <c r="D632" s="1" t="s">
        <v>10</v>
      </c>
      <c r="E632" s="1" t="s">
        <v>84</v>
      </c>
      <c r="F632" s="1">
        <v>70039</v>
      </c>
      <c r="G632" s="10">
        <f t="shared" si="16"/>
        <v>70.039000000000001</v>
      </c>
    </row>
    <row r="633" spans="1:7" x14ac:dyDescent="0.25">
      <c r="A633" s="1">
        <v>2024</v>
      </c>
      <c r="B633" s="1">
        <v>10</v>
      </c>
      <c r="C633" s="1">
        <v>11</v>
      </c>
      <c r="D633" s="1" t="s">
        <v>12</v>
      </c>
      <c r="E633" s="1" t="s">
        <v>66</v>
      </c>
      <c r="F633" s="1">
        <v>11917</v>
      </c>
      <c r="G633" s="10">
        <f t="shared" si="16"/>
        <v>11.917</v>
      </c>
    </row>
    <row r="634" spans="1:7" x14ac:dyDescent="0.25">
      <c r="A634" s="1">
        <v>2024</v>
      </c>
      <c r="B634" s="1">
        <v>10</v>
      </c>
      <c r="C634" s="1">
        <v>13</v>
      </c>
      <c r="D634" s="1" t="s">
        <v>12</v>
      </c>
      <c r="E634" s="1" t="s">
        <v>66</v>
      </c>
      <c r="F634" s="1">
        <v>3373</v>
      </c>
      <c r="G634" s="10">
        <f t="shared" si="16"/>
        <v>3.3730000000000002</v>
      </c>
    </row>
    <row r="635" spans="1:7" x14ac:dyDescent="0.25">
      <c r="A635" s="1">
        <v>2024</v>
      </c>
      <c r="B635" s="1">
        <v>10</v>
      </c>
      <c r="C635" s="1">
        <v>14</v>
      </c>
      <c r="D635" s="1" t="s">
        <v>5</v>
      </c>
      <c r="E635" s="1" t="s">
        <v>66</v>
      </c>
      <c r="F635" s="1">
        <v>99493</v>
      </c>
      <c r="G635" s="10">
        <f t="shared" si="16"/>
        <v>99.492999999999995</v>
      </c>
    </row>
    <row r="636" spans="1:7" x14ac:dyDescent="0.25">
      <c r="A636" s="1">
        <v>2024</v>
      </c>
      <c r="B636" s="1">
        <v>10</v>
      </c>
      <c r="C636" s="1">
        <v>16</v>
      </c>
      <c r="D636" s="1" t="s">
        <v>12</v>
      </c>
      <c r="E636" s="1" t="s">
        <v>66</v>
      </c>
      <c r="F636" s="1">
        <v>15779</v>
      </c>
      <c r="G636" s="10">
        <f t="shared" si="16"/>
        <v>15.779</v>
      </c>
    </row>
    <row r="637" spans="1:7" x14ac:dyDescent="0.25">
      <c r="A637" s="1">
        <v>2024</v>
      </c>
      <c r="B637" s="1">
        <v>10</v>
      </c>
      <c r="C637" s="1">
        <v>19</v>
      </c>
      <c r="D637" s="1" t="s">
        <v>20</v>
      </c>
      <c r="E637" s="1" t="s">
        <v>66</v>
      </c>
      <c r="F637" s="1">
        <v>33545</v>
      </c>
      <c r="G637" s="10">
        <f t="shared" si="16"/>
        <v>33.545000000000002</v>
      </c>
    </row>
    <row r="638" spans="1:7" x14ac:dyDescent="0.25">
      <c r="A638" s="1">
        <v>2024</v>
      </c>
      <c r="B638" s="1">
        <v>10</v>
      </c>
      <c r="C638" s="1">
        <v>24</v>
      </c>
      <c r="D638" s="1" t="s">
        <v>10</v>
      </c>
      <c r="E638" s="1" t="s">
        <v>66</v>
      </c>
      <c r="F638" s="1">
        <v>35107</v>
      </c>
      <c r="G638" s="10">
        <f t="shared" si="16"/>
        <v>35.106999999999999</v>
      </c>
    </row>
    <row r="639" spans="1:7" x14ac:dyDescent="0.25">
      <c r="A639" s="1">
        <v>2024</v>
      </c>
      <c r="B639" s="1">
        <v>10</v>
      </c>
      <c r="C639" s="1">
        <v>26</v>
      </c>
      <c r="D639" s="1" t="s">
        <v>14</v>
      </c>
      <c r="E639" s="1" t="s">
        <v>66</v>
      </c>
      <c r="F639" s="1">
        <v>68802</v>
      </c>
      <c r="G639" s="10">
        <f t="shared" si="16"/>
        <v>68.802000000000007</v>
      </c>
    </row>
    <row r="640" spans="1:7" x14ac:dyDescent="0.25">
      <c r="A640" s="1">
        <v>2024</v>
      </c>
      <c r="B640" s="1">
        <v>10</v>
      </c>
      <c r="C640" s="1">
        <v>26</v>
      </c>
      <c r="D640" s="1" t="s">
        <v>14</v>
      </c>
      <c r="E640" s="1" t="s">
        <v>66</v>
      </c>
      <c r="F640" s="1">
        <v>17199</v>
      </c>
      <c r="G640" s="10">
        <f t="shared" si="16"/>
        <v>17.199000000000002</v>
      </c>
    </row>
    <row r="641" spans="1:15" x14ac:dyDescent="0.25">
      <c r="A641" s="1">
        <v>2024</v>
      </c>
      <c r="B641" s="1">
        <v>10</v>
      </c>
      <c r="C641" s="1">
        <v>26</v>
      </c>
      <c r="D641" s="1" t="s">
        <v>10</v>
      </c>
      <c r="E641" s="1" t="s">
        <v>66</v>
      </c>
      <c r="F641" s="1">
        <v>35107</v>
      </c>
      <c r="G641" s="10">
        <f t="shared" si="16"/>
        <v>35.106999999999999</v>
      </c>
    </row>
    <row r="642" spans="1:15" x14ac:dyDescent="0.25">
      <c r="A642" s="1">
        <v>2024</v>
      </c>
      <c r="B642" s="1">
        <v>10</v>
      </c>
      <c r="C642" s="1">
        <v>27</v>
      </c>
      <c r="D642" s="1" t="s">
        <v>53</v>
      </c>
      <c r="E642" s="1" t="s">
        <v>84</v>
      </c>
      <c r="F642" s="1">
        <v>1462</v>
      </c>
      <c r="G642" s="10">
        <f t="shared" si="16"/>
        <v>1.462</v>
      </c>
    </row>
    <row r="643" spans="1:15" x14ac:dyDescent="0.25">
      <c r="A643" s="1">
        <v>2024</v>
      </c>
      <c r="B643" s="1">
        <v>10</v>
      </c>
      <c r="C643" s="1">
        <v>28</v>
      </c>
      <c r="D643" s="1" t="s">
        <v>12</v>
      </c>
      <c r="E643" s="1" t="s">
        <v>66</v>
      </c>
      <c r="F643" s="1">
        <v>16722</v>
      </c>
      <c r="G643" s="10">
        <f t="shared" si="16"/>
        <v>16.722000000000001</v>
      </c>
    </row>
    <row r="644" spans="1:15" x14ac:dyDescent="0.25">
      <c r="A644" s="1">
        <v>2024</v>
      </c>
      <c r="B644" s="1">
        <v>10</v>
      </c>
      <c r="C644" s="1">
        <v>31</v>
      </c>
      <c r="D644" s="1" t="s">
        <v>12</v>
      </c>
      <c r="E644" s="1" t="s">
        <v>66</v>
      </c>
      <c r="F644" s="1">
        <v>16593</v>
      </c>
      <c r="G644" s="10">
        <f t="shared" si="16"/>
        <v>16.593</v>
      </c>
    </row>
    <row r="645" spans="1:15" x14ac:dyDescent="0.25">
      <c r="A645" s="1">
        <v>2024</v>
      </c>
      <c r="B645" s="1">
        <v>10</v>
      </c>
      <c r="C645" s="1">
        <v>31</v>
      </c>
      <c r="D645" s="1" t="s">
        <v>14</v>
      </c>
      <c r="E645" s="1" t="s">
        <v>66</v>
      </c>
      <c r="F645" s="1">
        <v>25717</v>
      </c>
      <c r="G645" s="10">
        <f t="shared" si="16"/>
        <v>25.716999999999999</v>
      </c>
    </row>
    <row r="646" spans="1:15" x14ac:dyDescent="0.25">
      <c r="A646" s="1">
        <v>2024</v>
      </c>
      <c r="B646">
        <v>11</v>
      </c>
      <c r="C646" s="11">
        <v>2</v>
      </c>
      <c r="D646" s="12" t="s">
        <v>14</v>
      </c>
      <c r="E646" s="1" t="s">
        <v>66</v>
      </c>
      <c r="F646" s="12">
        <v>8600</v>
      </c>
      <c r="G646" s="10">
        <f t="shared" ref="G646:G690" si="17">F646/1000</f>
        <v>8.6</v>
      </c>
    </row>
    <row r="647" spans="1:15" x14ac:dyDescent="0.25">
      <c r="A647" s="1">
        <v>2024</v>
      </c>
      <c r="B647">
        <v>11</v>
      </c>
      <c r="C647" s="11">
        <v>3</v>
      </c>
      <c r="D647" s="12" t="s">
        <v>12</v>
      </c>
      <c r="E647" s="1" t="s">
        <v>66</v>
      </c>
      <c r="F647" s="12">
        <v>16100</v>
      </c>
      <c r="G647" s="10">
        <f t="shared" si="17"/>
        <v>16.100000000000001</v>
      </c>
    </row>
    <row r="648" spans="1:15" x14ac:dyDescent="0.25">
      <c r="A648" s="1">
        <v>2024</v>
      </c>
      <c r="B648">
        <v>11</v>
      </c>
      <c r="C648" s="11">
        <v>4</v>
      </c>
      <c r="D648" s="12" t="s">
        <v>36</v>
      </c>
      <c r="E648" s="1" t="s">
        <v>84</v>
      </c>
      <c r="F648" s="12">
        <v>2300</v>
      </c>
      <c r="G648" s="10">
        <f t="shared" si="17"/>
        <v>2.2999999999999998</v>
      </c>
    </row>
    <row r="649" spans="1:15" x14ac:dyDescent="0.25">
      <c r="A649" s="1">
        <v>2024</v>
      </c>
      <c r="B649">
        <v>11</v>
      </c>
      <c r="C649" s="11">
        <v>5</v>
      </c>
      <c r="D649" s="1" t="s">
        <v>31</v>
      </c>
      <c r="E649" s="1" t="s">
        <v>66</v>
      </c>
      <c r="F649" s="12">
        <v>100500</v>
      </c>
      <c r="G649" s="10">
        <f t="shared" si="17"/>
        <v>100.5</v>
      </c>
    </row>
    <row r="650" spans="1:15" x14ac:dyDescent="0.25">
      <c r="A650" s="1">
        <v>2024</v>
      </c>
      <c r="B650">
        <v>11</v>
      </c>
      <c r="C650" s="11">
        <v>8</v>
      </c>
      <c r="D650" s="12" t="s">
        <v>12</v>
      </c>
      <c r="E650" s="1" t="s">
        <v>66</v>
      </c>
      <c r="F650" s="12">
        <v>15100</v>
      </c>
      <c r="G650" s="10">
        <f t="shared" si="17"/>
        <v>15.1</v>
      </c>
    </row>
    <row r="651" spans="1:15" x14ac:dyDescent="0.25">
      <c r="A651" s="1">
        <v>2024</v>
      </c>
      <c r="B651">
        <v>11</v>
      </c>
      <c r="C651" s="11">
        <v>13</v>
      </c>
      <c r="D651" s="12" t="s">
        <v>12</v>
      </c>
      <c r="E651" s="1" t="s">
        <v>66</v>
      </c>
      <c r="F651" s="12">
        <v>15600</v>
      </c>
      <c r="G651" s="10">
        <f t="shared" si="17"/>
        <v>15.6</v>
      </c>
    </row>
    <row r="652" spans="1:15" x14ac:dyDescent="0.25">
      <c r="A652" s="1">
        <v>2024</v>
      </c>
      <c r="B652">
        <v>11</v>
      </c>
      <c r="C652" s="11">
        <v>14</v>
      </c>
      <c r="D652" s="12" t="s">
        <v>3</v>
      </c>
      <c r="E652" s="1" t="s">
        <v>66</v>
      </c>
      <c r="F652" s="12">
        <v>140000</v>
      </c>
      <c r="G652" s="10">
        <f t="shared" si="17"/>
        <v>140</v>
      </c>
    </row>
    <row r="653" spans="1:15" x14ac:dyDescent="0.25">
      <c r="A653" s="1">
        <v>2024</v>
      </c>
      <c r="B653">
        <v>11</v>
      </c>
      <c r="C653" s="11">
        <v>15</v>
      </c>
      <c r="D653" s="12" t="s">
        <v>5</v>
      </c>
      <c r="E653" s="1" t="s">
        <v>66</v>
      </c>
      <c r="F653" s="12">
        <v>30300</v>
      </c>
      <c r="G653" s="10">
        <f t="shared" si="17"/>
        <v>30.3</v>
      </c>
    </row>
    <row r="654" spans="1:15" x14ac:dyDescent="0.25">
      <c r="A654" s="1">
        <v>2024</v>
      </c>
      <c r="B654">
        <v>11</v>
      </c>
      <c r="C654" s="11">
        <v>17</v>
      </c>
      <c r="D654" s="12" t="s">
        <v>12</v>
      </c>
      <c r="E654" s="1" t="s">
        <v>66</v>
      </c>
      <c r="F654" s="12">
        <v>15600</v>
      </c>
      <c r="G654" s="10">
        <f t="shared" si="17"/>
        <v>15.6</v>
      </c>
    </row>
    <row r="655" spans="1:15" x14ac:dyDescent="0.25">
      <c r="A655" s="1">
        <v>2024</v>
      </c>
      <c r="B655">
        <v>11</v>
      </c>
      <c r="C655" s="11">
        <v>20</v>
      </c>
      <c r="D655" s="12" t="s">
        <v>12</v>
      </c>
      <c r="E655" s="1" t="s">
        <v>66</v>
      </c>
      <c r="F655" s="12">
        <v>11100</v>
      </c>
      <c r="G655" s="10">
        <f t="shared" si="17"/>
        <v>11.1</v>
      </c>
    </row>
    <row r="656" spans="1:15" x14ac:dyDescent="0.25">
      <c r="A656" s="1">
        <v>2024</v>
      </c>
      <c r="B656">
        <v>11</v>
      </c>
      <c r="C656" s="13">
        <v>21</v>
      </c>
      <c r="D656" s="14" t="s">
        <v>12</v>
      </c>
      <c r="E656" s="1" t="s">
        <v>66</v>
      </c>
      <c r="F656" s="14">
        <v>15800</v>
      </c>
      <c r="G656" s="10">
        <f t="shared" si="17"/>
        <v>15.8</v>
      </c>
      <c r="N656" s="7" t="s">
        <v>100</v>
      </c>
      <c r="O656" s="7" t="s">
        <v>73</v>
      </c>
    </row>
    <row r="657" spans="1:37" x14ac:dyDescent="0.25">
      <c r="A657" s="1">
        <v>2024</v>
      </c>
      <c r="B657">
        <v>11</v>
      </c>
      <c r="C657" s="11">
        <v>23</v>
      </c>
      <c r="D657" s="1" t="s">
        <v>10</v>
      </c>
      <c r="E657" s="1" t="s">
        <v>66</v>
      </c>
      <c r="F657" s="12">
        <v>100000</v>
      </c>
      <c r="G657" s="10">
        <f t="shared" si="17"/>
        <v>100</v>
      </c>
      <c r="N657" s="7" t="s">
        <v>75</v>
      </c>
      <c r="O657" t="s">
        <v>55</v>
      </c>
      <c r="P657" t="s">
        <v>58</v>
      </c>
      <c r="Q657" t="s">
        <v>20</v>
      </c>
      <c r="R657" t="s">
        <v>54</v>
      </c>
      <c r="S657" t="s">
        <v>8</v>
      </c>
      <c r="T657" t="s">
        <v>24</v>
      </c>
      <c r="U657" t="s">
        <v>3</v>
      </c>
      <c r="V657" t="s">
        <v>28</v>
      </c>
      <c r="W657" t="s">
        <v>5</v>
      </c>
      <c r="X657" t="s">
        <v>41</v>
      </c>
      <c r="Y657" t="s">
        <v>22</v>
      </c>
      <c r="Z657" t="s">
        <v>12</v>
      </c>
      <c r="AA657" t="s">
        <v>87</v>
      </c>
      <c r="AB657" t="s">
        <v>83</v>
      </c>
      <c r="AC657" t="s">
        <v>31</v>
      </c>
      <c r="AD657" t="s">
        <v>36</v>
      </c>
      <c r="AE657" t="s">
        <v>53</v>
      </c>
      <c r="AF657" t="s">
        <v>14</v>
      </c>
      <c r="AG657" t="s">
        <v>38</v>
      </c>
      <c r="AH657" t="s">
        <v>10</v>
      </c>
      <c r="AI657" t="s">
        <v>141</v>
      </c>
      <c r="AJ657" t="s">
        <v>184</v>
      </c>
      <c r="AK657" t="s">
        <v>74</v>
      </c>
    </row>
    <row r="658" spans="1:37" x14ac:dyDescent="0.25">
      <c r="A658" s="1">
        <v>2024</v>
      </c>
      <c r="B658">
        <v>11</v>
      </c>
      <c r="C658" s="11">
        <v>26</v>
      </c>
      <c r="D658" s="12" t="s">
        <v>3</v>
      </c>
      <c r="E658" s="1" t="s">
        <v>66</v>
      </c>
      <c r="F658" s="12">
        <v>152900</v>
      </c>
      <c r="G658" s="10">
        <f t="shared" si="17"/>
        <v>152.9</v>
      </c>
      <c r="N658" s="8">
        <v>2022</v>
      </c>
      <c r="O658" s="10"/>
      <c r="P658" s="10"/>
      <c r="Q658" s="10">
        <v>112.61800000000001</v>
      </c>
      <c r="R658" s="10">
        <v>298.31700000000001</v>
      </c>
      <c r="S658" s="10">
        <v>67.302000000000007</v>
      </c>
      <c r="T658" s="10">
        <v>343.58000000000004</v>
      </c>
      <c r="U658" s="10">
        <v>104.376</v>
      </c>
      <c r="V658" s="10">
        <v>72.88600000000001</v>
      </c>
      <c r="W658" s="10">
        <v>494.75599999999997</v>
      </c>
      <c r="X658" s="10"/>
      <c r="Y658" s="10">
        <v>212.58299999999997</v>
      </c>
      <c r="Z658" s="10">
        <v>579.32600000000002</v>
      </c>
      <c r="AA658" s="10">
        <v>18.716000000000001</v>
      </c>
      <c r="AB658" s="10">
        <v>3946.1889999999994</v>
      </c>
      <c r="AC658" s="10">
        <v>706.09500000000003</v>
      </c>
      <c r="AD658" s="10">
        <v>58.652999999999999</v>
      </c>
      <c r="AE658" s="10">
        <v>75.718999999999994</v>
      </c>
      <c r="AF658" s="10">
        <v>108.04199999999999</v>
      </c>
      <c r="AG658" s="10">
        <v>114.899</v>
      </c>
      <c r="AH658" s="10">
        <v>24.269000000000002</v>
      </c>
      <c r="AI658" s="10"/>
      <c r="AJ658" s="10"/>
      <c r="AK658" s="10">
        <v>7338.3260000000009</v>
      </c>
    </row>
    <row r="659" spans="1:37" x14ac:dyDescent="0.25">
      <c r="A659" s="1">
        <v>2024</v>
      </c>
      <c r="B659">
        <v>11</v>
      </c>
      <c r="C659" s="11">
        <v>27</v>
      </c>
      <c r="D659" s="12" t="s">
        <v>10</v>
      </c>
      <c r="E659" s="1" t="s">
        <v>66</v>
      </c>
      <c r="F659" s="12">
        <v>70000</v>
      </c>
      <c r="G659" s="10">
        <f t="shared" si="17"/>
        <v>70</v>
      </c>
      <c r="N659" s="9">
        <v>1</v>
      </c>
      <c r="O659" s="10"/>
      <c r="P659" s="10"/>
      <c r="Q659" s="10">
        <v>1.7909999999999999</v>
      </c>
      <c r="R659" s="10"/>
      <c r="S659" s="10">
        <v>10.691000000000001</v>
      </c>
      <c r="T659" s="10"/>
      <c r="U659" s="10"/>
      <c r="V659" s="10"/>
      <c r="W659" s="10"/>
      <c r="X659" s="10"/>
      <c r="Y659" s="10"/>
      <c r="Z659" s="10"/>
      <c r="AA659" s="10"/>
      <c r="AB659" s="10">
        <v>887.10099999999989</v>
      </c>
      <c r="AC659" s="10"/>
      <c r="AD659" s="10"/>
      <c r="AE659" s="10"/>
      <c r="AF659" s="10"/>
      <c r="AG659" s="10"/>
      <c r="AH659" s="10"/>
      <c r="AI659" s="10"/>
      <c r="AJ659" s="10"/>
      <c r="AK659" s="10">
        <v>899.58299999999986</v>
      </c>
    </row>
    <row r="660" spans="1:37" x14ac:dyDescent="0.25">
      <c r="A660" s="1">
        <v>2024</v>
      </c>
      <c r="B660">
        <v>11</v>
      </c>
      <c r="C660" s="11">
        <v>28</v>
      </c>
      <c r="D660" s="12" t="s">
        <v>55</v>
      </c>
      <c r="E660" s="1" t="s">
        <v>66</v>
      </c>
      <c r="F660" s="12">
        <v>54400</v>
      </c>
      <c r="G660" s="10">
        <f t="shared" si="17"/>
        <v>54.4</v>
      </c>
      <c r="N660" s="18">
        <v>2</v>
      </c>
      <c r="O660" s="19"/>
      <c r="P660" s="19"/>
      <c r="Q660" s="19">
        <v>7.3559999999999999</v>
      </c>
      <c r="R660" s="19"/>
      <c r="S660" s="19">
        <v>16.591000000000001</v>
      </c>
      <c r="T660" s="19">
        <v>98.438999999999993</v>
      </c>
      <c r="U660" s="19"/>
      <c r="V660" s="19"/>
      <c r="W660" s="19"/>
      <c r="X660" s="19"/>
      <c r="Y660" s="19"/>
      <c r="Z660" s="19">
        <v>52.036000000000001</v>
      </c>
      <c r="AA660" s="19"/>
      <c r="AB660" s="19">
        <v>380.964</v>
      </c>
      <c r="AC660" s="19"/>
      <c r="AD660" s="19"/>
      <c r="AE660" s="19"/>
      <c r="AF660" s="19"/>
      <c r="AG660" s="19"/>
      <c r="AH660" s="19"/>
      <c r="AI660" s="19"/>
      <c r="AJ660" s="19"/>
      <c r="AK660" s="19">
        <v>555.38599999999997</v>
      </c>
    </row>
    <row r="661" spans="1:37" x14ac:dyDescent="0.25">
      <c r="A661" s="1">
        <v>2024</v>
      </c>
      <c r="B661">
        <v>11</v>
      </c>
      <c r="C661" s="11">
        <v>29</v>
      </c>
      <c r="D661" s="12" t="s">
        <v>10</v>
      </c>
      <c r="E661" s="1" t="s">
        <v>66</v>
      </c>
      <c r="F661" s="12">
        <v>70200</v>
      </c>
      <c r="G661" s="10">
        <f t="shared" si="17"/>
        <v>70.2</v>
      </c>
      <c r="N661" s="18">
        <v>3</v>
      </c>
      <c r="O661" s="19"/>
      <c r="P661" s="19"/>
      <c r="Q661" s="19"/>
      <c r="R661" s="19"/>
      <c r="S661" s="19"/>
      <c r="T661" s="19"/>
      <c r="U661" s="19"/>
      <c r="V661" s="19">
        <v>5.5270000000000001</v>
      </c>
      <c r="W661" s="19"/>
      <c r="X661" s="19"/>
      <c r="Y661" s="19"/>
      <c r="Z661" s="19">
        <v>30.22</v>
      </c>
      <c r="AA661" s="19">
        <v>18.716000000000001</v>
      </c>
      <c r="AB661" s="19">
        <v>773.25199999999984</v>
      </c>
      <c r="AC661" s="19"/>
      <c r="AD661" s="19"/>
      <c r="AE661" s="19">
        <v>66.680999999999997</v>
      </c>
      <c r="AF661" s="19">
        <v>66.587999999999994</v>
      </c>
      <c r="AG661" s="19"/>
      <c r="AH661" s="19"/>
      <c r="AI661" s="19"/>
      <c r="AJ661" s="19"/>
      <c r="AK661" s="19">
        <v>960.98399999999981</v>
      </c>
    </row>
    <row r="662" spans="1:37" x14ac:dyDescent="0.25">
      <c r="A662" s="1">
        <v>2024</v>
      </c>
      <c r="B662">
        <v>11</v>
      </c>
      <c r="C662" s="11">
        <v>29</v>
      </c>
      <c r="D662" s="12" t="s">
        <v>54</v>
      </c>
      <c r="E662" s="1" t="s">
        <v>66</v>
      </c>
      <c r="F662" s="12">
        <v>55000</v>
      </c>
      <c r="G662" s="10">
        <f t="shared" si="17"/>
        <v>55</v>
      </c>
      <c r="N662" s="18">
        <v>4</v>
      </c>
      <c r="O662" s="19"/>
      <c r="P662" s="19"/>
      <c r="Q662" s="19">
        <v>6.5380000000000003</v>
      </c>
      <c r="R662" s="19"/>
      <c r="S662" s="19">
        <v>14.263999999999999</v>
      </c>
      <c r="T662" s="19">
        <v>31.419</v>
      </c>
      <c r="U662" s="19"/>
      <c r="V662" s="19"/>
      <c r="W662" s="19"/>
      <c r="X662" s="19"/>
      <c r="Y662" s="19">
        <v>49.492999999999995</v>
      </c>
      <c r="Z662" s="19">
        <v>16.715</v>
      </c>
      <c r="AA662" s="19"/>
      <c r="AB662" s="19">
        <v>541.56500000000005</v>
      </c>
      <c r="AC662" s="19"/>
      <c r="AD662" s="19"/>
      <c r="AE662" s="19"/>
      <c r="AF662" s="19"/>
      <c r="AG662" s="19"/>
      <c r="AH662" s="19"/>
      <c r="AI662" s="19"/>
      <c r="AJ662" s="19"/>
      <c r="AK662" s="19">
        <v>659.99400000000003</v>
      </c>
    </row>
    <row r="663" spans="1:37" x14ac:dyDescent="0.25">
      <c r="A663" s="1">
        <v>2024</v>
      </c>
      <c r="B663">
        <v>11</v>
      </c>
      <c r="C663" s="11">
        <v>30</v>
      </c>
      <c r="D663" s="12" t="s">
        <v>5</v>
      </c>
      <c r="E663" s="1" t="s">
        <v>66</v>
      </c>
      <c r="F663" s="12">
        <v>29000</v>
      </c>
      <c r="G663" s="10">
        <f t="shared" si="17"/>
        <v>29</v>
      </c>
      <c r="N663" s="18">
        <v>5</v>
      </c>
      <c r="O663" s="19"/>
      <c r="P663" s="19"/>
      <c r="Q663" s="19">
        <v>22.364999999999998</v>
      </c>
      <c r="R663" s="19"/>
      <c r="S663" s="19"/>
      <c r="T663" s="19"/>
      <c r="U663" s="19"/>
      <c r="V663" s="19">
        <v>39.645000000000003</v>
      </c>
      <c r="W663" s="19">
        <v>20.091999999999999</v>
      </c>
      <c r="X663" s="19"/>
      <c r="Y663" s="19"/>
      <c r="Z663" s="19"/>
      <c r="AA663" s="19"/>
      <c r="AB663" s="19">
        <v>605.72199999999998</v>
      </c>
      <c r="AC663" s="19">
        <v>62.585999999999999</v>
      </c>
      <c r="AD663" s="19"/>
      <c r="AE663" s="19"/>
      <c r="AF663" s="19"/>
      <c r="AG663" s="19"/>
      <c r="AH663" s="19">
        <v>7.6749999999999998</v>
      </c>
      <c r="AI663" s="19"/>
      <c r="AJ663" s="19"/>
      <c r="AK663" s="19">
        <v>758.08499999999992</v>
      </c>
    </row>
    <row r="664" spans="1:37" x14ac:dyDescent="0.25">
      <c r="A664" s="3">
        <v>2024</v>
      </c>
      <c r="B664">
        <v>12</v>
      </c>
      <c r="C664" s="11">
        <v>1</v>
      </c>
      <c r="D664" s="12" t="s">
        <v>12</v>
      </c>
      <c r="E664" s="12" t="s">
        <v>66</v>
      </c>
      <c r="F664" s="12">
        <v>15193</v>
      </c>
      <c r="G664" s="10">
        <f t="shared" si="17"/>
        <v>15.193</v>
      </c>
      <c r="N664" s="18">
        <v>6</v>
      </c>
      <c r="O664" s="19"/>
      <c r="P664" s="19"/>
      <c r="Q664" s="19"/>
      <c r="R664" s="19"/>
      <c r="S664" s="19"/>
      <c r="T664" s="19"/>
      <c r="U664" s="19"/>
      <c r="V664" s="19"/>
      <c r="W664" s="19">
        <v>30.553000000000001</v>
      </c>
      <c r="X664" s="19"/>
      <c r="Y664" s="19"/>
      <c r="Z664" s="19">
        <v>75.207000000000008</v>
      </c>
      <c r="AA664" s="19"/>
      <c r="AB664" s="19">
        <v>286.42599999999999</v>
      </c>
      <c r="AC664" s="19"/>
      <c r="AD664" s="19"/>
      <c r="AE664" s="19"/>
      <c r="AF664" s="19"/>
      <c r="AG664" s="19"/>
      <c r="AH664" s="19"/>
      <c r="AI664" s="19"/>
      <c r="AJ664" s="19"/>
      <c r="AK664" s="19">
        <v>392.18599999999998</v>
      </c>
    </row>
    <row r="665" spans="1:37" x14ac:dyDescent="0.25">
      <c r="A665" s="3">
        <v>2024</v>
      </c>
      <c r="B665">
        <v>12</v>
      </c>
      <c r="C665" s="11">
        <v>5</v>
      </c>
      <c r="D665" s="12" t="s">
        <v>12</v>
      </c>
      <c r="E665" s="12" t="s">
        <v>66</v>
      </c>
      <c r="F665" s="12">
        <v>15029</v>
      </c>
      <c r="G665" s="10">
        <f t="shared" si="17"/>
        <v>15.029</v>
      </c>
      <c r="N665" s="18">
        <v>7</v>
      </c>
      <c r="O665" s="19"/>
      <c r="P665" s="19"/>
      <c r="Q665" s="19">
        <v>35.701999999999998</v>
      </c>
      <c r="R665" s="19">
        <v>96.236000000000004</v>
      </c>
      <c r="S665" s="19"/>
      <c r="T665" s="19"/>
      <c r="U665" s="19"/>
      <c r="V665" s="19">
        <v>12.588000000000001</v>
      </c>
      <c r="W665" s="19">
        <v>37.53</v>
      </c>
      <c r="X665" s="19"/>
      <c r="Y665" s="19"/>
      <c r="Z665" s="19">
        <v>51.251999999999995</v>
      </c>
      <c r="AA665" s="19"/>
      <c r="AB665" s="19">
        <v>471.15900000000011</v>
      </c>
      <c r="AC665" s="19">
        <v>82.186999999999998</v>
      </c>
      <c r="AD665" s="19"/>
      <c r="AE665" s="19"/>
      <c r="AF665" s="19">
        <v>5.8949999999999996</v>
      </c>
      <c r="AG665" s="19"/>
      <c r="AH665" s="19"/>
      <c r="AI665" s="19"/>
      <c r="AJ665" s="19"/>
      <c r="AK665" s="19">
        <v>792.54900000000009</v>
      </c>
    </row>
    <row r="666" spans="1:37" x14ac:dyDescent="0.25">
      <c r="A666" s="3">
        <v>2024</v>
      </c>
      <c r="B666">
        <v>12</v>
      </c>
      <c r="C666" s="11">
        <v>9</v>
      </c>
      <c r="D666" s="12" t="s">
        <v>12</v>
      </c>
      <c r="E666" s="12" t="s">
        <v>66</v>
      </c>
      <c r="F666" s="12">
        <v>16343</v>
      </c>
      <c r="G666" s="10">
        <f t="shared" si="17"/>
        <v>16.343</v>
      </c>
      <c r="N666" s="18">
        <v>8</v>
      </c>
      <c r="O666" s="19"/>
      <c r="P666" s="19"/>
      <c r="Q666" s="19">
        <v>21.427</v>
      </c>
      <c r="R666" s="19">
        <v>17.068000000000001</v>
      </c>
      <c r="S666" s="19">
        <v>4.9850000000000003</v>
      </c>
      <c r="T666" s="19"/>
      <c r="U666" s="19"/>
      <c r="V666" s="19"/>
      <c r="W666" s="19">
        <v>81.599999999999994</v>
      </c>
      <c r="X666" s="19"/>
      <c r="Y666" s="19"/>
      <c r="Z666" s="19">
        <v>35.221000000000004</v>
      </c>
      <c r="AA666" s="19"/>
      <c r="AB666" s="19"/>
      <c r="AC666" s="19">
        <v>25.844000000000001</v>
      </c>
      <c r="AD666" s="19"/>
      <c r="AE666" s="19">
        <v>9.0380000000000003</v>
      </c>
      <c r="AF666" s="19"/>
      <c r="AG666" s="19"/>
      <c r="AH666" s="19">
        <v>16.594000000000001</v>
      </c>
      <c r="AI666" s="19"/>
      <c r="AJ666" s="19"/>
      <c r="AK666" s="19">
        <v>211.77699999999999</v>
      </c>
    </row>
    <row r="667" spans="1:37" x14ac:dyDescent="0.25">
      <c r="A667" s="3">
        <v>2024</v>
      </c>
      <c r="B667">
        <v>12</v>
      </c>
      <c r="C667" s="11">
        <v>10</v>
      </c>
      <c r="D667" s="12" t="s">
        <v>8</v>
      </c>
      <c r="E667" s="12" t="s">
        <v>66</v>
      </c>
      <c r="F667" s="12">
        <v>1685</v>
      </c>
      <c r="G667" s="10">
        <f t="shared" si="17"/>
        <v>1.6850000000000001</v>
      </c>
      <c r="N667" s="18">
        <v>9</v>
      </c>
      <c r="O667" s="19"/>
      <c r="P667" s="19"/>
      <c r="Q667" s="19"/>
      <c r="R667" s="19">
        <v>38.683999999999997</v>
      </c>
      <c r="S667" s="19">
        <v>12.273</v>
      </c>
      <c r="T667" s="19">
        <v>99.742000000000004</v>
      </c>
      <c r="U667" s="19"/>
      <c r="V667" s="19">
        <v>15.126000000000001</v>
      </c>
      <c r="W667" s="19">
        <v>108.29900000000001</v>
      </c>
      <c r="X667" s="19"/>
      <c r="Y667" s="19">
        <v>91.123999999999995</v>
      </c>
      <c r="Z667" s="19">
        <v>43.338999999999999</v>
      </c>
      <c r="AA667" s="19"/>
      <c r="AB667" s="19"/>
      <c r="AC667" s="19">
        <v>160.31</v>
      </c>
      <c r="AD667" s="19"/>
      <c r="AE667" s="19"/>
      <c r="AF667" s="19">
        <v>35.558999999999997</v>
      </c>
      <c r="AG667" s="19"/>
      <c r="AH667" s="19"/>
      <c r="AI667" s="19"/>
      <c r="AJ667" s="19"/>
      <c r="AK667" s="19">
        <v>604.45600000000002</v>
      </c>
    </row>
    <row r="668" spans="1:37" x14ac:dyDescent="0.25">
      <c r="A668" s="3">
        <v>2024</v>
      </c>
      <c r="B668">
        <v>12</v>
      </c>
      <c r="C668" s="11">
        <v>11</v>
      </c>
      <c r="D668" s="12" t="s">
        <v>8</v>
      </c>
      <c r="E668" s="12" t="s">
        <v>66</v>
      </c>
      <c r="F668" s="12">
        <v>4495</v>
      </c>
      <c r="G668" s="10">
        <f t="shared" si="17"/>
        <v>4.4950000000000001</v>
      </c>
      <c r="N668" s="16">
        <v>10</v>
      </c>
      <c r="O668" s="17"/>
      <c r="P668" s="17"/>
      <c r="Q668" s="17"/>
      <c r="R668" s="17">
        <v>102.092</v>
      </c>
      <c r="S668" s="17"/>
      <c r="T668" s="17">
        <v>83.950999999999993</v>
      </c>
      <c r="U668" s="17"/>
      <c r="V668" s="17"/>
      <c r="W668" s="17">
        <v>75.605999999999995</v>
      </c>
      <c r="X668" s="17"/>
      <c r="Y668" s="17">
        <v>71.965999999999994</v>
      </c>
      <c r="Z668" s="17">
        <v>64.223000000000013</v>
      </c>
      <c r="AA668" s="17"/>
      <c r="AB668" s="17"/>
      <c r="AC668" s="17">
        <v>290.57299999999998</v>
      </c>
      <c r="AD668" s="17">
        <v>22.951000000000001</v>
      </c>
      <c r="AE668" s="17"/>
      <c r="AF668" s="17"/>
      <c r="AG668" s="17">
        <v>85.688000000000002</v>
      </c>
      <c r="AH668" s="17"/>
      <c r="AI668" s="17"/>
      <c r="AJ668" s="17"/>
      <c r="AK668" s="17">
        <v>797.05000000000007</v>
      </c>
    </row>
    <row r="669" spans="1:37" x14ac:dyDescent="0.25">
      <c r="A669" s="3">
        <v>2024</v>
      </c>
      <c r="B669">
        <v>12</v>
      </c>
      <c r="C669" s="11">
        <v>14</v>
      </c>
      <c r="D669" s="12" t="s">
        <v>12</v>
      </c>
      <c r="E669" s="12" t="s">
        <v>66</v>
      </c>
      <c r="F669" s="12">
        <v>15817</v>
      </c>
      <c r="G669" s="10">
        <f t="shared" si="17"/>
        <v>15.817</v>
      </c>
      <c r="N669" s="9">
        <v>11</v>
      </c>
      <c r="O669" s="10"/>
      <c r="P669" s="10"/>
      <c r="Q669" s="10">
        <v>9.81</v>
      </c>
      <c r="R669" s="10">
        <v>44.236999999999995</v>
      </c>
      <c r="S669" s="10"/>
      <c r="T669" s="10">
        <v>30.029</v>
      </c>
      <c r="U669" s="10">
        <v>104.376</v>
      </c>
      <c r="V669" s="10"/>
      <c r="W669" s="10">
        <v>75.412000000000006</v>
      </c>
      <c r="X669" s="10"/>
      <c r="Y669" s="10"/>
      <c r="Z669" s="10">
        <v>107.15300000000001</v>
      </c>
      <c r="AA669" s="10"/>
      <c r="AB669" s="10"/>
      <c r="AC669" s="10">
        <v>84.594999999999999</v>
      </c>
      <c r="AD669" s="10">
        <v>35.701999999999998</v>
      </c>
      <c r="AE669" s="10"/>
      <c r="AF669" s="10"/>
      <c r="AG669" s="10">
        <v>29.210999999999999</v>
      </c>
      <c r="AH669" s="10"/>
      <c r="AI669" s="10"/>
      <c r="AJ669" s="10"/>
      <c r="AK669" s="10">
        <v>520.52500000000009</v>
      </c>
    </row>
    <row r="670" spans="1:37" x14ac:dyDescent="0.25">
      <c r="A670" s="3">
        <v>2024</v>
      </c>
      <c r="B670">
        <v>12</v>
      </c>
      <c r="C670" s="11">
        <v>16</v>
      </c>
      <c r="D670" s="12" t="s">
        <v>12</v>
      </c>
      <c r="E670" s="12" t="s">
        <v>66</v>
      </c>
      <c r="F670" s="12">
        <v>16722</v>
      </c>
      <c r="G670" s="10">
        <f t="shared" si="17"/>
        <v>16.722000000000001</v>
      </c>
      <c r="N670" s="9">
        <v>12</v>
      </c>
      <c r="O670" s="10"/>
      <c r="P670" s="10"/>
      <c r="Q670" s="10">
        <v>7.6289999999999996</v>
      </c>
      <c r="R670" s="10"/>
      <c r="S670" s="10">
        <v>8.4979999999999993</v>
      </c>
      <c r="T670" s="10"/>
      <c r="U670" s="10"/>
      <c r="V670" s="10"/>
      <c r="W670" s="10">
        <v>65.664000000000001</v>
      </c>
      <c r="X670" s="10"/>
      <c r="Y670" s="10"/>
      <c r="Z670" s="10">
        <v>103.96</v>
      </c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>
        <v>185.75099999999998</v>
      </c>
    </row>
    <row r="671" spans="1:37" x14ac:dyDescent="0.25">
      <c r="A671" s="3">
        <v>2024</v>
      </c>
      <c r="B671">
        <v>12</v>
      </c>
      <c r="C671" s="11">
        <v>20</v>
      </c>
      <c r="D671" s="12" t="s">
        <v>12</v>
      </c>
      <c r="E671" s="12" t="s">
        <v>66</v>
      </c>
      <c r="F671" s="12">
        <v>16343</v>
      </c>
      <c r="G671" s="10">
        <f t="shared" si="17"/>
        <v>16.343</v>
      </c>
      <c r="N671" s="8">
        <v>2023</v>
      </c>
      <c r="O671" s="10"/>
      <c r="P671" s="10"/>
      <c r="Q671" s="10">
        <v>69.208999999999989</v>
      </c>
      <c r="R671" s="10">
        <v>245.54000000000002</v>
      </c>
      <c r="S671" s="10">
        <v>31.734000000000002</v>
      </c>
      <c r="T671" s="10">
        <v>389.33000000000004</v>
      </c>
      <c r="U671" s="10">
        <v>126.49299999999999</v>
      </c>
      <c r="V671" s="10">
        <v>174.58099999999996</v>
      </c>
      <c r="W671" s="10">
        <v>897.34800000000007</v>
      </c>
      <c r="X671" s="10"/>
      <c r="Y671" s="10">
        <v>264.66700000000003</v>
      </c>
      <c r="Z671" s="10">
        <v>1363.682</v>
      </c>
      <c r="AA671" s="10">
        <v>27.742000000000001</v>
      </c>
      <c r="AB671" s="10">
        <v>4.7530000000000001</v>
      </c>
      <c r="AC671" s="10">
        <v>477.91300000000001</v>
      </c>
      <c r="AD671" s="10">
        <v>66.051000000000002</v>
      </c>
      <c r="AE671" s="10">
        <v>3.266</v>
      </c>
      <c r="AF671" s="10">
        <v>387.58100000000002</v>
      </c>
      <c r="AG671" s="10">
        <v>176.05700000000002</v>
      </c>
      <c r="AH671" s="10">
        <v>405.209</v>
      </c>
      <c r="AI671" s="10"/>
      <c r="AJ671" s="10"/>
      <c r="AK671" s="10">
        <v>5111.1560000000009</v>
      </c>
    </row>
    <row r="672" spans="1:37" x14ac:dyDescent="0.25">
      <c r="A672" s="3">
        <v>2024</v>
      </c>
      <c r="B672">
        <v>12</v>
      </c>
      <c r="C672" s="11">
        <v>22</v>
      </c>
      <c r="D672" s="12" t="s">
        <v>54</v>
      </c>
      <c r="E672" s="12" t="s">
        <v>66</v>
      </c>
      <c r="F672" s="12">
        <v>71081</v>
      </c>
      <c r="G672" s="10">
        <f t="shared" si="17"/>
        <v>71.081000000000003</v>
      </c>
      <c r="N672" s="9">
        <v>1</v>
      </c>
      <c r="O672" s="10"/>
      <c r="P672" s="10"/>
      <c r="Q672" s="10">
        <v>7.085</v>
      </c>
      <c r="R672" s="10">
        <v>80.988</v>
      </c>
      <c r="S672" s="10"/>
      <c r="T672" s="10"/>
      <c r="U672" s="10"/>
      <c r="V672" s="10"/>
      <c r="W672" s="10">
        <v>76.930999999999997</v>
      </c>
      <c r="X672" s="10"/>
      <c r="Y672" s="10"/>
      <c r="Z672" s="10">
        <v>139.52000000000001</v>
      </c>
      <c r="AA672" s="10"/>
      <c r="AB672" s="10">
        <v>4.7530000000000001</v>
      </c>
      <c r="AC672" s="10">
        <v>87.322000000000003</v>
      </c>
      <c r="AD672" s="10"/>
      <c r="AE672" s="10"/>
      <c r="AF672" s="10"/>
      <c r="AG672" s="10"/>
      <c r="AH672" s="10"/>
      <c r="AI672" s="10"/>
      <c r="AJ672" s="10"/>
      <c r="AK672" s="10">
        <v>396.59899999999999</v>
      </c>
    </row>
    <row r="673" spans="1:37" x14ac:dyDescent="0.25">
      <c r="A673" s="3">
        <v>2024</v>
      </c>
      <c r="B673">
        <v>12</v>
      </c>
      <c r="C673" s="11">
        <v>24</v>
      </c>
      <c r="D673" s="12" t="s">
        <v>12</v>
      </c>
      <c r="E673" s="12" t="s">
        <v>66</v>
      </c>
      <c r="F673" s="12">
        <v>16443</v>
      </c>
      <c r="G673" s="10">
        <f t="shared" si="17"/>
        <v>16.443000000000001</v>
      </c>
      <c r="N673" s="18">
        <v>2</v>
      </c>
      <c r="O673" s="19"/>
      <c r="P673" s="19"/>
      <c r="Q673" s="19"/>
      <c r="R673" s="19">
        <v>8.9990000000000006</v>
      </c>
      <c r="S673" s="19"/>
      <c r="T673" s="19">
        <v>105.26900000000001</v>
      </c>
      <c r="U673" s="19">
        <v>17.878</v>
      </c>
      <c r="V673" s="19"/>
      <c r="W673" s="19">
        <v>101.809</v>
      </c>
      <c r="X673" s="19"/>
      <c r="Y673" s="19"/>
      <c r="Z673" s="19">
        <v>129.81700000000001</v>
      </c>
      <c r="AA673" s="19"/>
      <c r="AB673" s="19"/>
      <c r="AC673" s="19"/>
      <c r="AD673" s="19">
        <v>16.661000000000001</v>
      </c>
      <c r="AE673" s="19"/>
      <c r="AF673" s="19"/>
      <c r="AG673" s="19"/>
      <c r="AH673" s="19"/>
      <c r="AI673" s="19"/>
      <c r="AJ673" s="19"/>
      <c r="AK673" s="19">
        <v>380.43300000000005</v>
      </c>
    </row>
    <row r="674" spans="1:37" x14ac:dyDescent="0.25">
      <c r="A674" s="3">
        <v>2024</v>
      </c>
      <c r="B674">
        <v>12</v>
      </c>
      <c r="C674" s="11">
        <v>26</v>
      </c>
      <c r="D674" s="12" t="s">
        <v>36</v>
      </c>
      <c r="E674" s="12" t="s">
        <v>66</v>
      </c>
      <c r="F674" s="12">
        <v>27899</v>
      </c>
      <c r="G674" s="10">
        <f t="shared" si="17"/>
        <v>27.899000000000001</v>
      </c>
      <c r="N674" s="18">
        <v>3</v>
      </c>
      <c r="O674" s="19"/>
      <c r="P674" s="19"/>
      <c r="Q674" s="19">
        <v>8.9920000000000009</v>
      </c>
      <c r="R674" s="19"/>
      <c r="S674" s="19"/>
      <c r="T674" s="19">
        <v>36.368000000000002</v>
      </c>
      <c r="U674" s="19">
        <v>65.765000000000001</v>
      </c>
      <c r="V674" s="19">
        <v>28.457999999999998</v>
      </c>
      <c r="W674" s="19">
        <v>72.668999999999997</v>
      </c>
      <c r="X674" s="19"/>
      <c r="Y674" s="19">
        <v>51.120000000000005</v>
      </c>
      <c r="Z674" s="19">
        <v>157.27100000000002</v>
      </c>
      <c r="AA674" s="19"/>
      <c r="AB674" s="19"/>
      <c r="AC674" s="19">
        <v>161</v>
      </c>
      <c r="AD674" s="19">
        <v>23.96</v>
      </c>
      <c r="AE674" s="19"/>
      <c r="AF674" s="19">
        <v>43.006</v>
      </c>
      <c r="AG674" s="19"/>
      <c r="AH674" s="19">
        <v>90.311000000000007</v>
      </c>
      <c r="AI674" s="19"/>
      <c r="AJ674" s="19"/>
      <c r="AK674" s="19">
        <v>738.92000000000007</v>
      </c>
    </row>
    <row r="675" spans="1:37" x14ac:dyDescent="0.25">
      <c r="A675" s="3">
        <v>2024</v>
      </c>
      <c r="B675">
        <v>12</v>
      </c>
      <c r="C675" s="11">
        <v>26</v>
      </c>
      <c r="D675" s="12" t="s">
        <v>12</v>
      </c>
      <c r="E675" s="12" t="s">
        <v>66</v>
      </c>
      <c r="F675" s="12">
        <v>16722</v>
      </c>
      <c r="G675" s="10">
        <f t="shared" si="17"/>
        <v>16.722000000000001</v>
      </c>
      <c r="N675" s="18">
        <v>4</v>
      </c>
      <c r="O675" s="19"/>
      <c r="P675" s="19"/>
      <c r="Q675" s="19"/>
      <c r="R675" s="19"/>
      <c r="S675" s="19"/>
      <c r="T675" s="19">
        <v>8.5259999999999998</v>
      </c>
      <c r="U675" s="19">
        <v>15.433</v>
      </c>
      <c r="V675" s="19">
        <v>8.5259999999999998</v>
      </c>
      <c r="W675" s="19">
        <v>115.83199999999999</v>
      </c>
      <c r="X675" s="19"/>
      <c r="Y675" s="19">
        <v>50.063000000000002</v>
      </c>
      <c r="Z675" s="19">
        <v>150.55100000000002</v>
      </c>
      <c r="AA675" s="19"/>
      <c r="AB675" s="19"/>
      <c r="AC675" s="19">
        <v>46.668999999999997</v>
      </c>
      <c r="AD675" s="19"/>
      <c r="AE675" s="19"/>
      <c r="AF675" s="19">
        <v>43.55</v>
      </c>
      <c r="AG675" s="19">
        <v>114.631</v>
      </c>
      <c r="AH675" s="19">
        <v>57.262999999999998</v>
      </c>
      <c r="AI675" s="19"/>
      <c r="AJ675" s="19"/>
      <c r="AK675" s="19">
        <v>611.0440000000001</v>
      </c>
    </row>
    <row r="676" spans="1:37" x14ac:dyDescent="0.25">
      <c r="A676">
        <v>2025</v>
      </c>
      <c r="B676">
        <v>1</v>
      </c>
      <c r="C676" s="11">
        <v>3</v>
      </c>
      <c r="D676" s="12" t="s">
        <v>12</v>
      </c>
      <c r="E676" s="12" t="s">
        <v>66</v>
      </c>
      <c r="F676" s="12">
        <v>15800</v>
      </c>
      <c r="G676" s="10">
        <f t="shared" si="17"/>
        <v>15.8</v>
      </c>
      <c r="N676" s="18">
        <v>5</v>
      </c>
      <c r="O676" s="19"/>
      <c r="P676" s="19"/>
      <c r="Q676" s="19">
        <v>9.2639999999999993</v>
      </c>
      <c r="R676" s="19"/>
      <c r="S676" s="19">
        <v>9.6470000000000002</v>
      </c>
      <c r="T676" s="19"/>
      <c r="U676" s="19"/>
      <c r="V676" s="19">
        <v>18.542000000000002</v>
      </c>
      <c r="W676" s="19">
        <v>6.08</v>
      </c>
      <c r="X676" s="19"/>
      <c r="Y676" s="19">
        <v>60.04</v>
      </c>
      <c r="Z676" s="19">
        <v>103.91900000000003</v>
      </c>
      <c r="AA676" s="19"/>
      <c r="AB676" s="19"/>
      <c r="AC676" s="19">
        <v>61.283999999999999</v>
      </c>
      <c r="AD676" s="19"/>
      <c r="AE676" s="19">
        <v>3.266</v>
      </c>
      <c r="AF676" s="19"/>
      <c r="AG676" s="19"/>
      <c r="AH676" s="19">
        <v>94.716000000000008</v>
      </c>
      <c r="AI676" s="19"/>
      <c r="AJ676" s="19"/>
      <c r="AK676" s="19">
        <v>366.75800000000004</v>
      </c>
    </row>
    <row r="677" spans="1:37" x14ac:dyDescent="0.25">
      <c r="A677">
        <v>2025</v>
      </c>
      <c r="B677">
        <v>1</v>
      </c>
      <c r="C677" s="11">
        <v>6</v>
      </c>
      <c r="D677" s="15" t="s">
        <v>5</v>
      </c>
      <c r="E677" s="12" t="s">
        <v>66</v>
      </c>
      <c r="F677" s="12">
        <v>39900</v>
      </c>
      <c r="G677" s="10">
        <f t="shared" si="17"/>
        <v>39.9</v>
      </c>
      <c r="N677" s="18">
        <v>6</v>
      </c>
      <c r="O677" s="19"/>
      <c r="P677" s="19"/>
      <c r="Q677" s="19"/>
      <c r="R677" s="19">
        <v>77.051000000000002</v>
      </c>
      <c r="S677" s="19"/>
      <c r="T677" s="19"/>
      <c r="U677" s="19"/>
      <c r="V677" s="19">
        <v>32.502000000000002</v>
      </c>
      <c r="W677" s="19">
        <v>107.395</v>
      </c>
      <c r="X677" s="19"/>
      <c r="Y677" s="19">
        <v>52.511000000000003</v>
      </c>
      <c r="Z677" s="19">
        <v>26.082999999999998</v>
      </c>
      <c r="AA677" s="19">
        <v>27.742000000000001</v>
      </c>
      <c r="AB677" s="19"/>
      <c r="AC677" s="19">
        <v>2.9910000000000001</v>
      </c>
      <c r="AD677" s="19"/>
      <c r="AE677" s="19"/>
      <c r="AF677" s="19"/>
      <c r="AG677" s="19"/>
      <c r="AH677" s="19"/>
      <c r="AI677" s="19"/>
      <c r="AJ677" s="19"/>
      <c r="AK677" s="19">
        <v>326.27500000000003</v>
      </c>
    </row>
    <row r="678" spans="1:37" x14ac:dyDescent="0.25">
      <c r="A678">
        <v>2025</v>
      </c>
      <c r="B678">
        <v>1</v>
      </c>
      <c r="C678" s="11">
        <v>6</v>
      </c>
      <c r="D678" s="15" t="s">
        <v>12</v>
      </c>
      <c r="E678" s="12" t="s">
        <v>84</v>
      </c>
      <c r="F678" s="12">
        <v>16700</v>
      </c>
      <c r="G678" s="10">
        <f t="shared" si="17"/>
        <v>16.7</v>
      </c>
      <c r="N678" s="18">
        <v>7</v>
      </c>
      <c r="O678" s="19"/>
      <c r="P678" s="19"/>
      <c r="Q678" s="19">
        <v>7.0839999999999996</v>
      </c>
      <c r="R678" s="19">
        <v>78.501999999999995</v>
      </c>
      <c r="S678" s="19"/>
      <c r="T678" s="19">
        <v>128.15700000000001</v>
      </c>
      <c r="U678" s="19"/>
      <c r="V678" s="19">
        <v>10.343999999999999</v>
      </c>
      <c r="W678" s="19">
        <v>38.905999999999999</v>
      </c>
      <c r="X678" s="19"/>
      <c r="Y678" s="19"/>
      <c r="Z678" s="19">
        <v>111.71899999999999</v>
      </c>
      <c r="AA678" s="19"/>
      <c r="AB678" s="19"/>
      <c r="AC678" s="19">
        <v>29.619</v>
      </c>
      <c r="AD678" s="19"/>
      <c r="AE678" s="19"/>
      <c r="AF678" s="19"/>
      <c r="AG678" s="19">
        <v>61.426000000000002</v>
      </c>
      <c r="AH678" s="19">
        <v>125.77200000000001</v>
      </c>
      <c r="AI678" s="19"/>
      <c r="AJ678" s="19"/>
      <c r="AK678" s="19">
        <v>591.529</v>
      </c>
    </row>
    <row r="679" spans="1:37" x14ac:dyDescent="0.25">
      <c r="A679">
        <v>2025</v>
      </c>
      <c r="B679">
        <v>1</v>
      </c>
      <c r="C679" s="11">
        <v>7</v>
      </c>
      <c r="D679" s="15" t="s">
        <v>12</v>
      </c>
      <c r="E679" s="12" t="s">
        <v>66</v>
      </c>
      <c r="F679" s="12">
        <v>16700</v>
      </c>
      <c r="G679" s="10">
        <f t="shared" si="17"/>
        <v>16.7</v>
      </c>
      <c r="N679" s="18">
        <v>8</v>
      </c>
      <c r="O679" s="19"/>
      <c r="P679" s="19"/>
      <c r="Q679" s="19">
        <v>7.6289999999999996</v>
      </c>
      <c r="R679" s="19"/>
      <c r="S679" s="19"/>
      <c r="T679" s="19"/>
      <c r="U679" s="19"/>
      <c r="V679" s="19">
        <v>5.5860000000000003</v>
      </c>
      <c r="W679" s="19">
        <v>37.448999999999998</v>
      </c>
      <c r="X679" s="19"/>
      <c r="Y679" s="19"/>
      <c r="Z679" s="19">
        <v>119.52799999999999</v>
      </c>
      <c r="AA679" s="19"/>
      <c r="AB679" s="19"/>
      <c r="AC679" s="19"/>
      <c r="AD679" s="19"/>
      <c r="AE679" s="19"/>
      <c r="AF679" s="19">
        <v>33.804000000000002</v>
      </c>
      <c r="AG679" s="19"/>
      <c r="AH679" s="19"/>
      <c r="AI679" s="19"/>
      <c r="AJ679" s="19"/>
      <c r="AK679" s="19">
        <v>203.99600000000001</v>
      </c>
    </row>
    <row r="680" spans="1:37" x14ac:dyDescent="0.25">
      <c r="A680">
        <v>2025</v>
      </c>
      <c r="B680">
        <v>1</v>
      </c>
      <c r="C680" s="11">
        <v>9</v>
      </c>
      <c r="D680" s="12" t="s">
        <v>31</v>
      </c>
      <c r="E680" s="12" t="s">
        <v>66</v>
      </c>
      <c r="F680" s="12">
        <v>40100</v>
      </c>
      <c r="G680" s="10">
        <f t="shared" si="17"/>
        <v>40.1</v>
      </c>
      <c r="N680" s="18">
        <v>9</v>
      </c>
      <c r="O680" s="19"/>
      <c r="P680" s="19"/>
      <c r="Q680" s="19">
        <v>10.353999999999999</v>
      </c>
      <c r="R680" s="19"/>
      <c r="S680" s="19"/>
      <c r="T680" s="19"/>
      <c r="U680" s="19"/>
      <c r="V680" s="19"/>
      <c r="W680" s="19">
        <v>99.055000000000007</v>
      </c>
      <c r="X680" s="19"/>
      <c r="Y680" s="19"/>
      <c r="Z680" s="19">
        <v>119.68600000000001</v>
      </c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>
        <v>229.09500000000003</v>
      </c>
    </row>
    <row r="681" spans="1:37" x14ac:dyDescent="0.25">
      <c r="A681">
        <v>2025</v>
      </c>
      <c r="B681">
        <v>1</v>
      </c>
      <c r="C681" s="11">
        <v>11</v>
      </c>
      <c r="D681" s="12" t="s">
        <v>12</v>
      </c>
      <c r="E681" s="12" t="s">
        <v>66</v>
      </c>
      <c r="F681" s="12">
        <v>15600</v>
      </c>
      <c r="G681" s="10">
        <f t="shared" si="17"/>
        <v>15.6</v>
      </c>
      <c r="N681" s="16">
        <v>10</v>
      </c>
      <c r="O681" s="17"/>
      <c r="P681" s="17"/>
      <c r="Q681" s="17"/>
      <c r="R681" s="17"/>
      <c r="S681" s="17">
        <v>9.7360000000000007</v>
      </c>
      <c r="T681" s="17"/>
      <c r="U681" s="17"/>
      <c r="V681" s="17">
        <v>40.488</v>
      </c>
      <c r="W681" s="17">
        <v>83.507999999999996</v>
      </c>
      <c r="X681" s="17"/>
      <c r="Y681" s="17">
        <v>50.933</v>
      </c>
      <c r="Z681" s="17">
        <v>119.01500000000001</v>
      </c>
      <c r="AA681" s="17"/>
      <c r="AB681" s="17"/>
      <c r="AC681" s="17">
        <v>89.028000000000006</v>
      </c>
      <c r="AD681" s="17"/>
      <c r="AE681" s="17"/>
      <c r="AF681" s="17">
        <v>29.736000000000001</v>
      </c>
      <c r="AG681" s="17"/>
      <c r="AH681" s="17"/>
      <c r="AI681" s="17"/>
      <c r="AJ681" s="17"/>
      <c r="AK681" s="17">
        <v>422.44400000000002</v>
      </c>
    </row>
    <row r="682" spans="1:37" x14ac:dyDescent="0.25">
      <c r="A682">
        <v>2025</v>
      </c>
      <c r="B682">
        <v>1</v>
      </c>
      <c r="C682" s="11">
        <v>12</v>
      </c>
      <c r="D682" s="15" t="s">
        <v>24</v>
      </c>
      <c r="E682" s="12" t="s">
        <v>84</v>
      </c>
      <c r="F682" s="12">
        <v>100000</v>
      </c>
      <c r="G682" s="10">
        <f t="shared" si="17"/>
        <v>100</v>
      </c>
      <c r="N682" s="9">
        <v>11</v>
      </c>
      <c r="O682" s="10"/>
      <c r="P682" s="10"/>
      <c r="Q682" s="10">
        <v>13.079000000000001</v>
      </c>
      <c r="R682" s="10"/>
      <c r="S682" s="10">
        <v>6.1230000000000002</v>
      </c>
      <c r="T682" s="10"/>
      <c r="U682" s="10">
        <v>27.417000000000002</v>
      </c>
      <c r="V682" s="10">
        <v>30.135000000000002</v>
      </c>
      <c r="W682" s="10">
        <v>67.715000000000003</v>
      </c>
      <c r="X682" s="10"/>
      <c r="Y682" s="10"/>
      <c r="Z682" s="10">
        <v>63.442999999999998</v>
      </c>
      <c r="AA682" s="10"/>
      <c r="AB682" s="10"/>
      <c r="AC682" s="10"/>
      <c r="AD682" s="10"/>
      <c r="AE682" s="10"/>
      <c r="AF682" s="10">
        <v>162.72300000000001</v>
      </c>
      <c r="AG682" s="10"/>
      <c r="AH682" s="10">
        <v>37.146999999999998</v>
      </c>
      <c r="AI682" s="10"/>
      <c r="AJ682" s="10"/>
      <c r="AK682" s="10">
        <v>407.78199999999998</v>
      </c>
    </row>
    <row r="683" spans="1:37" x14ac:dyDescent="0.25">
      <c r="A683">
        <v>2025</v>
      </c>
      <c r="B683">
        <v>1</v>
      </c>
      <c r="C683" s="11">
        <v>15</v>
      </c>
      <c r="D683" s="15" t="s">
        <v>31</v>
      </c>
      <c r="E683" s="12" t="s">
        <v>66</v>
      </c>
      <c r="F683" s="12">
        <v>109800</v>
      </c>
      <c r="G683" s="10">
        <f t="shared" si="17"/>
        <v>109.8</v>
      </c>
      <c r="N683" s="9">
        <v>12</v>
      </c>
      <c r="O683" s="10"/>
      <c r="P683" s="10"/>
      <c r="Q683" s="10">
        <v>5.7220000000000004</v>
      </c>
      <c r="R683" s="10"/>
      <c r="S683" s="10">
        <v>6.2279999999999998</v>
      </c>
      <c r="T683" s="10">
        <v>111.00999999999999</v>
      </c>
      <c r="U683" s="10"/>
      <c r="V683" s="10"/>
      <c r="W683" s="10">
        <v>89.998999999999995</v>
      </c>
      <c r="X683" s="10"/>
      <c r="Y683" s="10"/>
      <c r="Z683" s="10">
        <v>123.13000000000001</v>
      </c>
      <c r="AA683" s="10"/>
      <c r="AB683" s="10"/>
      <c r="AC683" s="10"/>
      <c r="AD683" s="10">
        <v>25.43</v>
      </c>
      <c r="AE683" s="10"/>
      <c r="AF683" s="10">
        <v>74.762</v>
      </c>
      <c r="AG683" s="10"/>
      <c r="AH683" s="10"/>
      <c r="AI683" s="10"/>
      <c r="AJ683" s="10"/>
      <c r="AK683" s="10">
        <v>436.28100000000001</v>
      </c>
    </row>
    <row r="684" spans="1:37" x14ac:dyDescent="0.25">
      <c r="A684">
        <v>2025</v>
      </c>
      <c r="B684">
        <v>1</v>
      </c>
      <c r="C684" s="11">
        <v>15</v>
      </c>
      <c r="D684" s="12" t="s">
        <v>24</v>
      </c>
      <c r="E684" s="12" t="s">
        <v>66</v>
      </c>
      <c r="F684" s="12">
        <v>120000</v>
      </c>
      <c r="G684" s="10">
        <f t="shared" si="17"/>
        <v>120</v>
      </c>
      <c r="N684" s="8">
        <v>2024</v>
      </c>
      <c r="O684" s="10">
        <v>54.4</v>
      </c>
      <c r="P684" s="10"/>
      <c r="Q684" s="10">
        <v>70.872</v>
      </c>
      <c r="R684" s="10">
        <v>126.081</v>
      </c>
      <c r="S684" s="10">
        <v>63.351999999999997</v>
      </c>
      <c r="T684" s="10">
        <v>141.422</v>
      </c>
      <c r="U684" s="10">
        <v>354.07899999999995</v>
      </c>
      <c r="V684" s="10">
        <v>67.195000000000007</v>
      </c>
      <c r="W684" s="10">
        <v>816.50399999999991</v>
      </c>
      <c r="X684" s="10">
        <v>31.585000000000001</v>
      </c>
      <c r="Y684" s="10">
        <v>573.34699999999998</v>
      </c>
      <c r="Z684" s="10">
        <v>1183.087</v>
      </c>
      <c r="AA684" s="10"/>
      <c r="AB684" s="10"/>
      <c r="AC684" s="10">
        <v>329.90700000000004</v>
      </c>
      <c r="AD684" s="10">
        <v>101.05399999999999</v>
      </c>
      <c r="AE684" s="10">
        <v>1.462</v>
      </c>
      <c r="AF684" s="10">
        <v>365.80300000000005</v>
      </c>
      <c r="AG684" s="10">
        <v>23.206</v>
      </c>
      <c r="AH684" s="10">
        <v>1143.7090000000001</v>
      </c>
      <c r="AI684" s="10"/>
      <c r="AJ684" s="10"/>
      <c r="AK684" s="10">
        <v>5447.0650000000005</v>
      </c>
    </row>
    <row r="685" spans="1:37" x14ac:dyDescent="0.25">
      <c r="A685">
        <v>2025</v>
      </c>
      <c r="B685">
        <v>1</v>
      </c>
      <c r="C685" s="11">
        <v>16</v>
      </c>
      <c r="D685" s="12" t="s">
        <v>12</v>
      </c>
      <c r="E685" s="12" t="s">
        <v>66</v>
      </c>
      <c r="F685" s="12">
        <v>6000</v>
      </c>
      <c r="G685" s="10">
        <f t="shared" si="17"/>
        <v>6</v>
      </c>
      <c r="N685" s="9">
        <v>1</v>
      </c>
      <c r="O685" s="10"/>
      <c r="P685" s="10"/>
      <c r="Q685" s="10">
        <v>2.1789999999999998</v>
      </c>
      <c r="R685" s="10"/>
      <c r="S685" s="10">
        <v>4.5309999999999997</v>
      </c>
      <c r="T685" s="10"/>
      <c r="U685" s="10">
        <v>16.710999999999999</v>
      </c>
      <c r="V685" s="10"/>
      <c r="W685" s="10">
        <v>4.0170000000000003</v>
      </c>
      <c r="X685" s="10"/>
      <c r="Y685" s="10"/>
      <c r="Z685" s="10">
        <v>143.62</v>
      </c>
      <c r="AA685" s="10"/>
      <c r="AB685" s="10"/>
      <c r="AC685" s="10"/>
      <c r="AD685" s="10"/>
      <c r="AE685" s="10"/>
      <c r="AF685" s="10">
        <v>66.971000000000004</v>
      </c>
      <c r="AG685" s="10"/>
      <c r="AH685" s="10">
        <v>114.899</v>
      </c>
      <c r="AI685" s="10"/>
      <c r="AJ685" s="10"/>
      <c r="AK685" s="10">
        <v>352.928</v>
      </c>
    </row>
    <row r="686" spans="1:37" x14ac:dyDescent="0.25">
      <c r="A686">
        <v>2025</v>
      </c>
      <c r="B686">
        <v>1</v>
      </c>
      <c r="C686" s="11">
        <v>16</v>
      </c>
      <c r="D686" s="15" t="s">
        <v>54</v>
      </c>
      <c r="E686" s="12" t="s">
        <v>66</v>
      </c>
      <c r="F686" s="12">
        <v>60000</v>
      </c>
      <c r="G686" s="10">
        <f t="shared" si="17"/>
        <v>60</v>
      </c>
      <c r="N686" s="18">
        <v>2</v>
      </c>
      <c r="O686" s="19"/>
      <c r="P686" s="19"/>
      <c r="Q686" s="19"/>
      <c r="R686" s="19"/>
      <c r="S686" s="19"/>
      <c r="T686" s="19">
        <v>141.422</v>
      </c>
      <c r="U686" s="19"/>
      <c r="V686" s="19"/>
      <c r="W686" s="19"/>
      <c r="X686" s="19"/>
      <c r="Y686" s="19"/>
      <c r="Z686" s="19">
        <v>111.09399999999999</v>
      </c>
      <c r="AA686" s="19"/>
      <c r="AB686" s="19"/>
      <c r="AC686" s="19"/>
      <c r="AD686" s="19"/>
      <c r="AE686" s="19"/>
      <c r="AF686" s="19">
        <v>69.287000000000006</v>
      </c>
      <c r="AG686" s="19"/>
      <c r="AH686" s="19">
        <v>70.22</v>
      </c>
      <c r="AI686" s="19"/>
      <c r="AJ686" s="19"/>
      <c r="AK686" s="19">
        <v>392.02300000000002</v>
      </c>
    </row>
    <row r="687" spans="1:37" x14ac:dyDescent="0.25">
      <c r="A687">
        <v>2025</v>
      </c>
      <c r="B687">
        <v>1</v>
      </c>
      <c r="C687" s="11">
        <v>19</v>
      </c>
      <c r="D687" s="12" t="s">
        <v>12</v>
      </c>
      <c r="E687" s="12" t="s">
        <v>66</v>
      </c>
      <c r="F687" s="12">
        <v>15700</v>
      </c>
      <c r="G687" s="10">
        <f t="shared" si="17"/>
        <v>15.7</v>
      </c>
      <c r="N687" s="18">
        <v>3</v>
      </c>
      <c r="O687" s="19"/>
      <c r="P687" s="19"/>
      <c r="Q687" s="19">
        <v>4.0869999999999997</v>
      </c>
      <c r="R687" s="19"/>
      <c r="S687" s="19">
        <v>9.027000000000001</v>
      </c>
      <c r="T687" s="19"/>
      <c r="U687" s="19"/>
      <c r="V687" s="19">
        <v>26.644000000000002</v>
      </c>
      <c r="W687" s="19">
        <v>96.744</v>
      </c>
      <c r="X687" s="19"/>
      <c r="Y687" s="19">
        <v>199.57299999999998</v>
      </c>
      <c r="Z687" s="19">
        <v>139.249</v>
      </c>
      <c r="AA687" s="19"/>
      <c r="AB687" s="19"/>
      <c r="AC687" s="19">
        <v>77.968999999999994</v>
      </c>
      <c r="AD687" s="19"/>
      <c r="AE687" s="19"/>
      <c r="AF687" s="19"/>
      <c r="AG687" s="19"/>
      <c r="AH687" s="19"/>
      <c r="AI687" s="19"/>
      <c r="AJ687" s="19"/>
      <c r="AK687" s="19">
        <v>553.29299999999989</v>
      </c>
    </row>
    <row r="688" spans="1:37" x14ac:dyDescent="0.25">
      <c r="A688">
        <v>2025</v>
      </c>
      <c r="B688">
        <v>1</v>
      </c>
      <c r="C688" s="11">
        <v>20</v>
      </c>
      <c r="D688" s="12" t="s">
        <v>5</v>
      </c>
      <c r="E688" s="12" t="s">
        <v>66</v>
      </c>
      <c r="F688" s="12">
        <v>38700</v>
      </c>
      <c r="G688" s="10">
        <f t="shared" si="17"/>
        <v>38.700000000000003</v>
      </c>
      <c r="N688" s="18">
        <v>4</v>
      </c>
      <c r="O688" s="19"/>
      <c r="P688" s="19"/>
      <c r="Q688" s="19">
        <v>6.54</v>
      </c>
      <c r="R688" s="19"/>
      <c r="S688" s="19"/>
      <c r="T688" s="19"/>
      <c r="U688" s="19"/>
      <c r="V688" s="19"/>
      <c r="W688" s="19">
        <v>98.23</v>
      </c>
      <c r="X688" s="19"/>
      <c r="Y688" s="19">
        <v>81.157999999999987</v>
      </c>
      <c r="Z688" s="19">
        <v>64.972000000000008</v>
      </c>
      <c r="AA688" s="19"/>
      <c r="AB688" s="19"/>
      <c r="AC688" s="19">
        <v>66.453999999999994</v>
      </c>
      <c r="AD688" s="19">
        <v>33.158999999999999</v>
      </c>
      <c r="AE688" s="19"/>
      <c r="AF688" s="19">
        <v>26.731000000000002</v>
      </c>
      <c r="AG688" s="19"/>
      <c r="AH688" s="19">
        <v>124.97999999999999</v>
      </c>
      <c r="AI688" s="19"/>
      <c r="AJ688" s="19"/>
      <c r="AK688" s="19">
        <v>502.22399999999993</v>
      </c>
    </row>
    <row r="689" spans="1:37" x14ac:dyDescent="0.25">
      <c r="A689">
        <v>2025</v>
      </c>
      <c r="B689">
        <v>1</v>
      </c>
      <c r="C689" s="11">
        <v>21</v>
      </c>
      <c r="D689" s="12" t="s">
        <v>12</v>
      </c>
      <c r="E689" s="12" t="s">
        <v>66</v>
      </c>
      <c r="F689" s="12">
        <v>17000</v>
      </c>
      <c r="G689" s="10">
        <f t="shared" si="17"/>
        <v>17</v>
      </c>
      <c r="N689" s="18">
        <v>5</v>
      </c>
      <c r="O689" s="19"/>
      <c r="P689" s="19"/>
      <c r="Q689" s="19">
        <v>8.718</v>
      </c>
      <c r="R689" s="19"/>
      <c r="S689" s="19"/>
      <c r="T689" s="19"/>
      <c r="U689" s="19">
        <v>44.467999999999996</v>
      </c>
      <c r="V689" s="19"/>
      <c r="W689" s="19">
        <v>103.79600000000001</v>
      </c>
      <c r="X689" s="19">
        <v>31.585000000000001</v>
      </c>
      <c r="Y689" s="19"/>
      <c r="Z689" s="19">
        <v>83.447000000000003</v>
      </c>
      <c r="AA689" s="19"/>
      <c r="AB689" s="19"/>
      <c r="AC689" s="19"/>
      <c r="AD689" s="19"/>
      <c r="AE689" s="19"/>
      <c r="AF689" s="19"/>
      <c r="AG689" s="19">
        <v>23.206</v>
      </c>
      <c r="AH689" s="19">
        <v>87.289999999999992</v>
      </c>
      <c r="AI689" s="19"/>
      <c r="AJ689" s="19"/>
      <c r="AK689" s="19">
        <v>382.51</v>
      </c>
    </row>
    <row r="690" spans="1:37" x14ac:dyDescent="0.25">
      <c r="A690">
        <v>2025</v>
      </c>
      <c r="B690">
        <v>1</v>
      </c>
      <c r="C690" s="11">
        <v>22</v>
      </c>
      <c r="D690" s="12" t="s">
        <v>24</v>
      </c>
      <c r="E690" s="12" t="s">
        <v>66</v>
      </c>
      <c r="F690" s="12">
        <v>116500</v>
      </c>
      <c r="G690" s="10">
        <f t="shared" si="17"/>
        <v>116.5</v>
      </c>
      <c r="N690" s="18">
        <v>6</v>
      </c>
      <c r="O690" s="19"/>
      <c r="P690" s="19"/>
      <c r="Q690" s="19"/>
      <c r="R690" s="19"/>
      <c r="S690" s="19">
        <v>9.6739999999999995</v>
      </c>
      <c r="T690" s="19"/>
      <c r="U690" s="19"/>
      <c r="V690" s="19"/>
      <c r="W690" s="19">
        <v>91.677000000000007</v>
      </c>
      <c r="X690" s="19"/>
      <c r="Y690" s="19"/>
      <c r="Z690" s="19">
        <v>65.62</v>
      </c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>
        <v>166.971</v>
      </c>
    </row>
    <row r="691" spans="1:37" x14ac:dyDescent="0.25">
      <c r="A691">
        <v>2025</v>
      </c>
      <c r="B691">
        <v>1</v>
      </c>
      <c r="C691" s="11">
        <v>24</v>
      </c>
      <c r="D691" s="12" t="s">
        <v>58</v>
      </c>
      <c r="E691" s="12" t="s">
        <v>66</v>
      </c>
      <c r="F691" s="12">
        <v>80000</v>
      </c>
      <c r="G691" s="10">
        <f t="shared" ref="G691:G712" si="18">F691/1000</f>
        <v>80</v>
      </c>
      <c r="N691" s="18">
        <v>7</v>
      </c>
      <c r="O691" s="19"/>
      <c r="P691" s="19"/>
      <c r="Q691" s="19">
        <v>7.6280000000000001</v>
      </c>
      <c r="R691" s="19"/>
      <c r="S691" s="19"/>
      <c r="T691" s="19"/>
      <c r="U691" s="19"/>
      <c r="V691" s="19">
        <v>40.551000000000002</v>
      </c>
      <c r="W691" s="19">
        <v>95.991</v>
      </c>
      <c r="X691" s="19"/>
      <c r="Y691" s="19">
        <v>143.809</v>
      </c>
      <c r="Z691" s="19">
        <v>65.19</v>
      </c>
      <c r="AA691" s="19"/>
      <c r="AB691" s="19"/>
      <c r="AC691" s="19">
        <v>41.384</v>
      </c>
      <c r="AD691" s="19"/>
      <c r="AE691" s="19"/>
      <c r="AF691" s="19"/>
      <c r="AG691" s="19"/>
      <c r="AH691" s="19">
        <v>106.8</v>
      </c>
      <c r="AI691" s="19"/>
      <c r="AJ691" s="19"/>
      <c r="AK691" s="19">
        <v>501.35300000000007</v>
      </c>
    </row>
    <row r="692" spans="1:37" x14ac:dyDescent="0.25">
      <c r="A692">
        <v>2025</v>
      </c>
      <c r="B692">
        <v>1</v>
      </c>
      <c r="C692" s="11">
        <v>24</v>
      </c>
      <c r="D692" s="12" t="s">
        <v>12</v>
      </c>
      <c r="E692" s="12" t="s">
        <v>66</v>
      </c>
      <c r="F692" s="12">
        <v>15800</v>
      </c>
      <c r="G692" s="10">
        <f t="shared" si="18"/>
        <v>15.8</v>
      </c>
      <c r="N692" s="18">
        <v>8</v>
      </c>
      <c r="O692" s="19"/>
      <c r="P692" s="19"/>
      <c r="Q692" s="19">
        <v>8.1750000000000007</v>
      </c>
      <c r="R692" s="19"/>
      <c r="S692" s="19"/>
      <c r="T692" s="19"/>
      <c r="U692" s="19"/>
      <c r="V692" s="19"/>
      <c r="W692" s="19">
        <v>100.35499999999999</v>
      </c>
      <c r="X692" s="19"/>
      <c r="Y692" s="19">
        <v>148.80700000000002</v>
      </c>
      <c r="Z692" s="19">
        <v>94.282999999999987</v>
      </c>
      <c r="AA692" s="19"/>
      <c r="AB692" s="19"/>
      <c r="AC692" s="19"/>
      <c r="AD692" s="19"/>
      <c r="AE692" s="19"/>
      <c r="AF692" s="19"/>
      <c r="AG692" s="19"/>
      <c r="AH692" s="19">
        <v>130.714</v>
      </c>
      <c r="AI692" s="19"/>
      <c r="AJ692" s="19"/>
      <c r="AK692" s="19">
        <v>482.334</v>
      </c>
    </row>
    <row r="693" spans="1:37" x14ac:dyDescent="0.25">
      <c r="A693">
        <v>2025</v>
      </c>
      <c r="B693">
        <v>1</v>
      </c>
      <c r="C693" s="11">
        <v>27</v>
      </c>
      <c r="D693" s="12" t="s">
        <v>31</v>
      </c>
      <c r="E693" s="12" t="s">
        <v>66</v>
      </c>
      <c r="F693" s="12">
        <v>80000</v>
      </c>
      <c r="G693" s="10">
        <f t="shared" si="18"/>
        <v>80</v>
      </c>
      <c r="N693" s="18">
        <v>9</v>
      </c>
      <c r="O693" s="19"/>
      <c r="P693" s="19"/>
      <c r="Q693" s="19"/>
      <c r="R693" s="19"/>
      <c r="S693" s="19">
        <v>28.238</v>
      </c>
      <c r="T693" s="19"/>
      <c r="U693" s="19"/>
      <c r="V693" s="19"/>
      <c r="W693" s="19">
        <v>66.900999999999996</v>
      </c>
      <c r="X693" s="19"/>
      <c r="Y693" s="19"/>
      <c r="Z693" s="19">
        <v>100.815</v>
      </c>
      <c r="AA693" s="19"/>
      <c r="AB693" s="19"/>
      <c r="AC693" s="19">
        <v>43.6</v>
      </c>
      <c r="AD693" s="19"/>
      <c r="AE693" s="19"/>
      <c r="AF693" s="19">
        <v>60.524999999999999</v>
      </c>
      <c r="AG693" s="19"/>
      <c r="AH693" s="19">
        <v>128.35300000000001</v>
      </c>
      <c r="AI693" s="19"/>
      <c r="AJ693" s="19"/>
      <c r="AK693" s="19">
        <v>428.43200000000002</v>
      </c>
    </row>
    <row r="694" spans="1:37" x14ac:dyDescent="0.25">
      <c r="A694">
        <v>2025</v>
      </c>
      <c r="B694">
        <v>1</v>
      </c>
      <c r="C694" s="11">
        <v>28</v>
      </c>
      <c r="D694" s="12" t="s">
        <v>24</v>
      </c>
      <c r="E694" s="12" t="s">
        <v>66</v>
      </c>
      <c r="F694" s="12">
        <v>140000</v>
      </c>
      <c r="G694" s="10">
        <f t="shared" si="18"/>
        <v>140</v>
      </c>
      <c r="N694" s="16">
        <v>10</v>
      </c>
      <c r="O694" s="17"/>
      <c r="P694" s="17"/>
      <c r="Q694" s="17">
        <v>33.545000000000002</v>
      </c>
      <c r="R694" s="17"/>
      <c r="S694" s="17">
        <v>5.702</v>
      </c>
      <c r="T694" s="17"/>
      <c r="U694" s="17"/>
      <c r="V694" s="17"/>
      <c r="W694" s="17">
        <v>99.492999999999995</v>
      </c>
      <c r="X694" s="17"/>
      <c r="Y694" s="17"/>
      <c r="Z694" s="17">
        <v>96.885000000000005</v>
      </c>
      <c r="AA694" s="17"/>
      <c r="AB694" s="17"/>
      <c r="AC694" s="17"/>
      <c r="AD694" s="17">
        <v>37.695999999999998</v>
      </c>
      <c r="AE694" s="17">
        <v>1.462</v>
      </c>
      <c r="AF694" s="17">
        <v>133.68900000000002</v>
      </c>
      <c r="AG694" s="17"/>
      <c r="AH694" s="17">
        <v>140.25299999999999</v>
      </c>
      <c r="AI694" s="17"/>
      <c r="AJ694" s="17"/>
      <c r="AK694" s="17">
        <v>548.72500000000002</v>
      </c>
    </row>
    <row r="695" spans="1:37" x14ac:dyDescent="0.25">
      <c r="A695">
        <v>2025</v>
      </c>
      <c r="B695">
        <v>1</v>
      </c>
      <c r="C695" s="11">
        <v>29</v>
      </c>
      <c r="D695" s="15" t="s">
        <v>12</v>
      </c>
      <c r="E695" s="12" t="s">
        <v>66</v>
      </c>
      <c r="F695" s="12">
        <v>16700</v>
      </c>
      <c r="G695" s="10">
        <f t="shared" si="18"/>
        <v>16.7</v>
      </c>
      <c r="N695" s="9">
        <v>11</v>
      </c>
      <c r="O695" s="10">
        <v>54.4</v>
      </c>
      <c r="P695" s="10"/>
      <c r="Q695" s="10"/>
      <c r="R695" s="10">
        <v>55</v>
      </c>
      <c r="S695" s="10"/>
      <c r="T695" s="10"/>
      <c r="U695" s="10">
        <v>292.89999999999998</v>
      </c>
      <c r="V695" s="10"/>
      <c r="W695" s="10">
        <v>59.3</v>
      </c>
      <c r="X695" s="10"/>
      <c r="Y695" s="10"/>
      <c r="Z695" s="10">
        <v>89.3</v>
      </c>
      <c r="AA695" s="10"/>
      <c r="AB695" s="10"/>
      <c r="AC695" s="10">
        <v>100.5</v>
      </c>
      <c r="AD695" s="10">
        <v>2.2999999999999998</v>
      </c>
      <c r="AE695" s="10"/>
      <c r="AF695" s="10">
        <v>8.6</v>
      </c>
      <c r="AG695" s="10"/>
      <c r="AH695" s="10">
        <v>240.2</v>
      </c>
      <c r="AI695" s="10"/>
      <c r="AJ695" s="10"/>
      <c r="AK695" s="10">
        <v>902.5</v>
      </c>
    </row>
    <row r="696" spans="1:37" x14ac:dyDescent="0.25">
      <c r="A696">
        <v>2025</v>
      </c>
      <c r="B696">
        <v>2</v>
      </c>
      <c r="C696" s="1">
        <v>2</v>
      </c>
      <c r="D696" t="s">
        <v>5</v>
      </c>
      <c r="E696" t="s">
        <v>66</v>
      </c>
      <c r="F696">
        <v>70000</v>
      </c>
      <c r="G696" s="10">
        <f t="shared" si="18"/>
        <v>70</v>
      </c>
      <c r="N696" s="9">
        <v>12</v>
      </c>
      <c r="O696" s="10"/>
      <c r="P696" s="10"/>
      <c r="Q696" s="10"/>
      <c r="R696" s="10">
        <v>71.081000000000003</v>
      </c>
      <c r="S696" s="10">
        <v>6.18</v>
      </c>
      <c r="T696" s="10"/>
      <c r="U696" s="10"/>
      <c r="V696" s="10"/>
      <c r="W696" s="10"/>
      <c r="X696" s="10"/>
      <c r="Y696" s="10"/>
      <c r="Z696" s="10">
        <v>128.61199999999999</v>
      </c>
      <c r="AA696" s="10"/>
      <c r="AB696" s="10"/>
      <c r="AC696" s="10"/>
      <c r="AD696" s="10">
        <v>27.899000000000001</v>
      </c>
      <c r="AE696" s="10"/>
      <c r="AF696" s="10"/>
      <c r="AG696" s="10"/>
      <c r="AH696" s="10"/>
      <c r="AI696" s="10"/>
      <c r="AJ696" s="10"/>
      <c r="AK696" s="10">
        <v>233.77199999999999</v>
      </c>
    </row>
    <row r="697" spans="1:37" x14ac:dyDescent="0.25">
      <c r="A697">
        <v>2025</v>
      </c>
      <c r="B697">
        <v>2</v>
      </c>
      <c r="C697" s="1">
        <v>4</v>
      </c>
      <c r="D697" t="s">
        <v>12</v>
      </c>
      <c r="E697" t="s">
        <v>66</v>
      </c>
      <c r="F697">
        <v>16600</v>
      </c>
      <c r="G697" s="10">
        <f t="shared" si="18"/>
        <v>16.600000000000001</v>
      </c>
      <c r="N697" s="8">
        <v>2025</v>
      </c>
      <c r="O697" s="10">
        <v>45</v>
      </c>
      <c r="P697" s="10">
        <v>270</v>
      </c>
      <c r="Q697" s="10">
        <v>250</v>
      </c>
      <c r="R697" s="10">
        <v>311.5</v>
      </c>
      <c r="S697" s="10">
        <v>30.8</v>
      </c>
      <c r="T697" s="10">
        <v>956.5</v>
      </c>
      <c r="U697" s="10"/>
      <c r="V697" s="10"/>
      <c r="W697" s="10">
        <v>815.6</v>
      </c>
      <c r="X697" s="10"/>
      <c r="Y697" s="10">
        <v>541</v>
      </c>
      <c r="Z697" s="10">
        <v>859.2</v>
      </c>
      <c r="AA697" s="10"/>
      <c r="AB697" s="10"/>
      <c r="AC697" s="10">
        <v>909.9</v>
      </c>
      <c r="AD697" s="10">
        <v>24.2</v>
      </c>
      <c r="AE697" s="10"/>
      <c r="AF697" s="10">
        <v>40</v>
      </c>
      <c r="AG697" s="10"/>
      <c r="AH697" s="10">
        <v>585</v>
      </c>
      <c r="AI697" s="10">
        <v>102</v>
      </c>
      <c r="AJ697" s="10">
        <v>12</v>
      </c>
      <c r="AK697" s="10">
        <v>5752.7</v>
      </c>
    </row>
    <row r="698" spans="1:37" x14ac:dyDescent="0.25">
      <c r="A698">
        <v>2025</v>
      </c>
      <c r="B698">
        <v>2</v>
      </c>
      <c r="C698" s="1">
        <v>4</v>
      </c>
      <c r="D698" t="s">
        <v>12</v>
      </c>
      <c r="E698" t="s">
        <v>66</v>
      </c>
      <c r="F698">
        <v>6000</v>
      </c>
      <c r="G698" s="10">
        <f t="shared" si="18"/>
        <v>6</v>
      </c>
      <c r="N698" s="9">
        <v>1</v>
      </c>
      <c r="O698" s="10"/>
      <c r="P698" s="10">
        <v>80</v>
      </c>
      <c r="Q698" s="10"/>
      <c r="R698" s="10">
        <v>60</v>
      </c>
      <c r="S698" s="10"/>
      <c r="T698" s="10">
        <v>476.5</v>
      </c>
      <c r="U698" s="10"/>
      <c r="V698" s="10"/>
      <c r="W698" s="10">
        <v>78.599999999999994</v>
      </c>
      <c r="X698" s="10"/>
      <c r="Y698" s="10"/>
      <c r="Z698" s="10">
        <v>136</v>
      </c>
      <c r="AA698" s="10"/>
      <c r="AB698" s="10"/>
      <c r="AC698" s="10">
        <v>229.9</v>
      </c>
      <c r="AD698" s="10"/>
      <c r="AE698" s="10"/>
      <c r="AF698" s="10"/>
      <c r="AG698" s="10"/>
      <c r="AH698" s="10"/>
      <c r="AI698" s="10"/>
      <c r="AJ698" s="10"/>
      <c r="AK698" s="10">
        <v>1061</v>
      </c>
    </row>
    <row r="699" spans="1:37" x14ac:dyDescent="0.25">
      <c r="A699">
        <v>2025</v>
      </c>
      <c r="B699">
        <v>2</v>
      </c>
      <c r="C699" s="1">
        <v>5</v>
      </c>
      <c r="D699" t="s">
        <v>8</v>
      </c>
      <c r="E699" t="s">
        <v>66</v>
      </c>
      <c r="F699">
        <v>14800</v>
      </c>
      <c r="G699" s="10">
        <f t="shared" si="18"/>
        <v>14.8</v>
      </c>
      <c r="N699" s="18">
        <v>2</v>
      </c>
      <c r="O699" s="19"/>
      <c r="P699" s="19"/>
      <c r="Q699" s="19"/>
      <c r="R699" s="19">
        <v>70</v>
      </c>
      <c r="S699" s="19">
        <v>14.8</v>
      </c>
      <c r="T699" s="19">
        <v>180</v>
      </c>
      <c r="U699" s="19"/>
      <c r="V699" s="19"/>
      <c r="W699" s="19">
        <v>162</v>
      </c>
      <c r="X699" s="19"/>
      <c r="Y699" s="19"/>
      <c r="Z699" s="19">
        <v>132.20000000000002</v>
      </c>
      <c r="AA699" s="19"/>
      <c r="AB699" s="19"/>
      <c r="AC699" s="19">
        <v>220</v>
      </c>
      <c r="AD699" s="19">
        <v>14.2</v>
      </c>
      <c r="AE699" s="19"/>
      <c r="AF699" s="19"/>
      <c r="AG699" s="19"/>
      <c r="AH699" s="19"/>
      <c r="AI699" s="19"/>
      <c r="AJ699" s="19"/>
      <c r="AK699" s="19">
        <v>793.2</v>
      </c>
    </row>
    <row r="700" spans="1:37" x14ac:dyDescent="0.25">
      <c r="A700">
        <v>2025</v>
      </c>
      <c r="B700">
        <v>2</v>
      </c>
      <c r="C700" s="1">
        <v>8</v>
      </c>
      <c r="D700" t="s">
        <v>31</v>
      </c>
      <c r="E700" t="s">
        <v>66</v>
      </c>
      <c r="F700">
        <v>110000</v>
      </c>
      <c r="G700" s="10">
        <f>F700/1000</f>
        <v>110</v>
      </c>
      <c r="N700" s="18">
        <v>3</v>
      </c>
      <c r="O700" s="19">
        <v>45</v>
      </c>
      <c r="P700" s="19"/>
      <c r="Q700" s="19"/>
      <c r="R700" s="19"/>
      <c r="S700" s="19"/>
      <c r="T700" s="19"/>
      <c r="U700" s="19"/>
      <c r="V700" s="19"/>
      <c r="W700" s="19">
        <v>100</v>
      </c>
      <c r="X700" s="19"/>
      <c r="Y700" s="19">
        <v>210</v>
      </c>
      <c r="Z700" s="19">
        <v>102</v>
      </c>
      <c r="AA700" s="19"/>
      <c r="AB700" s="19"/>
      <c r="AC700" s="19"/>
      <c r="AD700" s="19"/>
      <c r="AE700" s="19"/>
      <c r="AF700" s="19"/>
      <c r="AG700" s="19"/>
      <c r="AH700" s="19">
        <v>70</v>
      </c>
      <c r="AI700" s="19"/>
      <c r="AJ700" s="19"/>
      <c r="AK700" s="19">
        <v>527</v>
      </c>
    </row>
    <row r="701" spans="1:37" x14ac:dyDescent="0.25">
      <c r="A701">
        <v>2025</v>
      </c>
      <c r="B701">
        <v>2</v>
      </c>
      <c r="C701" s="1">
        <v>10</v>
      </c>
      <c r="D701" t="s">
        <v>12</v>
      </c>
      <c r="E701" t="s">
        <v>66</v>
      </c>
      <c r="F701">
        <v>15300</v>
      </c>
      <c r="G701" s="10">
        <f>F701/1000</f>
        <v>15.3</v>
      </c>
      <c r="N701" s="18">
        <v>4</v>
      </c>
      <c r="O701" s="19"/>
      <c r="P701" s="19">
        <v>30</v>
      </c>
      <c r="Q701" s="19"/>
      <c r="R701" s="19">
        <v>121.5</v>
      </c>
      <c r="S701" s="19"/>
      <c r="T701" s="19"/>
      <c r="U701" s="19"/>
      <c r="V701" s="19"/>
      <c r="W701" s="19">
        <v>60</v>
      </c>
      <c r="X701" s="19"/>
      <c r="Y701" s="19">
        <v>151</v>
      </c>
      <c r="Z701" s="19">
        <v>66</v>
      </c>
      <c r="AA701" s="19"/>
      <c r="AB701" s="19"/>
      <c r="AC701" s="19"/>
      <c r="AD701" s="19"/>
      <c r="AE701" s="19"/>
      <c r="AF701" s="19"/>
      <c r="AG701" s="19"/>
      <c r="AH701" s="19">
        <v>140</v>
      </c>
      <c r="AI701" s="19">
        <v>69</v>
      </c>
      <c r="AJ701" s="19"/>
      <c r="AK701" s="19">
        <v>637.5</v>
      </c>
    </row>
    <row r="702" spans="1:37" x14ac:dyDescent="0.25">
      <c r="A702">
        <v>2025</v>
      </c>
      <c r="B702">
        <v>2</v>
      </c>
      <c r="C702" s="1">
        <v>10</v>
      </c>
      <c r="D702" t="s">
        <v>31</v>
      </c>
      <c r="E702" t="s">
        <v>66</v>
      </c>
      <c r="F702">
        <v>110000</v>
      </c>
      <c r="G702" s="10">
        <f t="shared" si="18"/>
        <v>110</v>
      </c>
      <c r="N702" s="18">
        <v>5</v>
      </c>
      <c r="O702" s="19"/>
      <c r="P702" s="19">
        <v>100</v>
      </c>
      <c r="Q702" s="19">
        <v>100</v>
      </c>
      <c r="R702" s="19"/>
      <c r="S702" s="19"/>
      <c r="T702" s="19"/>
      <c r="U702" s="19"/>
      <c r="V702" s="19"/>
      <c r="W702" s="19">
        <v>60</v>
      </c>
      <c r="X702" s="19"/>
      <c r="Y702" s="19">
        <v>60</v>
      </c>
      <c r="Z702" s="19">
        <v>64</v>
      </c>
      <c r="AA702" s="19"/>
      <c r="AB702" s="19"/>
      <c r="AC702" s="19">
        <v>190</v>
      </c>
      <c r="AD702" s="19"/>
      <c r="AE702" s="19"/>
      <c r="AF702" s="19">
        <v>40</v>
      </c>
      <c r="AG702" s="19"/>
      <c r="AH702" s="19">
        <v>70</v>
      </c>
      <c r="AI702" s="19"/>
      <c r="AJ702" s="19"/>
      <c r="AK702" s="19">
        <v>684</v>
      </c>
    </row>
    <row r="703" spans="1:37" x14ac:dyDescent="0.25">
      <c r="A703">
        <v>2025</v>
      </c>
      <c r="B703">
        <v>2</v>
      </c>
      <c r="C703" s="1">
        <v>12</v>
      </c>
      <c r="D703" t="s">
        <v>12</v>
      </c>
      <c r="E703" t="s">
        <v>66</v>
      </c>
      <c r="F703">
        <v>16700</v>
      </c>
      <c r="G703" s="10">
        <f t="shared" si="18"/>
        <v>16.7</v>
      </c>
      <c r="N703" s="18">
        <v>6</v>
      </c>
      <c r="O703" s="19"/>
      <c r="P703" s="19"/>
      <c r="Q703" s="19"/>
      <c r="R703" s="19"/>
      <c r="S703" s="19"/>
      <c r="T703" s="19"/>
      <c r="U703" s="19"/>
      <c r="V703" s="19"/>
      <c r="W703" s="19">
        <v>70</v>
      </c>
      <c r="X703" s="19"/>
      <c r="Y703" s="19"/>
      <c r="Z703" s="19">
        <v>89</v>
      </c>
      <c r="AA703" s="19"/>
      <c r="AB703" s="19"/>
      <c r="AC703" s="19"/>
      <c r="AD703" s="19"/>
      <c r="AE703" s="19"/>
      <c r="AF703" s="19"/>
      <c r="AG703" s="19"/>
      <c r="AH703" s="19">
        <v>70</v>
      </c>
      <c r="AI703" s="19"/>
      <c r="AJ703" s="19"/>
      <c r="AK703" s="19">
        <v>229</v>
      </c>
    </row>
    <row r="704" spans="1:37" x14ac:dyDescent="0.25">
      <c r="A704">
        <v>2025</v>
      </c>
      <c r="B704">
        <v>2</v>
      </c>
      <c r="C704" s="1">
        <v>13</v>
      </c>
      <c r="D704" t="s">
        <v>12</v>
      </c>
      <c r="E704" t="s">
        <v>66</v>
      </c>
      <c r="F704">
        <v>16700</v>
      </c>
      <c r="G704" s="10">
        <f t="shared" si="18"/>
        <v>16.7</v>
      </c>
      <c r="N704" s="18">
        <v>7</v>
      </c>
      <c r="O704" s="19"/>
      <c r="P704" s="19"/>
      <c r="Q704" s="19">
        <v>100</v>
      </c>
      <c r="R704" s="19"/>
      <c r="S704" s="19"/>
      <c r="T704" s="19">
        <v>100</v>
      </c>
      <c r="U704" s="19"/>
      <c r="V704" s="19"/>
      <c r="W704" s="19">
        <v>25</v>
      </c>
      <c r="X704" s="19"/>
      <c r="Y704" s="19">
        <v>120</v>
      </c>
      <c r="Z704" s="19">
        <v>79</v>
      </c>
      <c r="AA704" s="19"/>
      <c r="AB704" s="19"/>
      <c r="AC704" s="19"/>
      <c r="AD704" s="19">
        <v>10</v>
      </c>
      <c r="AE704" s="19"/>
      <c r="AF704" s="19"/>
      <c r="AG704" s="19"/>
      <c r="AH704" s="19">
        <v>60</v>
      </c>
      <c r="AI704" s="19">
        <v>16</v>
      </c>
      <c r="AJ704" s="19"/>
      <c r="AK704" s="19">
        <v>510</v>
      </c>
    </row>
    <row r="705" spans="1:37" x14ac:dyDescent="0.25">
      <c r="A705">
        <v>2025</v>
      </c>
      <c r="B705">
        <v>2</v>
      </c>
      <c r="C705" s="1">
        <v>13</v>
      </c>
      <c r="D705" t="s">
        <v>36</v>
      </c>
      <c r="E705" t="s">
        <v>66</v>
      </c>
      <c r="F705">
        <v>14200</v>
      </c>
      <c r="G705" s="10">
        <f t="shared" si="18"/>
        <v>14.2</v>
      </c>
      <c r="N705" s="18">
        <v>8</v>
      </c>
      <c r="O705" s="19"/>
      <c r="P705" s="19"/>
      <c r="Q705" s="19"/>
      <c r="R705" s="19"/>
      <c r="S705" s="19"/>
      <c r="T705" s="19"/>
      <c r="U705" s="19"/>
      <c r="V705" s="19"/>
      <c r="W705" s="19">
        <v>100</v>
      </c>
      <c r="X705" s="19"/>
      <c r="Y705" s="19"/>
      <c r="Z705" s="19">
        <v>86</v>
      </c>
      <c r="AA705" s="19"/>
      <c r="AB705" s="19"/>
      <c r="AC705" s="19">
        <v>60</v>
      </c>
      <c r="AD705" s="19"/>
      <c r="AE705" s="19"/>
      <c r="AF705" s="19"/>
      <c r="AG705" s="19"/>
      <c r="AH705" s="19">
        <v>50</v>
      </c>
      <c r="AI705" s="19">
        <v>17</v>
      </c>
      <c r="AJ705" s="19"/>
      <c r="AK705" s="19">
        <v>313</v>
      </c>
    </row>
    <row r="706" spans="1:37" x14ac:dyDescent="0.25">
      <c r="A706">
        <v>2025</v>
      </c>
      <c r="B706">
        <v>2</v>
      </c>
      <c r="C706" s="1">
        <v>17</v>
      </c>
      <c r="D706" t="s">
        <v>12</v>
      </c>
      <c r="E706" t="s">
        <v>66</v>
      </c>
      <c r="F706">
        <v>16100</v>
      </c>
      <c r="G706" s="10">
        <f t="shared" si="18"/>
        <v>16.100000000000001</v>
      </c>
      <c r="N706" s="18">
        <v>9</v>
      </c>
      <c r="O706" s="19"/>
      <c r="P706" s="19">
        <v>60</v>
      </c>
      <c r="Q706" s="19"/>
      <c r="R706" s="19">
        <v>60</v>
      </c>
      <c r="S706" s="19">
        <v>16</v>
      </c>
      <c r="T706" s="19">
        <v>200</v>
      </c>
      <c r="U706" s="19"/>
      <c r="V706" s="19"/>
      <c r="W706" s="19">
        <v>60</v>
      </c>
      <c r="X706" s="19"/>
      <c r="Y706" s="19"/>
      <c r="Z706" s="19">
        <v>45</v>
      </c>
      <c r="AA706" s="19"/>
      <c r="AB706" s="19"/>
      <c r="AC706" s="19">
        <v>110</v>
      </c>
      <c r="AD706" s="19"/>
      <c r="AE706" s="19"/>
      <c r="AF706" s="19"/>
      <c r="AG706" s="19"/>
      <c r="AH706" s="19">
        <v>70</v>
      </c>
      <c r="AI706" s="19"/>
      <c r="AJ706" s="19">
        <v>12</v>
      </c>
      <c r="AK706" s="19">
        <v>633</v>
      </c>
    </row>
    <row r="707" spans="1:37" x14ac:dyDescent="0.25">
      <c r="A707">
        <v>2025</v>
      </c>
      <c r="B707">
        <v>2</v>
      </c>
      <c r="C707">
        <v>18</v>
      </c>
      <c r="D707" t="s">
        <v>12</v>
      </c>
      <c r="E707" t="s">
        <v>66</v>
      </c>
      <c r="F707">
        <v>16700</v>
      </c>
      <c r="G707" s="10">
        <f t="shared" si="18"/>
        <v>16.7</v>
      </c>
      <c r="N707" s="16">
        <v>10</v>
      </c>
      <c r="O707" s="17"/>
      <c r="P707" s="17"/>
      <c r="Q707" s="17">
        <v>50</v>
      </c>
      <c r="R707" s="17"/>
      <c r="S707" s="17"/>
      <c r="T707" s="17"/>
      <c r="U707" s="17"/>
      <c r="V707" s="17"/>
      <c r="W707" s="17">
        <v>100</v>
      </c>
      <c r="X707" s="17"/>
      <c r="Y707" s="17"/>
      <c r="Z707" s="17">
        <v>60</v>
      </c>
      <c r="AA707" s="17"/>
      <c r="AB707" s="17"/>
      <c r="AC707" s="17">
        <v>100</v>
      </c>
      <c r="AD707" s="17"/>
      <c r="AE707" s="17"/>
      <c r="AF707" s="17"/>
      <c r="AG707" s="17"/>
      <c r="AH707" s="17">
        <v>55</v>
      </c>
      <c r="AI707" s="17"/>
      <c r="AJ707" s="17"/>
      <c r="AK707" s="17">
        <v>365</v>
      </c>
    </row>
    <row r="708" spans="1:37" x14ac:dyDescent="0.25">
      <c r="A708">
        <v>2025</v>
      </c>
      <c r="B708">
        <v>2</v>
      </c>
      <c r="C708">
        <v>20</v>
      </c>
      <c r="D708" t="s">
        <v>24</v>
      </c>
      <c r="E708" t="s">
        <v>66</v>
      </c>
      <c r="F708">
        <v>130000</v>
      </c>
      <c r="G708" s="10">
        <f t="shared" si="18"/>
        <v>130</v>
      </c>
      <c r="N708" s="8" t="s">
        <v>74</v>
      </c>
      <c r="O708" s="10">
        <v>99.4</v>
      </c>
      <c r="P708" s="10">
        <v>270</v>
      </c>
      <c r="Q708" s="10">
        <v>502.69900000000001</v>
      </c>
      <c r="R708" s="10">
        <v>981.43799999999999</v>
      </c>
      <c r="S708" s="10">
        <v>193.18800000000005</v>
      </c>
      <c r="T708" s="10">
        <v>1830.8320000000001</v>
      </c>
      <c r="U708" s="10">
        <v>584.94799999999998</v>
      </c>
      <c r="V708" s="10">
        <v>314.66199999999998</v>
      </c>
      <c r="W708" s="10">
        <v>3024.2080000000001</v>
      </c>
      <c r="X708" s="10">
        <v>31.585000000000001</v>
      </c>
      <c r="Y708" s="10">
        <v>1591.597</v>
      </c>
      <c r="Z708" s="10">
        <v>3985.2950000000005</v>
      </c>
      <c r="AA708" s="10">
        <v>46.457999999999998</v>
      </c>
      <c r="AB708" s="10">
        <v>3950.9419999999996</v>
      </c>
      <c r="AC708" s="10">
        <v>2423.8150000000001</v>
      </c>
      <c r="AD708" s="10">
        <v>249.958</v>
      </c>
      <c r="AE708" s="10">
        <v>80.447000000000003</v>
      </c>
      <c r="AF708" s="10">
        <v>901.42600000000004</v>
      </c>
      <c r="AG708" s="10">
        <v>314.16200000000003</v>
      </c>
      <c r="AH708" s="10">
        <v>2158.1869999999999</v>
      </c>
      <c r="AI708" s="10">
        <v>102</v>
      </c>
      <c r="AJ708" s="10">
        <v>12</v>
      </c>
      <c r="AK708" s="10">
        <v>23649.247000000003</v>
      </c>
    </row>
    <row r="709" spans="1:37" x14ac:dyDescent="0.25">
      <c r="A709">
        <v>2025</v>
      </c>
      <c r="B709">
        <v>2</v>
      </c>
      <c r="C709">
        <v>22</v>
      </c>
      <c r="D709" t="s">
        <v>5</v>
      </c>
      <c r="E709" t="s">
        <v>66</v>
      </c>
      <c r="F709">
        <v>92000</v>
      </c>
      <c r="G709" s="10">
        <f t="shared" si="18"/>
        <v>92</v>
      </c>
    </row>
    <row r="710" spans="1:37" x14ac:dyDescent="0.25">
      <c r="A710">
        <v>2025</v>
      </c>
      <c r="B710">
        <v>2</v>
      </c>
      <c r="C710">
        <v>25</v>
      </c>
      <c r="D710" t="s">
        <v>54</v>
      </c>
      <c r="E710" t="s">
        <v>66</v>
      </c>
      <c r="F710">
        <v>70000</v>
      </c>
      <c r="G710" s="10">
        <f t="shared" si="18"/>
        <v>70</v>
      </c>
    </row>
    <row r="711" spans="1:37" x14ac:dyDescent="0.25">
      <c r="A711">
        <v>2025</v>
      </c>
      <c r="B711">
        <v>2</v>
      </c>
      <c r="C711">
        <v>26</v>
      </c>
      <c r="D711" t="s">
        <v>12</v>
      </c>
      <c r="E711" t="s">
        <v>66</v>
      </c>
      <c r="F711">
        <v>16700</v>
      </c>
      <c r="G711" s="10">
        <f t="shared" si="18"/>
        <v>16.7</v>
      </c>
    </row>
    <row r="712" spans="1:37" x14ac:dyDescent="0.25">
      <c r="A712">
        <v>2025</v>
      </c>
      <c r="B712">
        <v>2</v>
      </c>
      <c r="C712">
        <v>28</v>
      </c>
      <c r="D712" t="s">
        <v>24</v>
      </c>
      <c r="E712" t="s">
        <v>66</v>
      </c>
      <c r="F712">
        <v>50000</v>
      </c>
      <c r="G712" s="10">
        <f t="shared" si="18"/>
        <v>50</v>
      </c>
    </row>
    <row r="713" spans="1:37" x14ac:dyDescent="0.25">
      <c r="A713">
        <v>2025</v>
      </c>
      <c r="B713">
        <v>2</v>
      </c>
      <c r="C713">
        <v>28</v>
      </c>
      <c r="D713" t="s">
        <v>12</v>
      </c>
      <c r="E713" t="s">
        <v>66</v>
      </c>
      <c r="F713">
        <v>11400</v>
      </c>
      <c r="G713" s="10">
        <f>F713/1000</f>
        <v>11.4</v>
      </c>
    </row>
    <row r="714" spans="1:37" x14ac:dyDescent="0.25">
      <c r="A714">
        <v>2025</v>
      </c>
      <c r="B714" s="1">
        <v>3</v>
      </c>
      <c r="C714" s="13">
        <v>5</v>
      </c>
      <c r="D714" s="14" t="s">
        <v>12</v>
      </c>
      <c r="E714" t="s">
        <v>66</v>
      </c>
      <c r="F714">
        <f>G714*1000</f>
        <v>17000</v>
      </c>
      <c r="G714" s="13">
        <v>17</v>
      </c>
    </row>
    <row r="715" spans="1:37" x14ac:dyDescent="0.25">
      <c r="A715">
        <v>2025</v>
      </c>
      <c r="B715" s="1">
        <v>3</v>
      </c>
      <c r="C715" s="13">
        <v>6</v>
      </c>
      <c r="D715" s="14" t="s">
        <v>22</v>
      </c>
      <c r="E715" t="s">
        <v>66</v>
      </c>
      <c r="F715">
        <f t="shared" ref="F715:F777" si="19">G715*1000</f>
        <v>70000</v>
      </c>
      <c r="G715" s="13">
        <v>70</v>
      </c>
    </row>
    <row r="716" spans="1:37" x14ac:dyDescent="0.25">
      <c r="A716">
        <v>2025</v>
      </c>
      <c r="B716" s="1">
        <v>3</v>
      </c>
      <c r="C716" s="13">
        <v>9</v>
      </c>
      <c r="D716" s="14" t="s">
        <v>55</v>
      </c>
      <c r="E716" t="s">
        <v>66</v>
      </c>
      <c r="F716">
        <f t="shared" si="19"/>
        <v>45000</v>
      </c>
      <c r="G716" s="13">
        <v>45</v>
      </c>
    </row>
    <row r="717" spans="1:37" x14ac:dyDescent="0.25">
      <c r="A717">
        <v>2025</v>
      </c>
      <c r="B717" s="1">
        <v>3</v>
      </c>
      <c r="C717" s="13">
        <v>9</v>
      </c>
      <c r="D717" s="14" t="s">
        <v>12</v>
      </c>
      <c r="E717" t="s">
        <v>66</v>
      </c>
      <c r="F717">
        <f t="shared" si="19"/>
        <v>17000</v>
      </c>
      <c r="G717" s="13">
        <v>17</v>
      </c>
    </row>
    <row r="718" spans="1:37" x14ac:dyDescent="0.25">
      <c r="A718">
        <v>2025</v>
      </c>
      <c r="B718" s="1">
        <v>3</v>
      </c>
      <c r="C718" s="13">
        <v>13</v>
      </c>
      <c r="D718" s="14" t="s">
        <v>12</v>
      </c>
      <c r="E718" t="s">
        <v>66</v>
      </c>
      <c r="F718">
        <f t="shared" si="19"/>
        <v>17000</v>
      </c>
      <c r="G718" s="13">
        <v>17</v>
      </c>
    </row>
    <row r="719" spans="1:37" x14ac:dyDescent="0.25">
      <c r="A719">
        <v>2025</v>
      </c>
      <c r="B719" s="1">
        <v>3</v>
      </c>
      <c r="C719" s="13">
        <v>16</v>
      </c>
      <c r="D719" s="14" t="s">
        <v>22</v>
      </c>
      <c r="E719" t="s">
        <v>66</v>
      </c>
      <c r="F719">
        <f t="shared" si="19"/>
        <v>70000</v>
      </c>
      <c r="G719" s="13">
        <v>70</v>
      </c>
    </row>
    <row r="720" spans="1:37" x14ac:dyDescent="0.25">
      <c r="A720">
        <v>2025</v>
      </c>
      <c r="B720" s="1">
        <v>3</v>
      </c>
      <c r="C720" s="13">
        <v>17</v>
      </c>
      <c r="D720" s="14" t="s">
        <v>10</v>
      </c>
      <c r="E720" t="s">
        <v>66</v>
      </c>
      <c r="F720">
        <f t="shared" si="19"/>
        <v>70000</v>
      </c>
      <c r="G720" s="13">
        <v>70</v>
      </c>
    </row>
    <row r="721" spans="1:7" x14ac:dyDescent="0.25">
      <c r="A721">
        <v>2025</v>
      </c>
      <c r="B721" s="1">
        <v>3</v>
      </c>
      <c r="C721" s="13">
        <v>18</v>
      </c>
      <c r="D721" s="14" t="s">
        <v>12</v>
      </c>
      <c r="E721" t="s">
        <v>66</v>
      </c>
      <c r="F721">
        <f t="shared" si="19"/>
        <v>17000</v>
      </c>
      <c r="G721" s="13">
        <v>17</v>
      </c>
    </row>
    <row r="722" spans="1:7" x14ac:dyDescent="0.25">
      <c r="A722">
        <v>2025</v>
      </c>
      <c r="B722" s="1">
        <v>3</v>
      </c>
      <c r="C722" s="13">
        <v>19</v>
      </c>
      <c r="D722" s="14" t="s">
        <v>5</v>
      </c>
      <c r="E722" t="s">
        <v>66</v>
      </c>
      <c r="F722">
        <f t="shared" si="19"/>
        <v>100000</v>
      </c>
      <c r="G722" s="13">
        <v>100</v>
      </c>
    </row>
    <row r="723" spans="1:7" x14ac:dyDescent="0.25">
      <c r="A723">
        <v>2025</v>
      </c>
      <c r="B723" s="1">
        <v>3</v>
      </c>
      <c r="C723" s="13">
        <v>20</v>
      </c>
      <c r="D723" s="14" t="s">
        <v>22</v>
      </c>
      <c r="E723" t="s">
        <v>66</v>
      </c>
      <c r="F723">
        <f t="shared" si="19"/>
        <v>70000</v>
      </c>
      <c r="G723" s="13">
        <v>70</v>
      </c>
    </row>
    <row r="724" spans="1:7" x14ac:dyDescent="0.25">
      <c r="A724">
        <v>2025</v>
      </c>
      <c r="B724" s="1">
        <v>3</v>
      </c>
      <c r="C724" s="13">
        <v>22</v>
      </c>
      <c r="D724" s="14" t="s">
        <v>138</v>
      </c>
      <c r="E724" t="s">
        <v>66</v>
      </c>
      <c r="F724">
        <f t="shared" si="19"/>
        <v>50000</v>
      </c>
      <c r="G724" s="13">
        <v>50</v>
      </c>
    </row>
    <row r="725" spans="1:7" x14ac:dyDescent="0.25">
      <c r="A725">
        <v>2025</v>
      </c>
      <c r="B725" s="1">
        <v>3</v>
      </c>
      <c r="C725" s="13">
        <v>23</v>
      </c>
      <c r="D725" s="14" t="s">
        <v>12</v>
      </c>
      <c r="E725" t="s">
        <v>66</v>
      </c>
      <c r="F725">
        <f>G725*1000</f>
        <v>17000</v>
      </c>
      <c r="G725" s="13">
        <v>17</v>
      </c>
    </row>
    <row r="726" spans="1:7" x14ac:dyDescent="0.25">
      <c r="A726">
        <v>2025</v>
      </c>
      <c r="B726" s="1">
        <v>3</v>
      </c>
      <c r="C726" s="13">
        <v>28</v>
      </c>
      <c r="D726" s="14" t="s">
        <v>12</v>
      </c>
      <c r="E726" t="s">
        <v>66</v>
      </c>
      <c r="F726">
        <f t="shared" si="19"/>
        <v>17000</v>
      </c>
      <c r="G726" s="13">
        <v>17</v>
      </c>
    </row>
    <row r="727" spans="1:7" x14ac:dyDescent="0.25">
      <c r="A727">
        <v>2025</v>
      </c>
      <c r="B727" s="1">
        <v>4</v>
      </c>
      <c r="C727" s="1">
        <v>1</v>
      </c>
      <c r="D727" t="s">
        <v>54</v>
      </c>
      <c r="E727" t="s">
        <v>66</v>
      </c>
      <c r="F727">
        <f t="shared" si="19"/>
        <v>21500</v>
      </c>
      <c r="G727">
        <v>21.5</v>
      </c>
    </row>
    <row r="728" spans="1:7" x14ac:dyDescent="0.25">
      <c r="A728">
        <v>2025</v>
      </c>
      <c r="B728" s="1">
        <v>4</v>
      </c>
      <c r="C728" s="1">
        <v>3</v>
      </c>
      <c r="D728" t="s">
        <v>22</v>
      </c>
      <c r="E728" t="s">
        <v>66</v>
      </c>
      <c r="F728">
        <f t="shared" si="19"/>
        <v>151000</v>
      </c>
      <c r="G728">
        <v>151</v>
      </c>
    </row>
    <row r="729" spans="1:7" x14ac:dyDescent="0.25">
      <c r="A729">
        <v>2025</v>
      </c>
      <c r="B729" s="1">
        <v>4</v>
      </c>
      <c r="C729" s="1">
        <v>5</v>
      </c>
      <c r="D729" t="s">
        <v>10</v>
      </c>
      <c r="E729" t="s">
        <v>66</v>
      </c>
      <c r="F729">
        <f t="shared" si="19"/>
        <v>70000</v>
      </c>
      <c r="G729">
        <v>70</v>
      </c>
    </row>
    <row r="730" spans="1:7" x14ac:dyDescent="0.25">
      <c r="A730">
        <v>2025</v>
      </c>
      <c r="B730" s="1">
        <v>4</v>
      </c>
      <c r="C730" s="1">
        <v>6</v>
      </c>
      <c r="D730" t="s">
        <v>12</v>
      </c>
      <c r="E730" t="s">
        <v>66</v>
      </c>
      <c r="F730">
        <f t="shared" si="19"/>
        <v>17000</v>
      </c>
      <c r="G730">
        <v>17</v>
      </c>
    </row>
    <row r="731" spans="1:7" x14ac:dyDescent="0.25">
      <c r="A731">
        <v>2025</v>
      </c>
      <c r="B731" s="1">
        <v>4</v>
      </c>
      <c r="C731" s="1">
        <v>9</v>
      </c>
      <c r="D731" t="s">
        <v>141</v>
      </c>
      <c r="E731" t="s">
        <v>66</v>
      </c>
      <c r="F731">
        <f t="shared" si="19"/>
        <v>34000</v>
      </c>
      <c r="G731">
        <v>34</v>
      </c>
    </row>
    <row r="732" spans="1:7" x14ac:dyDescent="0.25">
      <c r="A732">
        <v>2025</v>
      </c>
      <c r="B732" s="1">
        <v>4</v>
      </c>
      <c r="C732" s="1">
        <v>10</v>
      </c>
      <c r="D732" t="s">
        <v>12</v>
      </c>
      <c r="E732" t="s">
        <v>66</v>
      </c>
      <c r="F732">
        <f t="shared" si="19"/>
        <v>17000</v>
      </c>
      <c r="G732">
        <v>17</v>
      </c>
    </row>
    <row r="733" spans="1:7" x14ac:dyDescent="0.25">
      <c r="A733">
        <v>2025</v>
      </c>
      <c r="B733" s="1">
        <v>4</v>
      </c>
      <c r="C733" s="22">
        <v>14</v>
      </c>
      <c r="D733" s="23" t="s">
        <v>58</v>
      </c>
      <c r="E733" t="s">
        <v>66</v>
      </c>
      <c r="F733">
        <f t="shared" si="19"/>
        <v>30000</v>
      </c>
      <c r="G733" s="23">
        <v>30</v>
      </c>
    </row>
    <row r="734" spans="1:7" x14ac:dyDescent="0.25">
      <c r="A734">
        <v>2025</v>
      </c>
      <c r="B734" s="1">
        <v>4</v>
      </c>
      <c r="C734" s="1">
        <v>14</v>
      </c>
      <c r="D734" t="s">
        <v>5</v>
      </c>
      <c r="E734" t="s">
        <v>66</v>
      </c>
      <c r="F734">
        <f t="shared" si="19"/>
        <v>60000</v>
      </c>
      <c r="G734">
        <v>60</v>
      </c>
    </row>
    <row r="735" spans="1:7" x14ac:dyDescent="0.25">
      <c r="A735">
        <v>2025</v>
      </c>
      <c r="B735" s="1">
        <v>4</v>
      </c>
      <c r="C735" s="1">
        <v>17</v>
      </c>
      <c r="D735" t="s">
        <v>141</v>
      </c>
      <c r="E735" t="s">
        <v>66</v>
      </c>
      <c r="F735">
        <f t="shared" si="19"/>
        <v>15000</v>
      </c>
      <c r="G735" s="1">
        <v>15</v>
      </c>
    </row>
    <row r="736" spans="1:7" x14ac:dyDescent="0.25">
      <c r="A736">
        <v>2025</v>
      </c>
      <c r="B736" s="1">
        <v>4</v>
      </c>
      <c r="C736" s="1">
        <v>18</v>
      </c>
      <c r="D736" t="s">
        <v>12</v>
      </c>
      <c r="E736" t="s">
        <v>66</v>
      </c>
      <c r="F736">
        <f t="shared" si="19"/>
        <v>15000</v>
      </c>
      <c r="G736" s="1">
        <v>15</v>
      </c>
    </row>
    <row r="737" spans="1:7" x14ac:dyDescent="0.25">
      <c r="A737">
        <v>2025</v>
      </c>
      <c r="B737" s="1">
        <v>4</v>
      </c>
      <c r="C737" s="1">
        <v>20</v>
      </c>
      <c r="D737" t="s">
        <v>10</v>
      </c>
      <c r="E737" t="s">
        <v>66</v>
      </c>
      <c r="F737">
        <f t="shared" si="19"/>
        <v>70000</v>
      </c>
      <c r="G737">
        <v>70</v>
      </c>
    </row>
    <row r="738" spans="1:7" x14ac:dyDescent="0.25">
      <c r="A738">
        <v>2025</v>
      </c>
      <c r="B738" s="1">
        <v>4</v>
      </c>
      <c r="C738" s="1">
        <v>22</v>
      </c>
      <c r="D738" t="s">
        <v>141</v>
      </c>
      <c r="E738" t="s">
        <v>66</v>
      </c>
      <c r="F738">
        <f t="shared" si="19"/>
        <v>20000</v>
      </c>
      <c r="G738" s="1">
        <v>20</v>
      </c>
    </row>
    <row r="739" spans="1:7" x14ac:dyDescent="0.25">
      <c r="A739">
        <v>2025</v>
      </c>
      <c r="B739" s="1">
        <v>4</v>
      </c>
      <c r="C739" s="1">
        <v>25</v>
      </c>
      <c r="D739" t="s">
        <v>54</v>
      </c>
      <c r="E739" t="s">
        <v>66</v>
      </c>
      <c r="F739">
        <f t="shared" si="19"/>
        <v>100000</v>
      </c>
      <c r="G739">
        <v>100</v>
      </c>
    </row>
    <row r="740" spans="1:7" x14ac:dyDescent="0.25">
      <c r="A740">
        <v>2025</v>
      </c>
      <c r="B740" s="1">
        <v>4</v>
      </c>
      <c r="C740" s="1">
        <v>28</v>
      </c>
      <c r="D740" t="s">
        <v>12</v>
      </c>
      <c r="E740" t="s">
        <v>66</v>
      </c>
      <c r="F740">
        <f t="shared" si="19"/>
        <v>17000</v>
      </c>
      <c r="G740">
        <v>17</v>
      </c>
    </row>
    <row r="741" spans="1:7" x14ac:dyDescent="0.25">
      <c r="A741">
        <v>2025</v>
      </c>
      <c r="B741" s="1">
        <v>5</v>
      </c>
      <c r="C741" s="1">
        <v>5</v>
      </c>
      <c r="D741" t="s">
        <v>12</v>
      </c>
      <c r="E741" t="s">
        <v>66</v>
      </c>
      <c r="F741">
        <f t="shared" si="19"/>
        <v>15000</v>
      </c>
      <c r="G741">
        <v>15</v>
      </c>
    </row>
    <row r="742" spans="1:7" x14ac:dyDescent="0.25">
      <c r="A742">
        <v>2025</v>
      </c>
      <c r="B742" s="1">
        <v>5</v>
      </c>
      <c r="C742" s="1">
        <v>3</v>
      </c>
      <c r="D742" t="s">
        <v>14</v>
      </c>
      <c r="E742" t="s">
        <v>66</v>
      </c>
      <c r="F742">
        <f t="shared" si="19"/>
        <v>40000</v>
      </c>
      <c r="G742">
        <v>40</v>
      </c>
    </row>
    <row r="743" spans="1:7" x14ac:dyDescent="0.25">
      <c r="A743">
        <v>2025</v>
      </c>
      <c r="B743" s="1">
        <v>5</v>
      </c>
      <c r="C743" s="1">
        <v>5</v>
      </c>
      <c r="D743" s="13" t="s">
        <v>20</v>
      </c>
      <c r="E743" t="s">
        <v>66</v>
      </c>
      <c r="F743">
        <f t="shared" si="19"/>
        <v>100000</v>
      </c>
      <c r="G743" s="1">
        <v>100</v>
      </c>
    </row>
    <row r="744" spans="1:7" x14ac:dyDescent="0.25">
      <c r="A744">
        <v>2025</v>
      </c>
      <c r="B744" s="1">
        <v>5</v>
      </c>
      <c r="C744" s="1">
        <v>6</v>
      </c>
      <c r="D744" t="s">
        <v>12</v>
      </c>
      <c r="E744" t="s">
        <v>66</v>
      </c>
      <c r="F744">
        <f t="shared" si="19"/>
        <v>15000</v>
      </c>
      <c r="G744" s="1">
        <v>15</v>
      </c>
    </row>
    <row r="745" spans="1:7" x14ac:dyDescent="0.25">
      <c r="A745">
        <v>2025</v>
      </c>
      <c r="B745" s="1">
        <v>5</v>
      </c>
      <c r="C745" s="1">
        <v>7</v>
      </c>
      <c r="D745" s="13" t="s">
        <v>31</v>
      </c>
      <c r="E745" t="s">
        <v>66</v>
      </c>
      <c r="F745">
        <f t="shared" si="19"/>
        <v>100000</v>
      </c>
      <c r="G745" s="1">
        <v>100</v>
      </c>
    </row>
    <row r="746" spans="1:7" x14ac:dyDescent="0.25">
      <c r="A746">
        <v>2025</v>
      </c>
      <c r="B746" s="1">
        <v>5</v>
      </c>
      <c r="C746" s="1">
        <v>13</v>
      </c>
      <c r="D746" s="13" t="s">
        <v>12</v>
      </c>
      <c r="E746" t="s">
        <v>66</v>
      </c>
      <c r="F746">
        <f t="shared" si="19"/>
        <v>17000</v>
      </c>
      <c r="G746" s="1">
        <v>17</v>
      </c>
    </row>
    <row r="747" spans="1:7" x14ac:dyDescent="0.25">
      <c r="A747">
        <v>2025</v>
      </c>
      <c r="B747" s="1">
        <v>5</v>
      </c>
      <c r="C747" s="1">
        <v>13</v>
      </c>
      <c r="D747" s="13" t="s">
        <v>12</v>
      </c>
      <c r="E747" t="s">
        <v>66</v>
      </c>
      <c r="F747">
        <f t="shared" ref="F747:F749" si="20">G747*1000</f>
        <v>17000</v>
      </c>
      <c r="G747" s="1">
        <v>17</v>
      </c>
    </row>
    <row r="748" spans="1:7" x14ac:dyDescent="0.25">
      <c r="A748">
        <v>2025</v>
      </c>
      <c r="B748" s="1">
        <v>5</v>
      </c>
      <c r="C748" s="1">
        <v>17</v>
      </c>
      <c r="D748" s="13" t="s">
        <v>58</v>
      </c>
      <c r="E748" t="s">
        <v>66</v>
      </c>
      <c r="F748">
        <f t="shared" si="20"/>
        <v>100000</v>
      </c>
      <c r="G748" s="1">
        <v>100</v>
      </c>
    </row>
    <row r="749" spans="1:7" x14ac:dyDescent="0.25">
      <c r="A749">
        <v>2025</v>
      </c>
      <c r="B749" s="1">
        <v>5</v>
      </c>
      <c r="C749" s="1">
        <v>23</v>
      </c>
      <c r="D749" s="13" t="s">
        <v>31</v>
      </c>
      <c r="E749" t="s">
        <v>66</v>
      </c>
      <c r="F749">
        <f t="shared" si="20"/>
        <v>90000</v>
      </c>
      <c r="G749" s="1">
        <v>90</v>
      </c>
    </row>
    <row r="750" spans="1:7" x14ac:dyDescent="0.25">
      <c r="A750">
        <v>2025</v>
      </c>
      <c r="B750" s="1">
        <v>5</v>
      </c>
      <c r="C750" s="1">
        <v>25</v>
      </c>
      <c r="D750" s="13" t="s">
        <v>5</v>
      </c>
      <c r="E750" t="s">
        <v>66</v>
      </c>
      <c r="F750">
        <f t="shared" si="19"/>
        <v>60000</v>
      </c>
      <c r="G750" s="1">
        <v>60</v>
      </c>
    </row>
    <row r="751" spans="1:7" x14ac:dyDescent="0.25">
      <c r="A751">
        <v>2025</v>
      </c>
      <c r="B751" s="1">
        <v>5</v>
      </c>
      <c r="C751" s="1">
        <v>27</v>
      </c>
      <c r="D751" s="13" t="s">
        <v>22</v>
      </c>
      <c r="E751" t="s">
        <v>66</v>
      </c>
      <c r="F751">
        <f t="shared" si="19"/>
        <v>60000</v>
      </c>
      <c r="G751" s="1">
        <v>60</v>
      </c>
    </row>
    <row r="752" spans="1:7" x14ac:dyDescent="0.25">
      <c r="A752">
        <v>2025</v>
      </c>
      <c r="B752" s="1">
        <v>5</v>
      </c>
      <c r="C752" s="1">
        <v>31</v>
      </c>
      <c r="D752" s="13" t="s">
        <v>10</v>
      </c>
      <c r="E752" t="s">
        <v>66</v>
      </c>
      <c r="F752">
        <f t="shared" si="19"/>
        <v>70000</v>
      </c>
      <c r="G752" s="1">
        <v>70</v>
      </c>
    </row>
    <row r="753" spans="1:7" x14ac:dyDescent="0.25">
      <c r="A753">
        <v>2025</v>
      </c>
      <c r="B753" s="1">
        <v>6</v>
      </c>
      <c r="C753" s="1">
        <v>5</v>
      </c>
      <c r="D753" s="13" t="s">
        <v>12</v>
      </c>
      <c r="E753" t="s">
        <v>66</v>
      </c>
      <c r="F753">
        <f t="shared" si="19"/>
        <v>40000</v>
      </c>
      <c r="G753" s="10">
        <v>40</v>
      </c>
    </row>
    <row r="754" spans="1:7" x14ac:dyDescent="0.25">
      <c r="A754">
        <v>2025</v>
      </c>
      <c r="B754" s="1">
        <v>6</v>
      </c>
      <c r="C754" s="1">
        <v>9</v>
      </c>
      <c r="D754" s="13" t="s">
        <v>12</v>
      </c>
      <c r="E754" t="s">
        <v>66</v>
      </c>
      <c r="F754">
        <f t="shared" ref="F754:F755" si="21">G754*1000</f>
        <v>16000</v>
      </c>
      <c r="G754" s="10">
        <v>16</v>
      </c>
    </row>
    <row r="755" spans="1:7" x14ac:dyDescent="0.25">
      <c r="A755">
        <v>2025</v>
      </c>
      <c r="B755" s="1">
        <v>6</v>
      </c>
      <c r="C755" s="1">
        <v>14</v>
      </c>
      <c r="D755" s="13" t="s">
        <v>12</v>
      </c>
      <c r="E755" t="s">
        <v>66</v>
      </c>
      <c r="F755">
        <f t="shared" si="21"/>
        <v>16000</v>
      </c>
      <c r="G755" s="10">
        <v>16</v>
      </c>
    </row>
    <row r="756" spans="1:7" x14ac:dyDescent="0.25">
      <c r="A756">
        <v>2025</v>
      </c>
      <c r="B756" s="1">
        <v>6</v>
      </c>
      <c r="C756" s="1">
        <v>18</v>
      </c>
      <c r="D756" s="13" t="s">
        <v>10</v>
      </c>
      <c r="E756" t="s">
        <v>66</v>
      </c>
      <c r="F756">
        <f t="shared" si="19"/>
        <v>70000</v>
      </c>
      <c r="G756">
        <v>70</v>
      </c>
    </row>
    <row r="757" spans="1:7" x14ac:dyDescent="0.25">
      <c r="A757">
        <v>2025</v>
      </c>
      <c r="B757" s="1">
        <v>6</v>
      </c>
      <c r="C757" s="1">
        <v>20</v>
      </c>
      <c r="D757" s="13" t="s">
        <v>5</v>
      </c>
      <c r="E757" t="s">
        <v>66</v>
      </c>
      <c r="F757">
        <f t="shared" si="19"/>
        <v>70000</v>
      </c>
      <c r="G757" s="10">
        <v>70</v>
      </c>
    </row>
    <row r="758" spans="1:7" x14ac:dyDescent="0.25">
      <c r="A758">
        <v>2025</v>
      </c>
      <c r="B758" s="1">
        <v>6</v>
      </c>
      <c r="C758" s="1">
        <v>28</v>
      </c>
      <c r="D758" s="13" t="s">
        <v>12</v>
      </c>
      <c r="E758" t="s">
        <v>66</v>
      </c>
      <c r="F758">
        <f t="shared" si="19"/>
        <v>17000</v>
      </c>
      <c r="G758" s="10">
        <v>17</v>
      </c>
    </row>
    <row r="759" spans="1:7" x14ac:dyDescent="0.25">
      <c r="A759" s="1">
        <v>2025</v>
      </c>
      <c r="B759" s="1">
        <v>7</v>
      </c>
      <c r="C759" s="1">
        <v>1</v>
      </c>
      <c r="D759" s="1" t="s">
        <v>12</v>
      </c>
      <c r="E759" t="s">
        <v>66</v>
      </c>
      <c r="F759">
        <f t="shared" si="19"/>
        <v>17000</v>
      </c>
      <c r="G759" s="1">
        <v>17</v>
      </c>
    </row>
    <row r="760" spans="1:7" x14ac:dyDescent="0.25">
      <c r="A760" s="1">
        <v>2025</v>
      </c>
      <c r="B760" s="1">
        <v>7</v>
      </c>
      <c r="C760" s="1">
        <v>6</v>
      </c>
      <c r="D760" s="1" t="s">
        <v>10</v>
      </c>
      <c r="E760" t="s">
        <v>66</v>
      </c>
      <c r="F760">
        <f t="shared" si="19"/>
        <v>60000</v>
      </c>
      <c r="G760" s="1">
        <v>60</v>
      </c>
    </row>
    <row r="761" spans="1:7" x14ac:dyDescent="0.25">
      <c r="A761" s="1">
        <v>2025</v>
      </c>
      <c r="B761" s="1">
        <v>7</v>
      </c>
      <c r="C761" s="1">
        <v>6</v>
      </c>
      <c r="D761" s="1" t="s">
        <v>5</v>
      </c>
      <c r="E761" t="s">
        <v>66</v>
      </c>
      <c r="F761">
        <f t="shared" si="19"/>
        <v>25000</v>
      </c>
      <c r="G761" s="1">
        <v>25</v>
      </c>
    </row>
    <row r="762" spans="1:7" x14ac:dyDescent="0.25">
      <c r="A762" s="1">
        <v>2025</v>
      </c>
      <c r="B762" s="1">
        <v>7</v>
      </c>
      <c r="C762" s="1">
        <v>6</v>
      </c>
      <c r="D762" s="1" t="s">
        <v>36</v>
      </c>
      <c r="E762" t="s">
        <v>66</v>
      </c>
      <c r="F762">
        <f t="shared" si="19"/>
        <v>10000</v>
      </c>
      <c r="G762" s="1">
        <v>10</v>
      </c>
    </row>
    <row r="763" spans="1:7" x14ac:dyDescent="0.25">
      <c r="A763" s="1">
        <v>2025</v>
      </c>
      <c r="B763" s="1">
        <v>7</v>
      </c>
      <c r="C763" s="1">
        <v>8</v>
      </c>
      <c r="D763" s="1" t="s">
        <v>12</v>
      </c>
      <c r="E763" t="s">
        <v>66</v>
      </c>
      <c r="F763">
        <f t="shared" si="19"/>
        <v>15000</v>
      </c>
      <c r="G763" s="1">
        <v>15</v>
      </c>
    </row>
    <row r="764" spans="1:7" x14ac:dyDescent="0.25">
      <c r="A764" s="1">
        <v>2025</v>
      </c>
      <c r="B764" s="1">
        <v>7</v>
      </c>
      <c r="C764" s="1">
        <v>10</v>
      </c>
      <c r="D764" s="1" t="s">
        <v>24</v>
      </c>
      <c r="E764" t="s">
        <v>66</v>
      </c>
      <c r="F764">
        <f t="shared" si="19"/>
        <v>100000</v>
      </c>
      <c r="G764" s="1">
        <v>100</v>
      </c>
    </row>
    <row r="765" spans="1:7" x14ac:dyDescent="0.25">
      <c r="A765" s="1">
        <v>2025</v>
      </c>
      <c r="B765" s="1">
        <v>7</v>
      </c>
      <c r="C765" s="1">
        <v>13</v>
      </c>
      <c r="D765" s="1" t="s">
        <v>12</v>
      </c>
      <c r="E765" t="s">
        <v>66</v>
      </c>
      <c r="F765">
        <f t="shared" si="19"/>
        <v>15000</v>
      </c>
      <c r="G765" s="1">
        <v>15</v>
      </c>
    </row>
    <row r="766" spans="1:7" x14ac:dyDescent="0.25">
      <c r="A766" s="1">
        <v>2025</v>
      </c>
      <c r="B766" s="1">
        <v>7</v>
      </c>
      <c r="C766" s="1">
        <v>17</v>
      </c>
      <c r="D766" s="1" t="s">
        <v>22</v>
      </c>
      <c r="E766" t="s">
        <v>66</v>
      </c>
      <c r="F766">
        <f t="shared" si="19"/>
        <v>120000</v>
      </c>
      <c r="G766" s="1">
        <v>120</v>
      </c>
    </row>
    <row r="767" spans="1:7" x14ac:dyDescent="0.25">
      <c r="A767" s="1">
        <v>2025</v>
      </c>
      <c r="B767" s="1">
        <v>7</v>
      </c>
      <c r="C767" s="1">
        <v>17</v>
      </c>
      <c r="D767" s="1" t="s">
        <v>12</v>
      </c>
      <c r="E767" t="s">
        <v>66</v>
      </c>
      <c r="F767">
        <f t="shared" si="19"/>
        <v>16000</v>
      </c>
      <c r="G767" s="1">
        <v>16</v>
      </c>
    </row>
    <row r="768" spans="1:7" x14ac:dyDescent="0.25">
      <c r="A768" s="1">
        <v>2025</v>
      </c>
      <c r="B768" s="1">
        <v>7</v>
      </c>
      <c r="C768" s="1">
        <v>22</v>
      </c>
      <c r="D768" s="1" t="s">
        <v>12</v>
      </c>
      <c r="E768" t="s">
        <v>66</v>
      </c>
      <c r="F768">
        <f t="shared" si="19"/>
        <v>16000</v>
      </c>
      <c r="G768" s="1">
        <v>16</v>
      </c>
    </row>
    <row r="769" spans="1:7" x14ac:dyDescent="0.25">
      <c r="A769" s="1">
        <v>2025</v>
      </c>
      <c r="B769" s="1">
        <v>7</v>
      </c>
      <c r="C769" s="1">
        <v>28</v>
      </c>
      <c r="D769" s="1" t="s">
        <v>141</v>
      </c>
      <c r="E769" t="s">
        <v>66</v>
      </c>
      <c r="F769">
        <f t="shared" si="19"/>
        <v>16000</v>
      </c>
      <c r="G769" s="1">
        <v>16</v>
      </c>
    </row>
    <row r="770" spans="1:7" x14ac:dyDescent="0.25">
      <c r="A770" s="1">
        <v>2025</v>
      </c>
      <c r="B770" s="1">
        <v>7</v>
      </c>
      <c r="C770" s="1">
        <v>29</v>
      </c>
      <c r="D770" s="1" t="s">
        <v>20</v>
      </c>
      <c r="E770" t="s">
        <v>66</v>
      </c>
      <c r="F770">
        <f t="shared" si="19"/>
        <v>100000</v>
      </c>
      <c r="G770" s="1">
        <v>100</v>
      </c>
    </row>
    <row r="771" spans="1:7" x14ac:dyDescent="0.25">
      <c r="A771" s="1">
        <v>2025</v>
      </c>
      <c r="B771">
        <v>8</v>
      </c>
      <c r="C771" s="1">
        <v>2</v>
      </c>
      <c r="D771" t="s">
        <v>12</v>
      </c>
      <c r="E771" t="s">
        <v>66</v>
      </c>
      <c r="F771">
        <f t="shared" si="19"/>
        <v>17000</v>
      </c>
      <c r="G771">
        <v>17</v>
      </c>
    </row>
    <row r="772" spans="1:7" x14ac:dyDescent="0.25">
      <c r="A772" s="1">
        <v>2025</v>
      </c>
      <c r="B772">
        <v>8</v>
      </c>
      <c r="C772" s="1">
        <v>5</v>
      </c>
      <c r="D772" t="s">
        <v>31</v>
      </c>
      <c r="E772" t="s">
        <v>66</v>
      </c>
      <c r="F772">
        <f t="shared" si="19"/>
        <v>40000</v>
      </c>
      <c r="G772">
        <v>40</v>
      </c>
    </row>
    <row r="773" spans="1:7" x14ac:dyDescent="0.25">
      <c r="A773" s="1">
        <v>2025</v>
      </c>
      <c r="B773">
        <v>8</v>
      </c>
      <c r="C773" s="1">
        <v>5</v>
      </c>
      <c r="D773" t="s">
        <v>12</v>
      </c>
      <c r="E773" t="s">
        <v>66</v>
      </c>
      <c r="F773">
        <f t="shared" si="19"/>
        <v>17000</v>
      </c>
      <c r="G773">
        <v>17</v>
      </c>
    </row>
    <row r="774" spans="1:7" x14ac:dyDescent="0.25">
      <c r="A774" s="1">
        <v>2025</v>
      </c>
      <c r="B774">
        <v>8</v>
      </c>
      <c r="C774" s="1">
        <v>8</v>
      </c>
      <c r="D774" t="s">
        <v>141</v>
      </c>
      <c r="E774" t="s">
        <v>66</v>
      </c>
      <c r="F774">
        <f t="shared" si="19"/>
        <v>17000</v>
      </c>
      <c r="G774">
        <v>17</v>
      </c>
    </row>
    <row r="775" spans="1:7" x14ac:dyDescent="0.25">
      <c r="A775" s="1">
        <v>2025</v>
      </c>
      <c r="B775">
        <v>8</v>
      </c>
      <c r="C775" s="1">
        <v>9</v>
      </c>
      <c r="D775" t="s">
        <v>12</v>
      </c>
      <c r="E775" t="s">
        <v>66</v>
      </c>
      <c r="F775">
        <f t="shared" si="19"/>
        <v>17000</v>
      </c>
      <c r="G775">
        <v>17</v>
      </c>
    </row>
    <row r="776" spans="1:7" x14ac:dyDescent="0.25">
      <c r="A776" s="1">
        <v>2025</v>
      </c>
      <c r="B776">
        <v>8</v>
      </c>
      <c r="C776" s="1">
        <v>12</v>
      </c>
      <c r="D776" t="s">
        <v>5</v>
      </c>
      <c r="E776" t="s">
        <v>66</v>
      </c>
      <c r="F776">
        <f t="shared" si="19"/>
        <v>100000</v>
      </c>
      <c r="G776">
        <v>100</v>
      </c>
    </row>
    <row r="777" spans="1:7" x14ac:dyDescent="0.25">
      <c r="A777" s="1">
        <v>2025</v>
      </c>
      <c r="B777">
        <v>8</v>
      </c>
      <c r="C777" s="1">
        <v>16</v>
      </c>
      <c r="D777" t="s">
        <v>10</v>
      </c>
      <c r="E777" t="s">
        <v>66</v>
      </c>
      <c r="F777">
        <f t="shared" si="19"/>
        <v>50000</v>
      </c>
      <c r="G777">
        <v>50</v>
      </c>
    </row>
    <row r="778" spans="1:7" x14ac:dyDescent="0.25">
      <c r="A778" s="1">
        <v>2025</v>
      </c>
      <c r="B778">
        <v>8</v>
      </c>
      <c r="C778" s="1">
        <v>19</v>
      </c>
      <c r="D778" t="s">
        <v>12</v>
      </c>
      <c r="E778" t="s">
        <v>66</v>
      </c>
      <c r="F778">
        <f t="shared" ref="F778:F800" si="22">G778*1000</f>
        <v>17000</v>
      </c>
      <c r="G778">
        <v>17</v>
      </c>
    </row>
    <row r="779" spans="1:7" x14ac:dyDescent="0.25">
      <c r="A779" s="1">
        <v>2025</v>
      </c>
      <c r="B779">
        <v>8</v>
      </c>
      <c r="C779" s="1">
        <v>22</v>
      </c>
      <c r="D779" t="s">
        <v>31</v>
      </c>
      <c r="E779" t="s">
        <v>66</v>
      </c>
      <c r="F779">
        <f t="shared" si="22"/>
        <v>20000</v>
      </c>
      <c r="G779">
        <v>20</v>
      </c>
    </row>
    <row r="780" spans="1:7" x14ac:dyDescent="0.25">
      <c r="A780" s="1">
        <v>2025</v>
      </c>
      <c r="B780">
        <v>8</v>
      </c>
      <c r="C780" s="1">
        <v>26</v>
      </c>
      <c r="D780" t="s">
        <v>12</v>
      </c>
      <c r="E780" t="s">
        <v>66</v>
      </c>
      <c r="F780">
        <f t="shared" si="22"/>
        <v>18000</v>
      </c>
      <c r="G780">
        <v>18</v>
      </c>
    </row>
    <row r="781" spans="1:7" x14ac:dyDescent="0.25">
      <c r="A781" s="1">
        <v>2025</v>
      </c>
      <c r="B781">
        <v>9</v>
      </c>
      <c r="C781" s="1">
        <v>3</v>
      </c>
      <c r="D781" t="s">
        <v>12</v>
      </c>
      <c r="E781" t="s">
        <v>66</v>
      </c>
      <c r="F781">
        <f t="shared" si="22"/>
        <v>15000</v>
      </c>
      <c r="G781">
        <v>15</v>
      </c>
    </row>
    <row r="782" spans="1:7" x14ac:dyDescent="0.25">
      <c r="A782" s="1">
        <v>2025</v>
      </c>
      <c r="B782">
        <v>9</v>
      </c>
      <c r="C782" s="1">
        <v>4</v>
      </c>
      <c r="D782" t="s">
        <v>10</v>
      </c>
      <c r="E782" t="s">
        <v>66</v>
      </c>
      <c r="F782">
        <f t="shared" si="22"/>
        <v>70000</v>
      </c>
      <c r="G782">
        <v>70</v>
      </c>
    </row>
    <row r="783" spans="1:7" x14ac:dyDescent="0.25">
      <c r="A783" s="1">
        <v>2025</v>
      </c>
      <c r="B783" s="1">
        <v>9</v>
      </c>
      <c r="C783" s="1">
        <v>5</v>
      </c>
      <c r="D783" t="s">
        <v>24</v>
      </c>
      <c r="E783" t="s">
        <v>66</v>
      </c>
      <c r="F783">
        <f t="shared" si="22"/>
        <v>100000</v>
      </c>
      <c r="G783">
        <v>100</v>
      </c>
    </row>
    <row r="784" spans="1:7" x14ac:dyDescent="0.25">
      <c r="A784" s="1">
        <v>2025</v>
      </c>
      <c r="B784" s="1">
        <v>9</v>
      </c>
      <c r="C784" s="1">
        <v>5</v>
      </c>
      <c r="D784" t="s">
        <v>184</v>
      </c>
      <c r="E784" t="s">
        <v>66</v>
      </c>
      <c r="F784">
        <f t="shared" si="22"/>
        <v>12000</v>
      </c>
      <c r="G784">
        <v>12</v>
      </c>
    </row>
    <row r="785" spans="1:7" x14ac:dyDescent="0.25">
      <c r="A785" s="1">
        <v>2025</v>
      </c>
      <c r="B785" s="1">
        <v>9</v>
      </c>
      <c r="C785" s="1">
        <v>5</v>
      </c>
      <c r="D785" t="s">
        <v>54</v>
      </c>
      <c r="E785" t="s">
        <v>66</v>
      </c>
      <c r="F785">
        <f t="shared" si="22"/>
        <v>60000</v>
      </c>
      <c r="G785">
        <v>60</v>
      </c>
    </row>
    <row r="786" spans="1:7" x14ac:dyDescent="0.25">
      <c r="A786" s="1">
        <v>2025</v>
      </c>
      <c r="B786" s="1">
        <v>9</v>
      </c>
      <c r="C786" s="1">
        <v>9</v>
      </c>
      <c r="D786" t="s">
        <v>12</v>
      </c>
      <c r="E786" t="s">
        <v>66</v>
      </c>
      <c r="F786">
        <f t="shared" si="22"/>
        <v>15000</v>
      </c>
      <c r="G786">
        <v>15</v>
      </c>
    </row>
    <row r="787" spans="1:7" x14ac:dyDescent="0.25">
      <c r="A787" s="1">
        <v>2025</v>
      </c>
      <c r="B787" s="1">
        <v>9</v>
      </c>
      <c r="C787" s="1">
        <v>13</v>
      </c>
      <c r="D787" t="s">
        <v>5</v>
      </c>
      <c r="E787" t="s">
        <v>66</v>
      </c>
      <c r="F787">
        <f t="shared" si="22"/>
        <v>60000</v>
      </c>
      <c r="G787">
        <v>60</v>
      </c>
    </row>
    <row r="788" spans="1:7" x14ac:dyDescent="0.25">
      <c r="A788" s="1">
        <v>2025</v>
      </c>
      <c r="B788" s="1">
        <v>9</v>
      </c>
      <c r="C788" s="1">
        <v>13</v>
      </c>
      <c r="D788" t="s">
        <v>8</v>
      </c>
      <c r="E788" t="s">
        <v>66</v>
      </c>
      <c r="F788">
        <f t="shared" si="22"/>
        <v>16000</v>
      </c>
      <c r="G788">
        <v>16</v>
      </c>
    </row>
    <row r="789" spans="1:7" x14ac:dyDescent="0.25">
      <c r="A789" s="1">
        <v>2025</v>
      </c>
      <c r="B789" s="1">
        <v>9</v>
      </c>
      <c r="C789" s="1">
        <v>18</v>
      </c>
      <c r="D789" t="s">
        <v>24</v>
      </c>
      <c r="E789" t="s">
        <v>66</v>
      </c>
      <c r="F789">
        <f t="shared" si="22"/>
        <v>100000</v>
      </c>
      <c r="G789">
        <v>100</v>
      </c>
    </row>
    <row r="790" spans="1:7" x14ac:dyDescent="0.25">
      <c r="A790" s="1">
        <v>2025</v>
      </c>
      <c r="B790" s="1">
        <v>9</v>
      </c>
      <c r="C790" s="1">
        <v>18</v>
      </c>
      <c r="D790" t="s">
        <v>58</v>
      </c>
      <c r="E790" t="s">
        <v>66</v>
      </c>
      <c r="F790">
        <f t="shared" si="22"/>
        <v>60000</v>
      </c>
      <c r="G790">
        <v>60</v>
      </c>
    </row>
    <row r="791" spans="1:7" x14ac:dyDescent="0.25">
      <c r="A791" s="1">
        <v>2025</v>
      </c>
      <c r="B791" s="1">
        <v>9</v>
      </c>
      <c r="C791" s="1">
        <v>26</v>
      </c>
      <c r="D791" t="s">
        <v>12</v>
      </c>
      <c r="E791" t="s">
        <v>66</v>
      </c>
      <c r="F791">
        <f t="shared" si="22"/>
        <v>15000</v>
      </c>
      <c r="G791">
        <v>15</v>
      </c>
    </row>
    <row r="792" spans="1:7" x14ac:dyDescent="0.25">
      <c r="A792" s="1">
        <v>2025</v>
      </c>
      <c r="B792" s="1">
        <v>9</v>
      </c>
      <c r="C792" s="1">
        <v>27</v>
      </c>
      <c r="D792" t="s">
        <v>31</v>
      </c>
      <c r="E792" t="s">
        <v>66</v>
      </c>
      <c r="F792">
        <f t="shared" si="22"/>
        <v>110000</v>
      </c>
      <c r="G792">
        <v>110</v>
      </c>
    </row>
    <row r="793" spans="1:7" x14ac:dyDescent="0.25">
      <c r="A793" s="1">
        <v>2025</v>
      </c>
      <c r="B793" s="1">
        <v>10</v>
      </c>
      <c r="C793" s="1">
        <v>1</v>
      </c>
      <c r="D793" t="s">
        <v>12</v>
      </c>
      <c r="E793" t="s">
        <v>66</v>
      </c>
      <c r="F793">
        <f t="shared" si="22"/>
        <v>15000</v>
      </c>
      <c r="G793">
        <v>15</v>
      </c>
    </row>
    <row r="794" spans="1:7" x14ac:dyDescent="0.25">
      <c r="A794" s="1">
        <v>2025</v>
      </c>
      <c r="B794" s="1">
        <v>10</v>
      </c>
      <c r="C794" s="1">
        <v>4</v>
      </c>
      <c r="D794" t="s">
        <v>31</v>
      </c>
      <c r="E794" t="s">
        <v>66</v>
      </c>
      <c r="F794">
        <f t="shared" si="22"/>
        <v>100000</v>
      </c>
      <c r="G794">
        <v>100</v>
      </c>
    </row>
    <row r="795" spans="1:7" x14ac:dyDescent="0.25">
      <c r="A795" s="1">
        <v>2025</v>
      </c>
      <c r="B795" s="1">
        <v>10</v>
      </c>
      <c r="C795" s="1">
        <v>7</v>
      </c>
      <c r="D795" t="s">
        <v>12</v>
      </c>
      <c r="E795" t="s">
        <v>66</v>
      </c>
      <c r="F795">
        <f t="shared" si="22"/>
        <v>15000</v>
      </c>
      <c r="G795">
        <v>15</v>
      </c>
    </row>
    <row r="796" spans="1:7" x14ac:dyDescent="0.25">
      <c r="A796" s="1">
        <v>2025</v>
      </c>
      <c r="B796" s="1">
        <v>10</v>
      </c>
      <c r="C796" s="1">
        <v>17</v>
      </c>
      <c r="D796" t="s">
        <v>20</v>
      </c>
      <c r="E796" t="s">
        <v>66</v>
      </c>
      <c r="F796">
        <f t="shared" si="22"/>
        <v>50000</v>
      </c>
      <c r="G796">
        <v>50</v>
      </c>
    </row>
    <row r="797" spans="1:7" x14ac:dyDescent="0.25">
      <c r="A797" s="1">
        <v>2025</v>
      </c>
      <c r="B797" s="1">
        <v>10</v>
      </c>
      <c r="C797" s="1">
        <v>18</v>
      </c>
      <c r="D797" t="s">
        <v>12</v>
      </c>
      <c r="E797" t="s">
        <v>66</v>
      </c>
      <c r="F797">
        <f t="shared" si="22"/>
        <v>15000</v>
      </c>
      <c r="G797">
        <v>15</v>
      </c>
    </row>
    <row r="798" spans="1:7" x14ac:dyDescent="0.25">
      <c r="A798" s="1">
        <v>2025</v>
      </c>
      <c r="B798" s="1">
        <v>10</v>
      </c>
      <c r="C798" s="1">
        <v>20</v>
      </c>
      <c r="D798" t="s">
        <v>5</v>
      </c>
      <c r="E798" t="s">
        <v>66</v>
      </c>
      <c r="F798">
        <f t="shared" si="22"/>
        <v>100000</v>
      </c>
      <c r="G798">
        <v>100</v>
      </c>
    </row>
    <row r="799" spans="1:7" x14ac:dyDescent="0.25">
      <c r="A799" s="1">
        <v>2025</v>
      </c>
      <c r="B799" s="1">
        <v>10</v>
      </c>
      <c r="C799" s="1">
        <v>20</v>
      </c>
      <c r="D799" t="s">
        <v>10</v>
      </c>
      <c r="E799" t="s">
        <v>66</v>
      </c>
      <c r="F799">
        <f t="shared" si="22"/>
        <v>55000</v>
      </c>
      <c r="G799">
        <v>55</v>
      </c>
    </row>
    <row r="800" spans="1:7" x14ac:dyDescent="0.25">
      <c r="A800" s="1">
        <v>2025</v>
      </c>
      <c r="B800" s="1">
        <v>10</v>
      </c>
      <c r="C800" s="1">
        <v>21</v>
      </c>
      <c r="D800" t="s">
        <v>12</v>
      </c>
      <c r="E800" t="s">
        <v>66</v>
      </c>
      <c r="F800">
        <f t="shared" si="22"/>
        <v>15000</v>
      </c>
      <c r="G800">
        <v>15</v>
      </c>
    </row>
  </sheetData>
  <autoFilter ref="A1:G698" xr:uid="{00000000-0009-0000-0000-000003000000}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>
      <selection activeCell="F16" sqref="F16"/>
    </sheetView>
  </sheetViews>
  <sheetFormatPr defaultRowHeight="15" x14ac:dyDescent="0.25"/>
  <cols>
    <col min="1" max="1" width="5" bestFit="1" customWidth="1"/>
    <col min="2" max="2" width="13.42578125" customWidth="1"/>
    <col min="3" max="3" width="11.140625" customWidth="1"/>
    <col min="4" max="4" width="13.42578125" customWidth="1"/>
    <col min="5" max="5" width="10.42578125" customWidth="1"/>
    <col min="6" max="6" width="23.7109375" customWidth="1"/>
    <col min="7" max="7" width="12" bestFit="1" customWidth="1"/>
    <col min="8" max="8" width="10.140625" bestFit="1" customWidth="1"/>
    <col min="9" max="9" width="12" bestFit="1" customWidth="1"/>
    <col min="10" max="10" width="10.140625" bestFit="1" customWidth="1"/>
    <col min="11" max="11" width="7.7109375" bestFit="1" customWidth="1"/>
    <col min="12" max="12" width="13.85546875" bestFit="1" customWidth="1"/>
  </cols>
  <sheetData>
    <row r="1" spans="1:14" s="5" customFormat="1" x14ac:dyDescent="0.25">
      <c r="A1" s="4">
        <v>2024</v>
      </c>
      <c r="B1" s="4">
        <v>1</v>
      </c>
      <c r="C1" s="4">
        <v>16</v>
      </c>
      <c r="D1" s="5">
        <v>6.3620000000000001</v>
      </c>
      <c r="E1" s="5">
        <v>81.050999999999988</v>
      </c>
      <c r="F1" s="5" t="s">
        <v>2</v>
      </c>
      <c r="G1" s="5" t="s">
        <v>3</v>
      </c>
    </row>
    <row r="2" spans="1:14" s="5" customFormat="1" x14ac:dyDescent="0.25">
      <c r="A2" s="4">
        <v>2024</v>
      </c>
      <c r="B2" s="4">
        <v>1</v>
      </c>
      <c r="C2" s="4">
        <v>16</v>
      </c>
      <c r="D2" s="5">
        <v>10.349</v>
      </c>
      <c r="E2" s="5">
        <v>91.399999999999991</v>
      </c>
      <c r="F2" s="5" t="s">
        <v>2</v>
      </c>
      <c r="G2" s="5" t="s">
        <v>3</v>
      </c>
    </row>
    <row r="3" spans="1:14" s="5" customFormat="1" x14ac:dyDescent="0.25">
      <c r="A3" s="4">
        <v>2024</v>
      </c>
      <c r="B3" s="4">
        <v>5</v>
      </c>
      <c r="C3" s="4">
        <v>3</v>
      </c>
      <c r="D3" s="5">
        <v>15.162000000000001</v>
      </c>
      <c r="E3" s="5">
        <v>118.95800000000001</v>
      </c>
      <c r="F3" s="5" t="s">
        <v>2</v>
      </c>
      <c r="G3" s="5" t="s">
        <v>3</v>
      </c>
    </row>
    <row r="4" spans="1:14" s="5" customFormat="1" x14ac:dyDescent="0.25">
      <c r="A4" s="4">
        <v>2024</v>
      </c>
      <c r="B4" s="4">
        <v>5</v>
      </c>
      <c r="C4" s="4">
        <v>3</v>
      </c>
      <c r="D4" s="5">
        <v>21.113</v>
      </c>
      <c r="E4" s="5">
        <v>140.07100000000003</v>
      </c>
      <c r="F4" s="5" t="s">
        <v>2</v>
      </c>
      <c r="G4" s="5" t="s">
        <v>3</v>
      </c>
    </row>
    <row r="5" spans="1:14" s="5" customFormat="1" x14ac:dyDescent="0.25">
      <c r="A5" s="4">
        <v>2024</v>
      </c>
      <c r="B5" s="4">
        <v>5</v>
      </c>
      <c r="C5" s="4">
        <v>29</v>
      </c>
      <c r="D5" s="5">
        <v>7.6</v>
      </c>
      <c r="E5" s="5">
        <v>458.12899999999996</v>
      </c>
      <c r="F5" s="5" t="s">
        <v>2</v>
      </c>
      <c r="G5" s="5" t="s">
        <v>3</v>
      </c>
    </row>
    <row r="6" spans="1:14" s="5" customFormat="1" x14ac:dyDescent="0.25">
      <c r="A6" s="4">
        <v>2024</v>
      </c>
      <c r="B6" s="4">
        <v>11</v>
      </c>
      <c r="C6" s="4">
        <v>14</v>
      </c>
      <c r="D6" s="4">
        <v>140000</v>
      </c>
      <c r="E6" s="4">
        <v>323100</v>
      </c>
      <c r="F6" s="4"/>
      <c r="G6" s="5" t="s">
        <v>3</v>
      </c>
      <c r="H6" s="4"/>
      <c r="I6" s="4"/>
      <c r="J6" s="4"/>
    </row>
    <row r="7" spans="1:14" s="5" customFormat="1" x14ac:dyDescent="0.25">
      <c r="A7" s="4">
        <v>2024</v>
      </c>
      <c r="B7" s="4">
        <v>11</v>
      </c>
      <c r="C7" s="4">
        <v>26</v>
      </c>
      <c r="D7" s="4">
        <v>152900</v>
      </c>
      <c r="E7" s="4">
        <v>665500</v>
      </c>
      <c r="F7" s="4"/>
      <c r="G7" s="5" t="s">
        <v>3</v>
      </c>
      <c r="H7" s="4"/>
      <c r="I7" s="4"/>
      <c r="J7" s="4"/>
    </row>
    <row r="8" spans="1:14" x14ac:dyDescent="0.25">
      <c r="A8" t="s">
        <v>63</v>
      </c>
      <c r="B8">
        <v>130000</v>
      </c>
      <c r="C8">
        <f>B8/1000</f>
        <v>130</v>
      </c>
      <c r="D8" t="s">
        <v>69</v>
      </c>
      <c r="E8" t="s">
        <v>70</v>
      </c>
      <c r="F8" t="s">
        <v>65</v>
      </c>
      <c r="G8" t="s">
        <v>71</v>
      </c>
      <c r="H8" s="6">
        <v>45667</v>
      </c>
      <c r="I8" t="s">
        <v>66</v>
      </c>
      <c r="J8" s="6">
        <v>45714</v>
      </c>
      <c r="K8" t="s">
        <v>72</v>
      </c>
      <c r="L8" s="6"/>
      <c r="M8" t="s">
        <v>67</v>
      </c>
      <c r="N8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L31" sqref="L31"/>
    </sheetView>
  </sheetViews>
  <sheetFormatPr defaultRowHeight="15" x14ac:dyDescent="0.25"/>
  <cols>
    <col min="1" max="1" width="10.140625" style="1" bestFit="1" customWidth="1"/>
  </cols>
  <sheetData>
    <row r="1" spans="1:3" x14ac:dyDescent="0.25">
      <c r="A1" s="1">
        <v>1</v>
      </c>
      <c r="B1">
        <v>10</v>
      </c>
      <c r="C1">
        <v>2025</v>
      </c>
    </row>
    <row r="2" spans="1:3" x14ac:dyDescent="0.25">
      <c r="A2" s="1">
        <v>4</v>
      </c>
      <c r="B2">
        <v>10</v>
      </c>
      <c r="C2">
        <v>2025</v>
      </c>
    </row>
    <row r="3" spans="1:3" x14ac:dyDescent="0.25">
      <c r="A3" s="1">
        <v>7</v>
      </c>
      <c r="B3">
        <v>10</v>
      </c>
      <c r="C3">
        <v>2025</v>
      </c>
    </row>
    <row r="4" spans="1:3" x14ac:dyDescent="0.25">
      <c r="A4" s="1">
        <v>17</v>
      </c>
      <c r="B4">
        <v>10</v>
      </c>
      <c r="C4">
        <v>2025</v>
      </c>
    </row>
    <row r="5" spans="1:3" x14ac:dyDescent="0.25">
      <c r="A5" s="1">
        <v>18</v>
      </c>
      <c r="B5">
        <v>10</v>
      </c>
      <c r="C5">
        <v>2025</v>
      </c>
    </row>
    <row r="6" spans="1:3" x14ac:dyDescent="0.25">
      <c r="A6" s="1">
        <v>20</v>
      </c>
      <c r="B6">
        <v>10</v>
      </c>
      <c r="C6">
        <v>2025</v>
      </c>
    </row>
    <row r="7" spans="1:3" x14ac:dyDescent="0.25">
      <c r="A7" s="1">
        <v>20</v>
      </c>
      <c r="B7">
        <v>10</v>
      </c>
      <c r="C7">
        <v>2025</v>
      </c>
    </row>
    <row r="8" spans="1:3" x14ac:dyDescent="0.25">
      <c r="A8" s="1">
        <v>21</v>
      </c>
      <c r="B8">
        <v>10</v>
      </c>
      <c r="C8">
        <v>2025</v>
      </c>
    </row>
    <row r="13" spans="1:3" x14ac:dyDescent="0.25">
      <c r="A13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 export-import</vt:lpstr>
      <vt:lpstr>Net export-import table</vt:lpstr>
      <vt:lpstr>HSFO import flows graph</vt:lpstr>
      <vt:lpstr>Table import</vt:lpstr>
      <vt:lpstr>HSSR flows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2025-02-06T09:41:44Z</dcterms:created>
  <dcterms:modified xsi:type="dcterms:W3CDTF">2025-10-20T09:08:05Z</dcterms:modified>
</cp:coreProperties>
</file>