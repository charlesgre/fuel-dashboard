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gvaps1\USR6\CHGE\desktop\Fuel desk\HSFO\Daily report\Used on daily basis\"/>
    </mc:Choice>
  </mc:AlternateContent>
  <xr:revisionPtr revIDLastSave="0" documentId="13_ncr:1_{AAA993C6-29FE-43C4-B2B5-13A5F74CC439}" xr6:coauthVersionLast="47" xr6:coauthVersionMax="47" xr10:uidLastSave="{00000000-0000-0000-0000-000000000000}"/>
  <bookViews>
    <workbookView xWindow="28680" yWindow="-120" windowWidth="29040" windowHeight="15720" firstSheet="1" activeTab="13" xr2:uid="{00000000-000D-0000-FFFF-FFFF00000000}"/>
  </bookViews>
  <sheets>
    <sheet name="October" sheetId="1" r:id="rId1"/>
    <sheet name="November" sheetId="2" r:id="rId2"/>
    <sheet name="December" sheetId="3" r:id="rId3"/>
    <sheet name="January" sheetId="4" r:id="rId4"/>
    <sheet name="February" sheetId="5" r:id="rId5"/>
    <sheet name="March" sheetId="6" r:id="rId6"/>
    <sheet name="March bis" sheetId="7" r:id="rId7"/>
    <sheet name="April" sheetId="8" r:id="rId8"/>
    <sheet name="May" sheetId="9" r:id="rId9"/>
    <sheet name="June" sheetId="10" r:id="rId10"/>
    <sheet name="July" sheetId="11" r:id="rId11"/>
    <sheet name="August" sheetId="12" r:id="rId12"/>
    <sheet name="September" sheetId="13" r:id="rId13"/>
    <sheet name="October 25" sheetId="14" r:id="rId14"/>
  </sheets>
  <definedNames>
    <definedName name="_xlnm._FilterDatabase" localSheetId="7" hidden="1">April!$A$1:$T$1</definedName>
    <definedName name="_xlnm._FilterDatabase" localSheetId="11" hidden="1">August!$A$1:$T$1</definedName>
    <definedName name="_xlnm._FilterDatabase" localSheetId="2" hidden="1">December!$A$1:$T$1</definedName>
    <definedName name="_xlnm._FilterDatabase" localSheetId="4" hidden="1">February!$A$1:$O$1</definedName>
    <definedName name="_xlnm._FilterDatabase" localSheetId="3" hidden="1">January!$A$1:$O$1</definedName>
    <definedName name="_xlnm._FilterDatabase" localSheetId="10" hidden="1">July!$A$1:$T$1</definedName>
    <definedName name="_xlnm._FilterDatabase" localSheetId="9" hidden="1">June!$A$1:$T$1</definedName>
    <definedName name="_xlnm._FilterDatabase" localSheetId="5" hidden="1">March!$B$1:$P$1</definedName>
    <definedName name="_xlnm._FilterDatabase" localSheetId="6" hidden="1">'March bis'!$A$1:$T$1</definedName>
    <definedName name="_xlnm._FilterDatabase" localSheetId="8" hidden="1">May!$A$1:$T$1</definedName>
    <definedName name="_xlnm._FilterDatabase" localSheetId="1" hidden="1">November!$A$1:$O$1</definedName>
    <definedName name="_xlnm._FilterDatabase" localSheetId="0" hidden="1">October!$A$1:$J$1</definedName>
    <definedName name="_xlnm._FilterDatabase" localSheetId="13" hidden="1">'October 25'!$A$1:$T$1</definedName>
    <definedName name="_xlnm._FilterDatabase" localSheetId="12" hidden="1">September!$A$1:$T$1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4" l="1"/>
  <c r="J17" i="14"/>
  <c r="J14" i="13"/>
  <c r="J21" i="13"/>
  <c r="J12" i="12"/>
  <c r="J18" i="12" l="1"/>
  <c r="J14" i="11"/>
  <c r="J7" i="10" l="1"/>
  <c r="J14" i="9"/>
  <c r="J19" i="9" l="1"/>
  <c r="J16" i="8"/>
  <c r="J27" i="8" l="1"/>
  <c r="J15" i="7" l="1"/>
  <c r="D9" i="6" l="1"/>
  <c r="C13" i="6"/>
  <c r="D12" i="6"/>
  <c r="D6" i="6"/>
  <c r="D3" i="6"/>
  <c r="D5" i="6"/>
  <c r="D11" i="6"/>
  <c r="C18" i="6"/>
  <c r="D17" i="6"/>
  <c r="D18" i="6" s="1"/>
  <c r="D10" i="6"/>
  <c r="C28" i="6"/>
  <c r="D27" i="6"/>
  <c r="D28" i="6" s="1"/>
  <c r="D8" i="6" l="1"/>
  <c r="D7" i="6"/>
  <c r="D4" i="6"/>
  <c r="D2" i="6"/>
  <c r="D13" i="6" s="1"/>
  <c r="C18" i="5"/>
  <c r="C19" i="5"/>
  <c r="C17" i="5"/>
  <c r="C16" i="5"/>
  <c r="C13" i="5"/>
  <c r="C11" i="5"/>
  <c r="C5" i="5"/>
  <c r="C8" i="5" l="1"/>
  <c r="C6" i="5"/>
  <c r="B20" i="5" l="1"/>
  <c r="C14" i="5"/>
  <c r="C12" i="5"/>
  <c r="C10" i="5"/>
  <c r="C9" i="5"/>
  <c r="C24" i="5" l="1"/>
  <c r="C15" i="5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B22" i="4"/>
  <c r="C46" i="4"/>
  <c r="B25" i="5" l="1"/>
  <c r="C25" i="5" l="1"/>
  <c r="C7" i="5"/>
  <c r="C2" i="5"/>
  <c r="C3" i="5"/>
  <c r="C4" i="5"/>
  <c r="C20" i="5" l="1"/>
  <c r="C45" i="4"/>
  <c r="C44" i="4"/>
  <c r="C43" i="4"/>
  <c r="C42" i="4"/>
  <c r="C41" i="4"/>
  <c r="C40" i="4"/>
  <c r="C39" i="4"/>
  <c r="C38" i="4"/>
  <c r="C37" i="4" l="1"/>
  <c r="C36" i="4"/>
  <c r="C35" i="4" l="1"/>
  <c r="C34" i="4"/>
  <c r="C33" i="4" l="1"/>
  <c r="C32" i="4"/>
  <c r="C31" i="4" l="1"/>
  <c r="C30" i="4"/>
  <c r="C10" i="3" l="1"/>
  <c r="C3" i="3"/>
  <c r="C12" i="3"/>
  <c r="C25" i="3"/>
  <c r="C21" i="3"/>
  <c r="C20" i="3"/>
  <c r="C8" i="3"/>
  <c r="C14" i="3"/>
  <c r="C17" i="3"/>
  <c r="C4" i="3"/>
  <c r="C11" i="3"/>
  <c r="C15" i="3"/>
  <c r="C7" i="3"/>
  <c r="C2" i="3"/>
  <c r="C5" i="3"/>
  <c r="C19" i="3"/>
  <c r="C26" i="3"/>
  <c r="C24" i="3"/>
  <c r="C9" i="3"/>
  <c r="C22" i="3"/>
  <c r="C23" i="3"/>
  <c r="C16" i="3"/>
  <c r="C6" i="3"/>
  <c r="C13" i="3"/>
  <c r="C29" i="4" l="1"/>
  <c r="C2" i="4"/>
  <c r="C22" i="4" s="1"/>
  <c r="B28" i="1" l="1"/>
  <c r="B27" i="3" l="1"/>
  <c r="C18" i="3" l="1"/>
  <c r="C19" i="2" l="1"/>
  <c r="C17" i="2"/>
  <c r="C10" i="2"/>
  <c r="C26" i="2" l="1"/>
  <c r="B27" i="2"/>
  <c r="C25" i="2"/>
  <c r="C27" i="3" l="1"/>
  <c r="C22" i="2" l="1"/>
  <c r="C18" i="2"/>
  <c r="C14" i="2"/>
  <c r="C2" i="2" l="1"/>
  <c r="C4" i="2"/>
  <c r="C5" i="2"/>
  <c r="C6" i="2"/>
  <c r="C9" i="2"/>
  <c r="C7" i="2"/>
  <c r="C8" i="2"/>
  <c r="C11" i="2"/>
  <c r="C12" i="2"/>
  <c r="C13" i="2"/>
  <c r="C16" i="2"/>
  <c r="C15" i="2"/>
  <c r="C20" i="2"/>
  <c r="C21" i="2"/>
  <c r="C24" i="2"/>
  <c r="C23" i="2"/>
  <c r="C3" i="2"/>
  <c r="C27" i="2" l="1"/>
  <c r="C35" i="2"/>
  <c r="B37" i="2"/>
  <c r="C34" i="2" l="1"/>
  <c r="C27" i="1" l="1"/>
  <c r="C3" i="1" l="1"/>
  <c r="C2" i="1"/>
  <c r="C14" i="1"/>
  <c r="C25" i="1"/>
  <c r="B40" i="1" l="1"/>
  <c r="C39" i="1"/>
  <c r="C32" i="2" l="1"/>
  <c r="C23" i="1" l="1"/>
  <c r="C26" i="1"/>
  <c r="C22" i="1"/>
  <c r="C13" i="1" l="1"/>
  <c r="C10" i="1"/>
  <c r="C19" i="1" l="1"/>
  <c r="C33" i="2" l="1"/>
  <c r="C37" i="2" s="1"/>
  <c r="C38" i="1"/>
  <c r="C40" i="1" s="1"/>
  <c r="C24" i="1"/>
  <c r="C4" i="1" l="1"/>
  <c r="C15" i="1"/>
  <c r="C16" i="1"/>
  <c r="C9" i="1" l="1"/>
  <c r="C20" i="1"/>
  <c r="C8" i="1" l="1"/>
  <c r="C6" i="1"/>
  <c r="C5" i="1"/>
  <c r="C7" i="1"/>
  <c r="C37" i="1" l="1"/>
  <c r="C36" i="1"/>
  <c r="C35" i="1"/>
  <c r="C34" i="1"/>
  <c r="C11" i="1"/>
  <c r="C28" i="1" s="1"/>
  <c r="C17" i="1"/>
  <c r="C12" i="1"/>
  <c r="C18" i="1"/>
</calcChain>
</file>

<file path=xl/sharedStrings.xml><?xml version="1.0" encoding="utf-8"?>
<sst xmlns="http://schemas.openxmlformats.org/spreadsheetml/2006/main" count="2431" uniqueCount="304">
  <si>
    <t>Status</t>
  </si>
  <si>
    <t>Quantity (t)</t>
  </si>
  <si>
    <t>Quantity (Kt)</t>
  </si>
  <si>
    <t>Primary vessel class</t>
  </si>
  <si>
    <t>Product category</t>
  </si>
  <si>
    <t xml:space="preserve">Origin country </t>
  </si>
  <si>
    <t>Departure date</t>
  </si>
  <si>
    <t>Destination country</t>
  </si>
  <si>
    <t>Arrival date</t>
  </si>
  <si>
    <t>Netherlands</t>
  </si>
  <si>
    <t>Belgium</t>
  </si>
  <si>
    <t>USA</t>
  </si>
  <si>
    <t>Spain</t>
  </si>
  <si>
    <t>Lithuania</t>
  </si>
  <si>
    <t>Poland</t>
  </si>
  <si>
    <t>HSFO</t>
  </si>
  <si>
    <t>Intermediate</t>
  </si>
  <si>
    <t>LR1</t>
  </si>
  <si>
    <t>LR2</t>
  </si>
  <si>
    <t>MR2</t>
  </si>
  <si>
    <t>Name of the boat</t>
  </si>
  <si>
    <t>SONGA TAURUS</t>
  </si>
  <si>
    <t>CONSTELLATION</t>
  </si>
  <si>
    <t>Turkey</t>
  </si>
  <si>
    <t>HELLESPONT PROGRESS</t>
  </si>
  <si>
    <t>ICHESIA M</t>
  </si>
  <si>
    <t>SOHO SQUARE</t>
  </si>
  <si>
    <t xml:space="preserve">List of boats to look at </t>
  </si>
  <si>
    <t>Suspecting</t>
  </si>
  <si>
    <t>MR1</t>
  </si>
  <si>
    <t>MERENGUE</t>
  </si>
  <si>
    <t>Saudi Arabia</t>
  </si>
  <si>
    <t>-</t>
  </si>
  <si>
    <t>Aframax</t>
  </si>
  <si>
    <t>CRUDE CENTURION</t>
  </si>
  <si>
    <t>SARASOTA A</t>
  </si>
  <si>
    <t>ROC</t>
  </si>
  <si>
    <t>Total</t>
  </si>
  <si>
    <t>Discharged</t>
  </si>
  <si>
    <t>Flexi</t>
  </si>
  <si>
    <t>EVINCO</t>
  </si>
  <si>
    <t>UK</t>
  </si>
  <si>
    <t>SONGA JADE</t>
  </si>
  <si>
    <t>ERICUSA M</t>
  </si>
  <si>
    <t>BALTIC SWIFT</t>
  </si>
  <si>
    <t>Senegal</t>
  </si>
  <si>
    <t>Starligth II</t>
  </si>
  <si>
    <t>Canada</t>
  </si>
  <si>
    <t>SONGA AURORA</t>
  </si>
  <si>
    <t>SEOATH</t>
  </si>
  <si>
    <t>EVA SCHULTE</t>
  </si>
  <si>
    <t>West of Suez</t>
  </si>
  <si>
    <t>SONGA RUBY</t>
  </si>
  <si>
    <t>EMMY SCHULTE</t>
  </si>
  <si>
    <t>Germany</t>
  </si>
  <si>
    <t>SLOMAN HERAKLES</t>
  </si>
  <si>
    <t>SEAVALOUR</t>
  </si>
  <si>
    <t>Rotterdam</t>
  </si>
  <si>
    <t>Vortexa</t>
  </si>
  <si>
    <t>Source</t>
  </si>
  <si>
    <t>Maven</t>
  </si>
  <si>
    <t>BRITISH ENGINEER</t>
  </si>
  <si>
    <t>Estonia</t>
  </si>
  <si>
    <t>PS VANCOUVER</t>
  </si>
  <si>
    <t>France</t>
  </si>
  <si>
    <t>HSFO (could be crude)</t>
  </si>
  <si>
    <t>HAMBURG STAR</t>
  </si>
  <si>
    <t>Coastal</t>
  </si>
  <si>
    <t>STOC BALTIC</t>
  </si>
  <si>
    <t>Sweden</t>
  </si>
  <si>
    <t>Suezmax</t>
  </si>
  <si>
    <t>Colombia</t>
  </si>
  <si>
    <t>HANOVER SQUARE</t>
  </si>
  <si>
    <t>In transit</t>
  </si>
  <si>
    <t>SONGA SAPPHIRE</t>
  </si>
  <si>
    <t>SHENLONG SPIRIT</t>
  </si>
  <si>
    <t>Comments</t>
  </si>
  <si>
    <t>CALYPSO</t>
  </si>
  <si>
    <t>RIVER OAK</t>
  </si>
  <si>
    <t xml:space="preserve">Personal </t>
  </si>
  <si>
    <t>FT QUINTO</t>
  </si>
  <si>
    <t>No specification</t>
  </si>
  <si>
    <t>CHEMTRANS POLARIS</t>
  </si>
  <si>
    <t>Peru</t>
  </si>
  <si>
    <t>SONGA ATLANTIC</t>
  </si>
  <si>
    <t>CIELO DI GAETA</t>
  </si>
  <si>
    <t>Personal info</t>
  </si>
  <si>
    <t>FRONT OCELOT</t>
  </si>
  <si>
    <t>Personal source</t>
  </si>
  <si>
    <t>Iraq</t>
  </si>
  <si>
    <t>SEMERU</t>
  </si>
  <si>
    <t>United Kingdom</t>
  </si>
  <si>
    <t>Panamax</t>
  </si>
  <si>
    <t>RADIANT SEA</t>
  </si>
  <si>
    <t>ORFEAS</t>
  </si>
  <si>
    <t>Bahamas</t>
  </si>
  <si>
    <t xml:space="preserve">No product </t>
  </si>
  <si>
    <t>NOVO</t>
  </si>
  <si>
    <t>LR3</t>
  </si>
  <si>
    <t>Bremar</t>
  </si>
  <si>
    <t>HELLESPONT PRIDE</t>
  </si>
  <si>
    <t>Charterer</t>
  </si>
  <si>
    <t>Chevron</t>
  </si>
  <si>
    <t>Centrofin</t>
  </si>
  <si>
    <t xml:space="preserve">Augusta due </t>
  </si>
  <si>
    <t>BP</t>
  </si>
  <si>
    <t xml:space="preserve">HSFO </t>
  </si>
  <si>
    <t>STEN  POSEIDON</t>
  </si>
  <si>
    <t>Exxon</t>
  </si>
  <si>
    <t>ARROW STAR 1</t>
  </si>
  <si>
    <t>Columbia</t>
  </si>
  <si>
    <t>Trafigura</t>
  </si>
  <si>
    <t>EVRIDIKI</t>
  </si>
  <si>
    <t>Vitol</t>
  </si>
  <si>
    <t>CIELO DI CAPRI</t>
  </si>
  <si>
    <t>United States</t>
  </si>
  <si>
    <t>Aramco</t>
  </si>
  <si>
    <t>Discharging</t>
  </si>
  <si>
    <t>FAITHFUL WARRIOR</t>
  </si>
  <si>
    <t>DUBAI ATTRACTION</t>
  </si>
  <si>
    <t>SONGA ORION</t>
  </si>
  <si>
    <t>ELISALEX SCHULTE</t>
  </si>
  <si>
    <t>BRO ANNA</t>
  </si>
  <si>
    <t>Greece</t>
  </si>
  <si>
    <t>SLOMAN HERAQLES</t>
  </si>
  <si>
    <t>SONGA OPAL</t>
  </si>
  <si>
    <t>OCEAN VENTURE</t>
  </si>
  <si>
    <t>DAN SABIA</t>
  </si>
  <si>
    <t>ALQADISIA</t>
  </si>
  <si>
    <t>Irak</t>
  </si>
  <si>
    <t>No info</t>
  </si>
  <si>
    <t>RELIABLE WARRIOR</t>
  </si>
  <si>
    <t>HSFO-crude</t>
  </si>
  <si>
    <t>STELLA</t>
  </si>
  <si>
    <t>ANAFI WARRIOR</t>
  </si>
  <si>
    <t>EUROLEADER</t>
  </si>
  <si>
    <t>Could go to USA</t>
  </si>
  <si>
    <t>Could go to Spain</t>
  </si>
  <si>
    <t>MAGIC STAR</t>
  </si>
  <si>
    <t>Tupras</t>
  </si>
  <si>
    <t>SONGA PEARL</t>
  </si>
  <si>
    <t>GOLDEN DAISY</t>
  </si>
  <si>
    <t>Exxonmobil</t>
  </si>
  <si>
    <t>ADAM</t>
  </si>
  <si>
    <t>External source confirmed</t>
  </si>
  <si>
    <t>Expecting</t>
  </si>
  <si>
    <t>Orim</t>
  </si>
  <si>
    <t>Gunvor</t>
  </si>
  <si>
    <t>OLYMPIC FLAG</t>
  </si>
  <si>
    <t>Malta</t>
  </si>
  <si>
    <t>Did STS with Yellow trader.</t>
  </si>
  <si>
    <t>ALEXANDER</t>
  </si>
  <si>
    <t>If confirmed, could arrive in Feb</t>
  </si>
  <si>
    <t>SEA HYMN</t>
  </si>
  <si>
    <t>Orlen</t>
  </si>
  <si>
    <t>Did STS with Yellow trader. Personal info</t>
  </si>
  <si>
    <t>BRIOLETTE</t>
  </si>
  <si>
    <t>Shell</t>
  </si>
  <si>
    <t>TORM MATHILDE</t>
  </si>
  <si>
    <t>Brazil</t>
  </si>
  <si>
    <t>Petrobras</t>
  </si>
  <si>
    <t>Kpler source</t>
  </si>
  <si>
    <t>Crude</t>
  </si>
  <si>
    <t>LSFO</t>
  </si>
  <si>
    <t>SEAVIGOUR</t>
  </si>
  <si>
    <t>Galaxy</t>
  </si>
  <si>
    <t>Kuwait</t>
  </si>
  <si>
    <t>Kpler</t>
  </si>
  <si>
    <t>ALBERT</t>
  </si>
  <si>
    <t>HSFO - HSSR</t>
  </si>
  <si>
    <t>Discharged only 40Kt on the 110Kt from SA</t>
  </si>
  <si>
    <t>Harren</t>
  </si>
  <si>
    <t>NIKE</t>
  </si>
  <si>
    <t>FEZZAN</t>
  </si>
  <si>
    <t xml:space="preserve">BREST </t>
  </si>
  <si>
    <t xml:space="preserve">SONGA JADE </t>
  </si>
  <si>
    <t>KRITI HERO</t>
  </si>
  <si>
    <t>HANS MAERSK</t>
  </si>
  <si>
    <t>EAGLE BINTULU</t>
  </si>
  <si>
    <t>NEW ABILITY</t>
  </si>
  <si>
    <t xml:space="preserve">SONGA AURORA </t>
  </si>
  <si>
    <t>Stationning in Netherlands water</t>
  </si>
  <si>
    <t>KRITI JADE</t>
  </si>
  <si>
    <t>HAFNIA AFRICA</t>
  </si>
  <si>
    <t>Mexico</t>
  </si>
  <si>
    <t>YANKUL SILVER</t>
  </si>
  <si>
    <t>Person info is stating this vessel as HSFO</t>
  </si>
  <si>
    <t>VS PROSPERA</t>
  </si>
  <si>
    <t>AMAZON FALCON</t>
  </si>
  <si>
    <t>Key</t>
  </si>
  <si>
    <t>IMO</t>
  </si>
  <si>
    <t>Vessel name</t>
  </si>
  <si>
    <t>Load port</t>
  </si>
  <si>
    <t>Discharged port</t>
  </si>
  <si>
    <t>Group</t>
  </si>
  <si>
    <t>Product</t>
  </si>
  <si>
    <t>Fuel</t>
  </si>
  <si>
    <t>Product grade</t>
  </si>
  <si>
    <t>Unit</t>
  </si>
  <si>
    <t>Kt</t>
  </si>
  <si>
    <t>Quantity</t>
  </si>
  <si>
    <t>Dirty</t>
  </si>
  <si>
    <t>BL</t>
  </si>
  <si>
    <t>ETA</t>
  </si>
  <si>
    <t>Supplier</t>
  </si>
  <si>
    <t>Receiver</t>
  </si>
  <si>
    <t>AIS draft</t>
  </si>
  <si>
    <t>AIS heading</t>
  </si>
  <si>
    <t>Updated date</t>
  </si>
  <si>
    <t>Market deployment</t>
  </si>
  <si>
    <t xml:space="preserve">Crude </t>
  </si>
  <si>
    <t>AL AGAILA</t>
  </si>
  <si>
    <t>STI JERMYN</t>
  </si>
  <si>
    <t>HSSR</t>
  </si>
  <si>
    <t>Usual shipments from Lithuania</t>
  </si>
  <si>
    <t>Usual shipments from Poland</t>
  </si>
  <si>
    <t xml:space="preserve">   9444467 </t>
  </si>
  <si>
    <t>Swinoujscie [PL]</t>
  </si>
  <si>
    <t>Coatzacoalcos, Pajaritos [MX]</t>
  </si>
  <si>
    <t>Brownsville, TX [US]</t>
  </si>
  <si>
    <t>Freeport (Bahama Is.) [BS]</t>
  </si>
  <si>
    <t>EAGLE KUANTAN</t>
  </si>
  <si>
    <t>Klaipeda [LT]</t>
  </si>
  <si>
    <t>PKN</t>
  </si>
  <si>
    <t>ORCHID SPIRIT</t>
  </si>
  <si>
    <t>Glencore</t>
  </si>
  <si>
    <t>PHAETHON</t>
  </si>
  <si>
    <t>Khor Al Zubair [IQ] (STS operations)</t>
  </si>
  <si>
    <t>Coatzacoalcos, Pajaritos [MX] (STS operations)</t>
  </si>
  <si>
    <t>CABO FROWARD</t>
  </si>
  <si>
    <t>Puerto Bayovar [PE]</t>
  </si>
  <si>
    <t>LARVIK</t>
  </si>
  <si>
    <t>PGC MARINA</t>
  </si>
  <si>
    <t>PACIFIC SARAH</t>
  </si>
  <si>
    <t>Cartagena [CO]</t>
  </si>
  <si>
    <t>PORTINARI</t>
  </si>
  <si>
    <t>Rio De Janeiro, RJ [BR]</t>
  </si>
  <si>
    <t>SAND</t>
  </si>
  <si>
    <t>Basrah STS [IQ]</t>
  </si>
  <si>
    <t>HAFNIA ZAMBESI</t>
  </si>
  <si>
    <t>PERSEUS STAR</t>
  </si>
  <si>
    <t>9282625 </t>
  </si>
  <si>
    <t>PGC COMPANION</t>
  </si>
  <si>
    <t>Donges [FR]</t>
  </si>
  <si>
    <t>Antwerp</t>
  </si>
  <si>
    <t>MONTREAL SPIRIRT</t>
  </si>
  <si>
    <t>Port Jerome [FR]</t>
  </si>
  <si>
    <t>STI ACTION</t>
  </si>
  <si>
    <t>Ras Tanura [SA]</t>
  </si>
  <si>
    <t>GREEN SPINEL</t>
  </si>
  <si>
    <t>Aliaga [TR]</t>
  </si>
  <si>
    <t>BOUVARDIA</t>
  </si>
  <si>
    <t>Jizan [SA]</t>
  </si>
  <si>
    <t>MINERVA CORALIA</t>
  </si>
  <si>
    <t>Tracy, QC [CA]</t>
  </si>
  <si>
    <t>KYRAKATINGO</t>
  </si>
  <si>
    <t>Energy chancellor</t>
  </si>
  <si>
    <t>JASMIN JOY</t>
  </si>
  <si>
    <t>ALFA ALANDIA</t>
  </si>
  <si>
    <t>HELLESPONT PROTECTOR</t>
  </si>
  <si>
    <t>Lazaro Cardenas [MX]</t>
  </si>
  <si>
    <t>NISSOS TINOS</t>
  </si>
  <si>
    <t>CAPE TEMPEST</t>
  </si>
  <si>
    <t>Guamare [BR]</t>
  </si>
  <si>
    <t>UOG HERMES</t>
  </si>
  <si>
    <t>JATULI</t>
  </si>
  <si>
    <t>Gdansk [PL]</t>
  </si>
  <si>
    <t>9444467 </t>
  </si>
  <si>
    <t>LANCING</t>
  </si>
  <si>
    <t>EVROTAS</t>
  </si>
  <si>
    <t>Brownsville [TX]</t>
  </si>
  <si>
    <t>APACHE</t>
  </si>
  <si>
    <t>KRITI SAMARIA</t>
  </si>
  <si>
    <t>Agioi Theodoroi [GR]</t>
  </si>
  <si>
    <t>SOLAR NAAMA</t>
  </si>
  <si>
    <t>HAFNIA TORRES</t>
  </si>
  <si>
    <t>Las Palmas [ES]</t>
  </si>
  <si>
    <t>CHIOS I</t>
  </si>
  <si>
    <t>Yanbu Industrial Port [SA]</t>
  </si>
  <si>
    <t>AIGEORGIS</t>
  </si>
  <si>
    <t>STENDBERG</t>
  </si>
  <si>
    <t>Montreal [CA]</t>
  </si>
  <si>
    <t>GH MADISON</t>
  </si>
  <si>
    <t>Houston, TX [US]</t>
  </si>
  <si>
    <t>ECLIPSE I</t>
  </si>
  <si>
    <t>SAFEEN ELONA</t>
  </si>
  <si>
    <t>Rotterdam [NL]</t>
  </si>
  <si>
    <t>CABO MISAKI</t>
  </si>
  <si>
    <t>9800245 </t>
  </si>
  <si>
    <t>PATMOS I</t>
  </si>
  <si>
    <t>BORDEIRA</t>
  </si>
  <si>
    <t>EAGLE BRASILIA</t>
  </si>
  <si>
    <t>9262900 </t>
  </si>
  <si>
    <t>MINERVA LYDIA</t>
  </si>
  <si>
    <t>Karachi, SD [PK]</t>
  </si>
  <si>
    <t>NAFSIKA</t>
  </si>
  <si>
    <t>Rabigh [SA]</t>
  </si>
  <si>
    <t>CAPE TALLIN</t>
  </si>
  <si>
    <t>Amsterdam [NL]</t>
  </si>
  <si>
    <t>Hamburg [DE]</t>
  </si>
  <si>
    <t>MINDORO STAR</t>
  </si>
  <si>
    <t>CHEMTRANS NOVA</t>
  </si>
  <si>
    <t>ASPEN</t>
  </si>
  <si>
    <t>Quebec [CA]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</si>
</sst>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2" fillId="3" borderId="0" xfId="0" applyFont="1" applyFill="1"/>
    <xf numFmtId="14" fontId="0" fillId="2" borderId="0" xfId="0" applyNumberFormat="1" applyFill="1"/>
    <xf numFmtId="0" fontId="2" fillId="2" borderId="0" xfId="0" applyFont="1" applyFill="1"/>
    <xf numFmtId="0" fontId="2" fillId="3" borderId="1" xfId="0" applyFont="1" applyFill="1" applyBorder="1"/>
    <xf numFmtId="0" fontId="0" fillId="0" borderId="1" xfId="0" applyBorder="1"/>
    <xf numFmtId="0" fontId="0" fillId="2" borderId="2" xfId="0" applyFill="1" applyBorder="1"/>
    <xf numFmtId="0" fontId="0" fillId="2" borderId="0" xfId="0" applyNumberFormat="1" applyFill="1"/>
    <xf numFmtId="0" fontId="2" fillId="3" borderId="3" xfId="0" applyFont="1" applyFill="1" applyBorder="1"/>
    <xf numFmtId="0" fontId="0" fillId="0" borderId="3" xfId="0" applyBorder="1"/>
    <xf numFmtId="0" fontId="0" fillId="2" borderId="3" xfId="0" applyFill="1" applyBorder="1"/>
    <xf numFmtId="0" fontId="0" fillId="3" borderId="0" xfId="0" applyFill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1" fillId="0" borderId="5" xfId="0" applyFont="1" applyBorder="1"/>
    <xf numFmtId="0" fontId="2" fillId="3" borderId="2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/>
    <xf numFmtId="14" fontId="0" fillId="2" borderId="3" xfId="0" applyNumberFormat="1" applyFill="1" applyBorder="1"/>
    <xf numFmtId="14" fontId="0" fillId="2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0" fontId="0" fillId="0" borderId="0" xfId="0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0" fillId="0" borderId="5" xfId="0" applyFill="1" applyBorder="1"/>
    <xf numFmtId="0" fontId="0" fillId="0" borderId="6" xfId="0" applyFill="1" applyBorder="1"/>
    <xf numFmtId="0" fontId="0" fillId="4" borderId="2" xfId="0" applyFill="1" applyBorder="1"/>
    <xf numFmtId="0" fontId="0" fillId="4" borderId="0" xfId="0" applyFill="1"/>
    <xf numFmtId="14" fontId="0" fillId="4" borderId="0" xfId="0" applyNumberFormat="1" applyFill="1"/>
    <xf numFmtId="14" fontId="0" fillId="4" borderId="0" xfId="0" applyNumberFormat="1" applyFill="1" applyBorder="1"/>
    <xf numFmtId="0" fontId="0" fillId="4" borderId="0" xfId="0" applyFill="1" applyBorder="1"/>
    <xf numFmtId="14" fontId="0" fillId="0" borderId="0" xfId="0" applyNumberFormat="1"/>
    <xf numFmtId="0" fontId="2" fillId="3" borderId="0" xfId="0" applyFont="1" applyFill="1" applyBorder="1"/>
    <xf numFmtId="0" fontId="0" fillId="5" borderId="0" xfId="0" applyFill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horizontal="left" indent="1"/>
    </xf>
    <xf numFmtId="0" fontId="1" fillId="0" borderId="0" xfId="0" applyFont="1" applyFill="1" applyBorder="1"/>
    <xf numFmtId="0" fontId="4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F30" sqref="F30"/>
    </sheetView>
  </sheetViews>
  <sheetFormatPr defaultRowHeight="15" x14ac:dyDescent="0.25"/>
  <cols>
    <col min="1" max="1" width="21" customWidth="1"/>
    <col min="2" max="2" width="11.85546875" customWidth="1"/>
    <col min="3" max="3" width="13.7109375" customWidth="1"/>
    <col min="4" max="5" width="21.42578125" customWidth="1"/>
    <col min="6" max="6" width="17.28515625" customWidth="1"/>
    <col min="7" max="7" width="14.140625" customWidth="1"/>
    <col min="8" max="8" width="16.85546875" customWidth="1"/>
    <col min="9" max="9" width="19.5703125" customWidth="1"/>
    <col min="10" max="10" width="12.85546875" customWidth="1"/>
    <col min="12" max="12" width="20.5703125" bestFit="1" customWidth="1"/>
    <col min="13" max="13" width="10.140625" bestFit="1" customWidth="1"/>
  </cols>
  <sheetData>
    <row r="1" spans="1:13" x14ac:dyDescent="0.25">
      <c r="A1" s="19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2"/>
      <c r="L1" s="12"/>
      <c r="M1" s="12"/>
    </row>
    <row r="2" spans="1:13" x14ac:dyDescent="0.25">
      <c r="A2" s="7" t="s">
        <v>38</v>
      </c>
      <c r="B2" s="1">
        <v>3800</v>
      </c>
      <c r="C2" s="1">
        <f t="shared" ref="C2:C3" si="0">B2/1000</f>
        <v>3.8</v>
      </c>
      <c r="D2" s="1" t="s">
        <v>16</v>
      </c>
      <c r="E2" s="1" t="s">
        <v>78</v>
      </c>
      <c r="F2" s="1" t="s">
        <v>15</v>
      </c>
      <c r="G2" s="1" t="s">
        <v>41</v>
      </c>
      <c r="H2" s="3">
        <v>45561</v>
      </c>
      <c r="I2" s="1" t="s">
        <v>9</v>
      </c>
      <c r="J2" s="3">
        <v>45566</v>
      </c>
      <c r="K2" s="1"/>
      <c r="L2" s="1"/>
      <c r="M2" s="1"/>
    </row>
    <row r="3" spans="1:13" x14ac:dyDescent="0.25">
      <c r="A3" s="7" t="s">
        <v>38</v>
      </c>
      <c r="B3" s="1">
        <v>4000</v>
      </c>
      <c r="C3" s="1">
        <f t="shared" si="0"/>
        <v>4</v>
      </c>
      <c r="D3" s="1" t="s">
        <v>16</v>
      </c>
      <c r="E3" s="1" t="s">
        <v>78</v>
      </c>
      <c r="F3" s="1" t="s">
        <v>15</v>
      </c>
      <c r="G3" s="1" t="s">
        <v>41</v>
      </c>
      <c r="H3" s="3">
        <v>45563</v>
      </c>
      <c r="I3" s="1" t="s">
        <v>9</v>
      </c>
      <c r="J3" s="3">
        <v>45566</v>
      </c>
      <c r="K3" s="1"/>
      <c r="L3" s="1"/>
      <c r="M3" s="1"/>
    </row>
    <row r="4" spans="1:13" x14ac:dyDescent="0.25">
      <c r="A4" s="7" t="s">
        <v>38</v>
      </c>
      <c r="B4" s="1">
        <v>5700</v>
      </c>
      <c r="C4" s="1">
        <f t="shared" ref="C4:C27" si="1">B4/1000</f>
        <v>5.7</v>
      </c>
      <c r="D4" s="1" t="s">
        <v>16</v>
      </c>
      <c r="E4" s="1" t="s">
        <v>53</v>
      </c>
      <c r="F4" s="1" t="s">
        <v>15</v>
      </c>
      <c r="G4" s="1" t="s">
        <v>54</v>
      </c>
      <c r="H4" s="3">
        <v>45564</v>
      </c>
      <c r="I4" s="1" t="s">
        <v>9</v>
      </c>
      <c r="J4" s="3">
        <v>45567</v>
      </c>
      <c r="K4" s="1"/>
      <c r="L4" s="1"/>
      <c r="M4" s="1"/>
    </row>
    <row r="5" spans="1:13" x14ac:dyDescent="0.25">
      <c r="A5" s="7" t="s">
        <v>38</v>
      </c>
      <c r="B5" s="1">
        <v>16700</v>
      </c>
      <c r="C5" s="1">
        <f t="shared" si="1"/>
        <v>16.7</v>
      </c>
      <c r="D5" s="1" t="s">
        <v>16</v>
      </c>
      <c r="E5" s="1" t="s">
        <v>42</v>
      </c>
      <c r="F5" s="1" t="s">
        <v>15</v>
      </c>
      <c r="G5" s="1" t="s">
        <v>14</v>
      </c>
      <c r="H5" s="3">
        <v>45564</v>
      </c>
      <c r="I5" s="1" t="s">
        <v>9</v>
      </c>
      <c r="J5" s="3">
        <v>45568</v>
      </c>
      <c r="K5" s="1"/>
      <c r="L5" s="1"/>
      <c r="M5" s="1"/>
    </row>
    <row r="6" spans="1:13" x14ac:dyDescent="0.25">
      <c r="A6" s="7" t="s">
        <v>38</v>
      </c>
      <c r="B6" s="1">
        <v>17100</v>
      </c>
      <c r="C6" s="1">
        <f t="shared" si="1"/>
        <v>17.100000000000001</v>
      </c>
      <c r="D6" s="1" t="s">
        <v>16</v>
      </c>
      <c r="E6" s="1" t="s">
        <v>43</v>
      </c>
      <c r="F6" s="1" t="s">
        <v>15</v>
      </c>
      <c r="G6" s="1" t="s">
        <v>41</v>
      </c>
      <c r="H6" s="3">
        <v>45564</v>
      </c>
      <c r="I6" s="1" t="s">
        <v>9</v>
      </c>
      <c r="J6" s="3">
        <v>45569</v>
      </c>
      <c r="K6" s="1"/>
      <c r="L6" s="1"/>
      <c r="M6" s="1"/>
    </row>
    <row r="7" spans="1:13" x14ac:dyDescent="0.25">
      <c r="A7" s="7" t="s">
        <v>38</v>
      </c>
      <c r="B7" s="1">
        <v>13700</v>
      </c>
      <c r="C7" s="1">
        <f t="shared" si="1"/>
        <v>13.7</v>
      </c>
      <c r="D7" s="1" t="s">
        <v>39</v>
      </c>
      <c r="E7" s="1" t="s">
        <v>40</v>
      </c>
      <c r="F7" s="1" t="s">
        <v>15</v>
      </c>
      <c r="G7" s="1" t="s">
        <v>41</v>
      </c>
      <c r="H7" s="3">
        <v>45569</v>
      </c>
      <c r="I7" s="1" t="s">
        <v>9</v>
      </c>
      <c r="J7" s="3">
        <v>45570</v>
      </c>
      <c r="K7" s="1"/>
      <c r="L7" s="1"/>
      <c r="M7" s="1"/>
    </row>
    <row r="8" spans="1:13" x14ac:dyDescent="0.25">
      <c r="A8" s="7" t="s">
        <v>38</v>
      </c>
      <c r="B8" s="1">
        <v>5000</v>
      </c>
      <c r="C8" s="1">
        <f t="shared" si="1"/>
        <v>5</v>
      </c>
      <c r="D8" s="1" t="s">
        <v>29</v>
      </c>
      <c r="E8" s="1" t="s">
        <v>44</v>
      </c>
      <c r="F8" s="1" t="s">
        <v>15</v>
      </c>
      <c r="G8" s="1" t="s">
        <v>45</v>
      </c>
      <c r="H8" s="3">
        <v>45551</v>
      </c>
      <c r="I8" s="1" t="s">
        <v>9</v>
      </c>
      <c r="J8" s="3">
        <v>45570</v>
      </c>
      <c r="K8" s="1"/>
      <c r="L8" s="1"/>
      <c r="M8" s="1"/>
    </row>
    <row r="9" spans="1:13" x14ac:dyDescent="0.25">
      <c r="A9" s="7" t="s">
        <v>38</v>
      </c>
      <c r="B9" s="1">
        <v>22000</v>
      </c>
      <c r="C9" s="1">
        <f t="shared" si="1"/>
        <v>22</v>
      </c>
      <c r="D9" s="1" t="s">
        <v>33</v>
      </c>
      <c r="E9" s="1" t="s">
        <v>49</v>
      </c>
      <c r="F9" s="1" t="s">
        <v>15</v>
      </c>
      <c r="G9" s="1" t="s">
        <v>23</v>
      </c>
      <c r="H9" s="3">
        <v>45557</v>
      </c>
      <c r="I9" s="1" t="s">
        <v>9</v>
      </c>
      <c r="J9" s="3">
        <v>45572</v>
      </c>
      <c r="K9" s="1"/>
      <c r="L9" s="1"/>
      <c r="M9" s="1"/>
    </row>
    <row r="10" spans="1:13" x14ac:dyDescent="0.25">
      <c r="A10" s="7" t="s">
        <v>38</v>
      </c>
      <c r="B10" s="1">
        <v>15800</v>
      </c>
      <c r="C10" s="1">
        <f t="shared" si="1"/>
        <v>15.8</v>
      </c>
      <c r="D10" s="1" t="s">
        <v>16</v>
      </c>
      <c r="E10" s="1" t="s">
        <v>21</v>
      </c>
      <c r="F10" s="1" t="s">
        <v>15</v>
      </c>
      <c r="G10" s="1" t="s">
        <v>14</v>
      </c>
      <c r="H10" s="3">
        <v>45569</v>
      </c>
      <c r="I10" s="1" t="s">
        <v>9</v>
      </c>
      <c r="J10" s="3">
        <v>45572</v>
      </c>
      <c r="K10" s="1"/>
      <c r="L10" s="1"/>
      <c r="M10" s="1"/>
    </row>
    <row r="11" spans="1:13" x14ac:dyDescent="0.25">
      <c r="A11" s="7" t="s">
        <v>38</v>
      </c>
      <c r="B11" s="1">
        <v>70039</v>
      </c>
      <c r="C11" s="1">
        <f t="shared" si="1"/>
        <v>70.039000000000001</v>
      </c>
      <c r="D11" s="1" t="s">
        <v>17</v>
      </c>
      <c r="E11" s="1" t="s">
        <v>24</v>
      </c>
      <c r="F11" s="1" t="s">
        <v>15</v>
      </c>
      <c r="G11" s="1" t="s">
        <v>11</v>
      </c>
      <c r="H11" s="3">
        <v>45550</v>
      </c>
      <c r="I11" s="1" t="s">
        <v>10</v>
      </c>
      <c r="J11" s="3">
        <v>45572</v>
      </c>
      <c r="K11" s="1"/>
      <c r="L11" s="1"/>
      <c r="M11" s="1"/>
    </row>
    <row r="12" spans="1:13" x14ac:dyDescent="0.25">
      <c r="A12" s="7" t="s">
        <v>38</v>
      </c>
      <c r="B12" s="1">
        <v>37700</v>
      </c>
      <c r="C12" s="1">
        <f t="shared" si="1"/>
        <v>37.700000000000003</v>
      </c>
      <c r="D12" s="1" t="s">
        <v>19</v>
      </c>
      <c r="E12" s="1" t="s">
        <v>25</v>
      </c>
      <c r="F12" s="1" t="s">
        <v>15</v>
      </c>
      <c r="G12" s="1" t="s">
        <v>12</v>
      </c>
      <c r="H12" s="3">
        <v>45568</v>
      </c>
      <c r="I12" s="1" t="s">
        <v>9</v>
      </c>
      <c r="J12" s="3">
        <v>45572</v>
      </c>
      <c r="K12" s="1"/>
      <c r="L12" s="1"/>
      <c r="M12" s="1"/>
    </row>
    <row r="13" spans="1:13" x14ac:dyDescent="0.25">
      <c r="A13" s="7" t="s">
        <v>38</v>
      </c>
      <c r="B13" s="8">
        <v>15300</v>
      </c>
      <c r="C13" s="1">
        <f t="shared" si="1"/>
        <v>15.3</v>
      </c>
      <c r="D13" s="1" t="s">
        <v>16</v>
      </c>
      <c r="E13" s="1" t="s">
        <v>48</v>
      </c>
      <c r="F13" s="1" t="s">
        <v>15</v>
      </c>
      <c r="G13" s="1" t="s">
        <v>14</v>
      </c>
      <c r="H13" s="3">
        <v>45567</v>
      </c>
      <c r="I13" s="1" t="s">
        <v>9</v>
      </c>
      <c r="J13" s="3">
        <v>45575</v>
      </c>
      <c r="K13" s="1"/>
      <c r="L13" s="1"/>
      <c r="M13" s="1"/>
    </row>
    <row r="14" spans="1:13" x14ac:dyDescent="0.25">
      <c r="A14" s="7" t="s">
        <v>38</v>
      </c>
      <c r="B14" s="8">
        <v>10700</v>
      </c>
      <c r="C14" s="1">
        <f t="shared" ref="C14" si="2">B14/1000</f>
        <v>10.7</v>
      </c>
      <c r="D14" s="1" t="s">
        <v>16</v>
      </c>
      <c r="E14" s="1" t="s">
        <v>48</v>
      </c>
      <c r="F14" s="1" t="s">
        <v>15</v>
      </c>
      <c r="G14" s="1" t="s">
        <v>41</v>
      </c>
      <c r="H14" s="3">
        <v>45591</v>
      </c>
      <c r="I14" s="1" t="s">
        <v>9</v>
      </c>
      <c r="J14" s="3">
        <v>45592</v>
      </c>
      <c r="K14" s="1"/>
      <c r="L14" s="1"/>
      <c r="M14" s="1"/>
    </row>
    <row r="15" spans="1:13" x14ac:dyDescent="0.25">
      <c r="A15" s="7" t="s">
        <v>38</v>
      </c>
      <c r="B15" s="1">
        <v>10000</v>
      </c>
      <c r="C15" s="1">
        <f t="shared" si="1"/>
        <v>10</v>
      </c>
      <c r="D15" s="1" t="s">
        <v>16</v>
      </c>
      <c r="E15" s="1" t="s">
        <v>50</v>
      </c>
      <c r="F15" s="1" t="s">
        <v>15</v>
      </c>
      <c r="G15" s="1" t="s">
        <v>41</v>
      </c>
      <c r="H15" s="3">
        <v>45573</v>
      </c>
      <c r="I15" s="1" t="s">
        <v>10</v>
      </c>
      <c r="J15" s="3">
        <v>45576</v>
      </c>
      <c r="K15" s="1"/>
      <c r="L15" s="1"/>
      <c r="M15" s="1"/>
    </row>
    <row r="16" spans="1:13" x14ac:dyDescent="0.25">
      <c r="A16" s="7" t="s">
        <v>38</v>
      </c>
      <c r="B16" s="1">
        <v>15100</v>
      </c>
      <c r="C16" s="1">
        <f t="shared" si="1"/>
        <v>15.1</v>
      </c>
      <c r="D16" s="1" t="s">
        <v>16</v>
      </c>
      <c r="E16" s="1" t="s">
        <v>52</v>
      </c>
      <c r="F16" s="1" t="s">
        <v>15</v>
      </c>
      <c r="G16" s="1" t="s">
        <v>41</v>
      </c>
      <c r="H16" s="3">
        <v>45576</v>
      </c>
      <c r="I16" s="1" t="s">
        <v>10</v>
      </c>
      <c r="J16" s="3">
        <v>45577</v>
      </c>
      <c r="K16" s="1"/>
      <c r="L16" s="1"/>
      <c r="M16" s="1"/>
    </row>
    <row r="17" spans="1:13" x14ac:dyDescent="0.25">
      <c r="A17" s="7" t="s">
        <v>38</v>
      </c>
      <c r="B17" s="1">
        <v>99500</v>
      </c>
      <c r="C17" s="1">
        <f t="shared" si="1"/>
        <v>99.5</v>
      </c>
      <c r="D17" s="1" t="s">
        <v>18</v>
      </c>
      <c r="E17" s="1" t="s">
        <v>26</v>
      </c>
      <c r="F17" s="1" t="s">
        <v>15</v>
      </c>
      <c r="G17" s="1" t="s">
        <v>13</v>
      </c>
      <c r="H17" s="3">
        <v>45574</v>
      </c>
      <c r="I17" s="1" t="s">
        <v>9</v>
      </c>
      <c r="J17" s="3">
        <v>45579</v>
      </c>
      <c r="K17" s="1"/>
      <c r="L17" s="1"/>
      <c r="M17" s="1"/>
    </row>
    <row r="18" spans="1:13" x14ac:dyDescent="0.25">
      <c r="A18" s="7" t="s">
        <v>38</v>
      </c>
      <c r="B18" s="1">
        <v>15800</v>
      </c>
      <c r="C18" s="1">
        <f t="shared" si="1"/>
        <v>15.8</v>
      </c>
      <c r="D18" s="1" t="s">
        <v>16</v>
      </c>
      <c r="E18" s="1" t="s">
        <v>21</v>
      </c>
      <c r="F18" s="1" t="s">
        <v>15</v>
      </c>
      <c r="G18" s="1" t="s">
        <v>14</v>
      </c>
      <c r="H18" s="3">
        <v>45577</v>
      </c>
      <c r="I18" s="1" t="s">
        <v>9</v>
      </c>
      <c r="J18" s="3">
        <v>45581</v>
      </c>
      <c r="K18" s="1"/>
      <c r="L18" s="1"/>
      <c r="M18" s="1"/>
    </row>
    <row r="19" spans="1:13" x14ac:dyDescent="0.25">
      <c r="A19" s="7" t="s">
        <v>38</v>
      </c>
      <c r="B19" s="1">
        <v>17100</v>
      </c>
      <c r="C19" s="1">
        <f t="shared" si="1"/>
        <v>17.100000000000001</v>
      </c>
      <c r="D19" s="1" t="s">
        <v>16</v>
      </c>
      <c r="E19" s="1" t="s">
        <v>43</v>
      </c>
      <c r="F19" s="1" t="s">
        <v>15</v>
      </c>
      <c r="G19" s="1" t="s">
        <v>64</v>
      </c>
      <c r="H19" s="3">
        <v>45580</v>
      </c>
      <c r="I19" s="1" t="s">
        <v>9</v>
      </c>
      <c r="J19" s="3">
        <v>45581</v>
      </c>
      <c r="K19" s="1"/>
      <c r="L19" s="1"/>
      <c r="M19" s="1"/>
    </row>
    <row r="20" spans="1:13" x14ac:dyDescent="0.25">
      <c r="A20" s="7" t="s">
        <v>38</v>
      </c>
      <c r="B20" s="1">
        <v>33500</v>
      </c>
      <c r="C20" s="1">
        <f t="shared" si="1"/>
        <v>33.5</v>
      </c>
      <c r="D20" s="1" t="s">
        <v>29</v>
      </c>
      <c r="E20" s="1" t="s">
        <v>46</v>
      </c>
      <c r="F20" s="1" t="s">
        <v>15</v>
      </c>
      <c r="G20" s="1" t="s">
        <v>47</v>
      </c>
      <c r="H20" s="3">
        <v>45572</v>
      </c>
      <c r="I20" s="1" t="s">
        <v>9</v>
      </c>
      <c r="J20" s="3">
        <v>45583</v>
      </c>
      <c r="K20" s="1"/>
      <c r="L20" s="1"/>
      <c r="M20" s="1"/>
    </row>
    <row r="21" spans="1:13" x14ac:dyDescent="0.25">
      <c r="A21" s="7" t="s">
        <v>38</v>
      </c>
      <c r="B21" s="8">
        <v>4400</v>
      </c>
      <c r="C21" s="1">
        <v>1.5</v>
      </c>
      <c r="D21" s="1" t="s">
        <v>67</v>
      </c>
      <c r="E21" s="1" t="s">
        <v>68</v>
      </c>
      <c r="F21" s="1" t="s">
        <v>15</v>
      </c>
      <c r="G21" s="1" t="s">
        <v>69</v>
      </c>
      <c r="H21" s="3">
        <v>45589</v>
      </c>
      <c r="I21" s="1" t="s">
        <v>10</v>
      </c>
      <c r="J21" s="3">
        <v>45592</v>
      </c>
      <c r="K21" s="1"/>
      <c r="L21" s="1"/>
      <c r="M21" s="1"/>
    </row>
    <row r="22" spans="1:13" x14ac:dyDescent="0.25">
      <c r="A22" s="7" t="s">
        <v>38</v>
      </c>
      <c r="B22" s="1">
        <v>16700</v>
      </c>
      <c r="C22" s="1">
        <f t="shared" si="1"/>
        <v>16.7</v>
      </c>
      <c r="D22" s="1" t="s">
        <v>16</v>
      </c>
      <c r="E22" s="1" t="s">
        <v>42</v>
      </c>
      <c r="F22" s="3" t="s">
        <v>15</v>
      </c>
      <c r="G22" s="1" t="s">
        <v>14</v>
      </c>
      <c r="H22" s="3">
        <v>45588</v>
      </c>
      <c r="I22" s="1" t="s">
        <v>9</v>
      </c>
      <c r="J22" s="3">
        <v>45593</v>
      </c>
      <c r="L22" s="1"/>
      <c r="M22" s="1"/>
    </row>
    <row r="23" spans="1:13" x14ac:dyDescent="0.25">
      <c r="A23" s="7" t="s">
        <v>38</v>
      </c>
      <c r="B23" s="1">
        <v>70214</v>
      </c>
      <c r="C23" s="1">
        <f t="shared" si="1"/>
        <v>70.213999999999999</v>
      </c>
      <c r="D23" s="1" t="s">
        <v>17</v>
      </c>
      <c r="E23" s="1" t="s">
        <v>22</v>
      </c>
      <c r="F23" s="1" t="s">
        <v>15</v>
      </c>
      <c r="G23" s="1" t="s">
        <v>11</v>
      </c>
      <c r="H23" s="3">
        <v>45570</v>
      </c>
      <c r="I23" s="1" t="s">
        <v>9</v>
      </c>
      <c r="J23" s="3">
        <v>45594</v>
      </c>
      <c r="K23" s="1"/>
      <c r="L23" s="1"/>
      <c r="M23" s="1"/>
    </row>
    <row r="24" spans="1:13" x14ac:dyDescent="0.25">
      <c r="A24" s="7" t="s">
        <v>38</v>
      </c>
      <c r="B24" s="1">
        <v>11900</v>
      </c>
      <c r="C24" s="1">
        <f t="shared" si="1"/>
        <v>11.9</v>
      </c>
      <c r="D24" s="1" t="s">
        <v>16</v>
      </c>
      <c r="E24" s="1" t="s">
        <v>55</v>
      </c>
      <c r="F24" s="1" t="s">
        <v>15</v>
      </c>
      <c r="G24" s="1" t="s">
        <v>41</v>
      </c>
      <c r="H24" s="3">
        <v>45585</v>
      </c>
      <c r="I24" s="1" t="s">
        <v>9</v>
      </c>
      <c r="J24" s="3">
        <v>45594</v>
      </c>
      <c r="K24" s="1"/>
      <c r="L24" s="1"/>
      <c r="M24" s="1"/>
    </row>
    <row r="25" spans="1:13" x14ac:dyDescent="0.25">
      <c r="A25" s="7" t="s">
        <v>38</v>
      </c>
      <c r="B25" s="1">
        <v>88000</v>
      </c>
      <c r="C25" s="1">
        <f t="shared" si="1"/>
        <v>88</v>
      </c>
      <c r="D25" s="1" t="s">
        <v>33</v>
      </c>
      <c r="E25" s="1" t="s">
        <v>77</v>
      </c>
      <c r="F25" s="1" t="s">
        <v>15</v>
      </c>
      <c r="G25" s="1" t="s">
        <v>23</v>
      </c>
      <c r="H25" s="3">
        <v>45575</v>
      </c>
      <c r="I25" s="1" t="s">
        <v>9</v>
      </c>
      <c r="J25" s="3">
        <v>45591</v>
      </c>
      <c r="K25" s="1"/>
      <c r="L25" s="1"/>
      <c r="M25" s="1"/>
    </row>
    <row r="26" spans="1:13" x14ac:dyDescent="0.25">
      <c r="A26" s="7" t="s">
        <v>38</v>
      </c>
      <c r="B26" s="1">
        <v>35200</v>
      </c>
      <c r="C26" s="1">
        <f t="shared" si="1"/>
        <v>35.200000000000003</v>
      </c>
      <c r="D26" s="1" t="s">
        <v>19</v>
      </c>
      <c r="E26" s="1" t="s">
        <v>63</v>
      </c>
      <c r="F26" s="1" t="s">
        <v>15</v>
      </c>
      <c r="G26" s="1" t="s">
        <v>23</v>
      </c>
      <c r="H26" s="3">
        <v>45579</v>
      </c>
      <c r="I26" s="1" t="s">
        <v>9</v>
      </c>
      <c r="J26" s="3">
        <v>45596</v>
      </c>
      <c r="K26" s="1"/>
      <c r="L26" s="1"/>
      <c r="M26" s="1"/>
    </row>
    <row r="27" spans="1:13" ht="15.75" thickBot="1" x14ac:dyDescent="0.3">
      <c r="A27" s="7" t="s">
        <v>38</v>
      </c>
      <c r="B27" s="1">
        <v>16700</v>
      </c>
      <c r="C27" s="1">
        <f t="shared" si="1"/>
        <v>16.7</v>
      </c>
      <c r="D27" s="1" t="s">
        <v>16</v>
      </c>
      <c r="E27" s="1" t="s">
        <v>74</v>
      </c>
      <c r="F27" s="1" t="s">
        <v>15</v>
      </c>
      <c r="G27" s="1" t="s">
        <v>14</v>
      </c>
      <c r="H27" s="3">
        <v>45593</v>
      </c>
      <c r="I27" s="1" t="s">
        <v>9</v>
      </c>
      <c r="J27" s="3">
        <v>45596</v>
      </c>
      <c r="K27" s="3"/>
      <c r="L27" s="1"/>
    </row>
    <row r="28" spans="1:13" ht="15.75" thickBot="1" x14ac:dyDescent="0.3">
      <c r="A28" s="13" t="s">
        <v>37</v>
      </c>
      <c r="B28" s="14">
        <f>SUM(B12:B22)</f>
        <v>275800</v>
      </c>
      <c r="C28" s="14">
        <f>SUM(C2:C27)</f>
        <v>668.75300000000004</v>
      </c>
      <c r="D28" s="14"/>
      <c r="E28" s="14"/>
      <c r="F28" s="14"/>
      <c r="G28" s="14"/>
      <c r="H28" s="14"/>
      <c r="I28" s="14"/>
      <c r="J28" s="14"/>
      <c r="K28" s="15"/>
      <c r="L28" s="15"/>
      <c r="M28" s="16"/>
    </row>
    <row r="29" spans="1:13" x14ac:dyDescent="0.25">
      <c r="A29" s="6"/>
    </row>
    <row r="33" spans="1:18" x14ac:dyDescent="0.25">
      <c r="A33" s="19" t="s">
        <v>27</v>
      </c>
      <c r="B33" s="2" t="s">
        <v>1</v>
      </c>
      <c r="C33" s="2" t="s">
        <v>2</v>
      </c>
      <c r="D33" s="2" t="s">
        <v>3</v>
      </c>
      <c r="E33" s="2" t="s">
        <v>20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  <c r="K33" s="9" t="s">
        <v>59</v>
      </c>
      <c r="L33" s="2" t="s">
        <v>60</v>
      </c>
      <c r="M33" s="2" t="s">
        <v>58</v>
      </c>
    </row>
    <row r="34" spans="1:18" hidden="1" x14ac:dyDescent="0.25">
      <c r="A34" s="1" t="s">
        <v>28</v>
      </c>
      <c r="B34" s="1">
        <v>34600</v>
      </c>
      <c r="C34" s="1">
        <f t="shared" ref="C34:C39" si="3">B34/1000</f>
        <v>34.6</v>
      </c>
      <c r="D34" s="1" t="s">
        <v>29</v>
      </c>
      <c r="E34" s="1" t="s">
        <v>30</v>
      </c>
      <c r="F34" s="1" t="s">
        <v>15</v>
      </c>
      <c r="G34" s="1" t="s">
        <v>31</v>
      </c>
      <c r="H34" s="3">
        <v>45574</v>
      </c>
      <c r="I34" s="1" t="s">
        <v>32</v>
      </c>
      <c r="J34" s="1" t="s">
        <v>32</v>
      </c>
      <c r="K34" s="10"/>
    </row>
    <row r="35" spans="1:18" hidden="1" x14ac:dyDescent="0.25">
      <c r="A35" s="1" t="s">
        <v>28</v>
      </c>
      <c r="B35" s="1">
        <v>95900</v>
      </c>
      <c r="C35" s="1">
        <f t="shared" si="3"/>
        <v>95.9</v>
      </c>
      <c r="D35" s="1" t="s">
        <v>33</v>
      </c>
      <c r="E35" s="1" t="s">
        <v>34</v>
      </c>
      <c r="F35" s="1" t="s">
        <v>15</v>
      </c>
      <c r="G35" s="1" t="s">
        <v>31</v>
      </c>
      <c r="H35" s="3">
        <v>45579</v>
      </c>
      <c r="I35" s="1" t="s">
        <v>32</v>
      </c>
      <c r="J35" s="1" t="s">
        <v>32</v>
      </c>
      <c r="K35" s="10"/>
    </row>
    <row r="36" spans="1:18" hidden="1" x14ac:dyDescent="0.25">
      <c r="A36" s="1" t="s">
        <v>28</v>
      </c>
      <c r="B36" s="1">
        <v>90800</v>
      </c>
      <c r="C36" s="1">
        <f t="shared" si="3"/>
        <v>90.8</v>
      </c>
      <c r="D36" s="1" t="s">
        <v>18</v>
      </c>
      <c r="E36" s="1" t="s">
        <v>35</v>
      </c>
      <c r="F36" s="1" t="s">
        <v>15</v>
      </c>
      <c r="G36" s="1" t="s">
        <v>31</v>
      </c>
      <c r="H36" s="3">
        <v>45583</v>
      </c>
      <c r="I36" s="1" t="s">
        <v>32</v>
      </c>
      <c r="J36" s="1" t="s">
        <v>32</v>
      </c>
      <c r="K36" s="10"/>
    </row>
    <row r="37" spans="1:18" hidden="1" x14ac:dyDescent="0.25">
      <c r="A37" s="1" t="s">
        <v>28</v>
      </c>
      <c r="B37" s="1">
        <v>60000</v>
      </c>
      <c r="C37" s="1">
        <f t="shared" si="3"/>
        <v>60</v>
      </c>
      <c r="D37" s="1" t="s">
        <v>17</v>
      </c>
      <c r="E37" s="1" t="s">
        <v>36</v>
      </c>
      <c r="F37" s="1" t="s">
        <v>15</v>
      </c>
      <c r="G37" s="1" t="s">
        <v>31</v>
      </c>
      <c r="H37" s="3">
        <v>45584</v>
      </c>
      <c r="I37" s="1" t="s">
        <v>32</v>
      </c>
      <c r="J37" s="1" t="s">
        <v>32</v>
      </c>
      <c r="K37" s="10"/>
    </row>
    <row r="38" spans="1:18" x14ac:dyDescent="0.25">
      <c r="A38" s="1" t="s">
        <v>28</v>
      </c>
      <c r="B38" s="1">
        <v>15000</v>
      </c>
      <c r="C38" s="1">
        <f t="shared" si="3"/>
        <v>15</v>
      </c>
      <c r="D38" s="1" t="s">
        <v>16</v>
      </c>
      <c r="E38" s="1" t="s">
        <v>52</v>
      </c>
      <c r="F38" s="3" t="s">
        <v>15</v>
      </c>
      <c r="G38" s="1" t="s">
        <v>14</v>
      </c>
      <c r="H38" s="3">
        <v>45588</v>
      </c>
      <c r="I38" s="1" t="s">
        <v>32</v>
      </c>
      <c r="J38" s="3">
        <v>45596</v>
      </c>
      <c r="K38" s="11"/>
      <c r="L38" s="3"/>
      <c r="M38" s="1" t="s">
        <v>15</v>
      </c>
    </row>
    <row r="39" spans="1:18" ht="15.75" thickBot="1" x14ac:dyDescent="0.3">
      <c r="A39" s="7" t="s">
        <v>28</v>
      </c>
      <c r="B39" s="1">
        <v>30000</v>
      </c>
      <c r="C39" s="1">
        <f t="shared" si="3"/>
        <v>30</v>
      </c>
      <c r="D39" s="1"/>
      <c r="E39" s="1" t="s">
        <v>61</v>
      </c>
      <c r="F39" s="1" t="s">
        <v>15</v>
      </c>
      <c r="G39" s="1" t="s">
        <v>62</v>
      </c>
      <c r="H39" s="3">
        <v>45590</v>
      </c>
      <c r="I39" s="1" t="s">
        <v>10</v>
      </c>
      <c r="J39" s="3">
        <v>45596</v>
      </c>
      <c r="K39" s="11"/>
      <c r="L39" s="3" t="s">
        <v>15</v>
      </c>
      <c r="M39" s="1"/>
      <c r="N39" s="1"/>
      <c r="O39" s="1"/>
      <c r="P39" s="1"/>
      <c r="Q39" s="1"/>
      <c r="R39" s="1"/>
    </row>
    <row r="40" spans="1:18" ht="15.75" thickBot="1" x14ac:dyDescent="0.3">
      <c r="A40" s="17" t="s">
        <v>37</v>
      </c>
      <c r="B40" s="18">
        <f>SUM(B34:B39)</f>
        <v>326300</v>
      </c>
      <c r="C40" s="14">
        <f>SUM(C38:C39)</f>
        <v>45</v>
      </c>
      <c r="D40" s="18"/>
      <c r="E40" s="18"/>
      <c r="F40" s="18"/>
      <c r="G40" s="18"/>
      <c r="H40" s="18"/>
      <c r="I40" s="18"/>
      <c r="J40" s="18"/>
      <c r="K40" s="15"/>
      <c r="L40" s="15"/>
      <c r="M40" s="16"/>
    </row>
  </sheetData>
  <autoFilter ref="A1:J1" xr:uid="{00000000-0009-0000-0000-000000000000}">
    <sortState xmlns:xlrd2="http://schemas.microsoft.com/office/spreadsheetml/2017/richdata2" ref="A2:J25">
      <sortCondition ref="J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workbookViewId="0">
      <selection activeCell="F12" sqref="F12"/>
    </sheetView>
  </sheetViews>
  <sheetFormatPr defaultRowHeight="15" x14ac:dyDescent="0.25"/>
  <cols>
    <col min="1" max="1" width="21" bestFit="1" customWidth="1"/>
    <col min="2" max="2" width="11.28515625" bestFit="1" customWidth="1"/>
    <col min="3" max="3" width="12.42578125" bestFit="1" customWidth="1"/>
    <col min="4" max="4" width="18.7109375" bestFit="1" customWidth="1"/>
    <col min="5" max="5" width="20.140625" bestFit="1" customWidth="1"/>
    <col min="6" max="6" width="16" bestFit="1" customWidth="1"/>
    <col min="7" max="7" width="14.140625" bestFit="1" customWidth="1"/>
    <col min="8" max="8" width="14.5703125" bestFit="1" customWidth="1"/>
    <col min="9" max="9" width="18.7109375" bestFit="1" customWidth="1"/>
    <col min="10" max="10" width="12.85546875" bestFit="1" customWidth="1"/>
    <col min="11" max="11" width="12.85546875" customWidth="1"/>
    <col min="12" max="12" width="18.7109375" customWidth="1"/>
    <col min="13" max="13" width="22.5703125" bestFit="1" customWidth="1"/>
    <col min="14" max="14" width="20.85546875" bestFit="1" customWidth="1"/>
    <col min="15" max="15" width="15.42578125" bestFit="1" customWidth="1"/>
  </cols>
  <sheetData>
    <row r="1" spans="1:15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101</v>
      </c>
      <c r="L1" s="2" t="s">
        <v>76</v>
      </c>
      <c r="M1" s="2" t="s">
        <v>58</v>
      </c>
      <c r="N1" s="2" t="s">
        <v>60</v>
      </c>
      <c r="O1" s="2" t="s">
        <v>99</v>
      </c>
    </row>
    <row r="2" spans="1:15" x14ac:dyDescent="0.25">
      <c r="A2" s="7" t="s">
        <v>38</v>
      </c>
      <c r="B2" s="1">
        <v>9500</v>
      </c>
      <c r="C2" s="1">
        <f t="shared" ref="C2:C26" si="0">B2/1000</f>
        <v>9.5</v>
      </c>
      <c r="D2" s="1" t="s">
        <v>16</v>
      </c>
      <c r="E2" s="1" t="s">
        <v>78</v>
      </c>
      <c r="F2" s="1" t="s">
        <v>15</v>
      </c>
      <c r="G2" s="1" t="s">
        <v>91</v>
      </c>
      <c r="H2" s="3">
        <v>45594</v>
      </c>
      <c r="I2" s="1" t="s">
        <v>9</v>
      </c>
      <c r="J2" s="3">
        <v>45597</v>
      </c>
      <c r="K2" s="3"/>
      <c r="L2" s="23"/>
      <c r="M2" s="3" t="s">
        <v>15</v>
      </c>
      <c r="N2" s="1"/>
    </row>
    <row r="3" spans="1:15" x14ac:dyDescent="0.25">
      <c r="A3" s="7" t="s">
        <v>38</v>
      </c>
      <c r="B3" s="1">
        <v>8600</v>
      </c>
      <c r="C3" s="1">
        <f t="shared" si="0"/>
        <v>8.6</v>
      </c>
      <c r="D3" s="1" t="s">
        <v>33</v>
      </c>
      <c r="E3" s="1" t="s">
        <v>77</v>
      </c>
      <c r="F3" s="1" t="s">
        <v>15</v>
      </c>
      <c r="G3" s="1" t="s">
        <v>23</v>
      </c>
      <c r="H3" s="3">
        <v>45576</v>
      </c>
      <c r="I3" s="1" t="s">
        <v>9</v>
      </c>
      <c r="J3" s="3">
        <v>45598</v>
      </c>
      <c r="K3" s="3" t="s">
        <v>102</v>
      </c>
      <c r="L3" s="24"/>
      <c r="M3" s="3" t="s">
        <v>15</v>
      </c>
      <c r="N3" s="1" t="s">
        <v>15</v>
      </c>
    </row>
    <row r="4" spans="1:15" x14ac:dyDescent="0.25">
      <c r="A4" s="7" t="s">
        <v>38</v>
      </c>
      <c r="B4" s="1">
        <v>16100</v>
      </c>
      <c r="C4" s="1">
        <f t="shared" si="0"/>
        <v>16.100000000000001</v>
      </c>
      <c r="D4" s="1" t="s">
        <v>16</v>
      </c>
      <c r="E4" s="1" t="s">
        <v>52</v>
      </c>
      <c r="F4" s="3" t="s">
        <v>15</v>
      </c>
      <c r="G4" s="1" t="s">
        <v>14</v>
      </c>
      <c r="H4" s="3">
        <v>45588</v>
      </c>
      <c r="I4" s="1" t="s">
        <v>32</v>
      </c>
      <c r="J4" s="3">
        <v>45599</v>
      </c>
      <c r="K4" s="3"/>
      <c r="L4" s="22"/>
      <c r="M4" s="1" t="s">
        <v>15</v>
      </c>
      <c r="N4" s="3"/>
      <c r="O4" s="1"/>
    </row>
    <row r="5" spans="1:15" x14ac:dyDescent="0.25">
      <c r="A5" s="7" t="s">
        <v>38</v>
      </c>
      <c r="B5" s="1">
        <v>2300</v>
      </c>
      <c r="C5" s="1">
        <f t="shared" si="0"/>
        <v>2.2999999999999998</v>
      </c>
      <c r="D5" s="1" t="s">
        <v>67</v>
      </c>
      <c r="E5" s="1" t="s">
        <v>80</v>
      </c>
      <c r="F5" s="1" t="s">
        <v>15</v>
      </c>
      <c r="G5" s="1" t="s">
        <v>12</v>
      </c>
      <c r="H5" s="3">
        <v>45595</v>
      </c>
      <c r="I5" s="1" t="s">
        <v>9</v>
      </c>
      <c r="J5" s="3">
        <v>45600</v>
      </c>
      <c r="K5" s="3"/>
      <c r="L5" s="3"/>
      <c r="M5" s="1" t="s">
        <v>15</v>
      </c>
      <c r="N5" s="1"/>
    </row>
    <row r="6" spans="1:15" x14ac:dyDescent="0.25">
      <c r="A6" s="7" t="s">
        <v>38</v>
      </c>
      <c r="B6" s="1">
        <v>32800</v>
      </c>
      <c r="C6" s="1">
        <f t="shared" si="0"/>
        <v>32.799999999999997</v>
      </c>
      <c r="D6" s="1" t="s">
        <v>29</v>
      </c>
      <c r="E6" s="1" t="s">
        <v>85</v>
      </c>
      <c r="F6" s="1" t="s">
        <v>15</v>
      </c>
      <c r="G6" s="1" t="s">
        <v>64</v>
      </c>
      <c r="H6" s="3">
        <v>45597</v>
      </c>
      <c r="I6" s="1" t="s">
        <v>10</v>
      </c>
      <c r="J6" s="3">
        <v>45601</v>
      </c>
      <c r="K6" s="3" t="s">
        <v>37</v>
      </c>
      <c r="L6" s="22"/>
      <c r="M6" s="1" t="s">
        <v>15</v>
      </c>
      <c r="N6" s="3"/>
      <c r="O6" s="1"/>
    </row>
    <row r="7" spans="1:15" x14ac:dyDescent="0.25">
      <c r="A7" s="7" t="s">
        <v>38</v>
      </c>
      <c r="B7" s="1">
        <v>100500</v>
      </c>
      <c r="C7" s="1">
        <f t="shared" si="0"/>
        <v>100.5</v>
      </c>
      <c r="D7" s="1" t="s">
        <v>18</v>
      </c>
      <c r="E7" s="1" t="s">
        <v>90</v>
      </c>
      <c r="F7" s="1" t="s">
        <v>15</v>
      </c>
      <c r="G7" s="1" t="s">
        <v>31</v>
      </c>
      <c r="H7" s="3">
        <v>45584</v>
      </c>
      <c r="I7" s="1" t="s">
        <v>9</v>
      </c>
      <c r="J7" s="3">
        <v>45601</v>
      </c>
      <c r="K7" s="3" t="s">
        <v>103</v>
      </c>
      <c r="L7" s="22"/>
      <c r="M7" s="1" t="s">
        <v>15</v>
      </c>
      <c r="N7" s="3"/>
      <c r="O7" s="1"/>
    </row>
    <row r="8" spans="1:15" x14ac:dyDescent="0.25">
      <c r="A8" s="7" t="s">
        <v>38</v>
      </c>
      <c r="B8" s="1">
        <v>15100</v>
      </c>
      <c r="C8" s="1">
        <f t="shared" si="0"/>
        <v>15.1</v>
      </c>
      <c r="D8" s="1" t="s">
        <v>16</v>
      </c>
      <c r="E8" s="1" t="s">
        <v>84</v>
      </c>
      <c r="F8" s="1" t="s">
        <v>15</v>
      </c>
      <c r="G8" s="1" t="s">
        <v>14</v>
      </c>
      <c r="H8" s="3">
        <v>45600</v>
      </c>
      <c r="I8" s="1" t="s">
        <v>9</v>
      </c>
      <c r="J8" s="3">
        <v>45604</v>
      </c>
      <c r="K8" s="3"/>
      <c r="L8" s="11"/>
      <c r="M8" s="1" t="s">
        <v>15</v>
      </c>
      <c r="N8" s="3"/>
      <c r="O8" s="1"/>
    </row>
    <row r="9" spans="1:15" x14ac:dyDescent="0.25">
      <c r="A9" s="7" t="s">
        <v>38</v>
      </c>
      <c r="B9" s="1">
        <v>11500</v>
      </c>
      <c r="C9" s="1">
        <f t="shared" si="0"/>
        <v>11.5</v>
      </c>
      <c r="D9" s="1" t="s">
        <v>16</v>
      </c>
      <c r="E9" s="1" t="s">
        <v>43</v>
      </c>
      <c r="F9" s="1" t="s">
        <v>15</v>
      </c>
      <c r="G9" s="1" t="s">
        <v>64</v>
      </c>
      <c r="H9" s="3">
        <v>45598</v>
      </c>
      <c r="I9" s="1" t="s">
        <v>9</v>
      </c>
      <c r="J9" s="3">
        <v>45605</v>
      </c>
      <c r="K9" s="3" t="s">
        <v>104</v>
      </c>
      <c r="L9" s="22"/>
      <c r="M9" s="1" t="s">
        <v>15</v>
      </c>
      <c r="N9" s="3"/>
      <c r="O9" s="1"/>
    </row>
    <row r="10" spans="1:15" x14ac:dyDescent="0.25">
      <c r="A10" s="7" t="s">
        <v>38</v>
      </c>
      <c r="B10" s="1">
        <v>32900</v>
      </c>
      <c r="C10" s="1">
        <f t="shared" si="0"/>
        <v>32.9</v>
      </c>
      <c r="D10" s="1" t="s">
        <v>29</v>
      </c>
      <c r="E10" s="1" t="s">
        <v>114</v>
      </c>
      <c r="F10" s="1" t="s">
        <v>15</v>
      </c>
      <c r="G10" s="1" t="s">
        <v>64</v>
      </c>
      <c r="H10" s="3">
        <v>45601</v>
      </c>
      <c r="I10" s="1" t="s">
        <v>9</v>
      </c>
      <c r="J10" s="3">
        <v>45606</v>
      </c>
      <c r="K10" s="3"/>
      <c r="L10" s="22"/>
      <c r="M10" s="1" t="s">
        <v>15</v>
      </c>
      <c r="N10" s="3"/>
      <c r="O10" s="1"/>
    </row>
    <row r="11" spans="1:15" x14ac:dyDescent="0.25">
      <c r="A11" s="7" t="s">
        <v>38</v>
      </c>
      <c r="B11" s="1">
        <v>15600</v>
      </c>
      <c r="C11" s="1">
        <f t="shared" si="0"/>
        <v>15.6</v>
      </c>
      <c r="D11" s="1" t="s">
        <v>16</v>
      </c>
      <c r="E11" s="1" t="s">
        <v>52</v>
      </c>
      <c r="F11" s="1" t="s">
        <v>15</v>
      </c>
      <c r="G11" s="1" t="s">
        <v>14</v>
      </c>
      <c r="H11" s="3">
        <v>45604</v>
      </c>
      <c r="I11" s="1" t="s">
        <v>9</v>
      </c>
      <c r="J11" s="3">
        <v>45609</v>
      </c>
      <c r="K11" s="3"/>
      <c r="L11" s="22"/>
      <c r="M11" s="22" t="s">
        <v>15</v>
      </c>
      <c r="N11" s="3"/>
      <c r="O11" s="1"/>
    </row>
    <row r="12" spans="1:15" x14ac:dyDescent="0.25">
      <c r="A12" s="7" t="s">
        <v>38</v>
      </c>
      <c r="B12" s="1">
        <v>15400</v>
      </c>
      <c r="C12" s="1">
        <f t="shared" si="0"/>
        <v>15.4</v>
      </c>
      <c r="D12" s="1" t="s">
        <v>16</v>
      </c>
      <c r="E12" s="1" t="s">
        <v>55</v>
      </c>
      <c r="F12" s="1" t="s">
        <v>15</v>
      </c>
      <c r="G12" s="1" t="s">
        <v>91</v>
      </c>
      <c r="H12" s="3">
        <v>45604</v>
      </c>
      <c r="I12" s="1" t="s">
        <v>9</v>
      </c>
      <c r="J12" s="3">
        <v>45609</v>
      </c>
      <c r="K12" s="3"/>
      <c r="L12" s="22"/>
      <c r="M12" s="1" t="s">
        <v>15</v>
      </c>
      <c r="N12" s="1"/>
      <c r="O12" s="1"/>
    </row>
    <row r="13" spans="1:15" x14ac:dyDescent="0.25">
      <c r="A13" s="7" t="s">
        <v>38</v>
      </c>
      <c r="B13" s="1">
        <v>140000</v>
      </c>
      <c r="C13" s="1">
        <f t="shared" si="0"/>
        <v>140</v>
      </c>
      <c r="D13" s="1" t="s">
        <v>70</v>
      </c>
      <c r="E13" s="1" t="s">
        <v>75</v>
      </c>
      <c r="F13" s="1" t="s">
        <v>15</v>
      </c>
      <c r="G13" s="1" t="s">
        <v>89</v>
      </c>
      <c r="H13" s="3">
        <v>45545</v>
      </c>
      <c r="I13" s="1" t="s">
        <v>9</v>
      </c>
      <c r="J13" s="3">
        <v>45610</v>
      </c>
      <c r="K13" s="3"/>
      <c r="L13" s="22"/>
      <c r="M13" s="1" t="s">
        <v>15</v>
      </c>
      <c r="N13" s="3" t="s">
        <v>15</v>
      </c>
      <c r="O13" s="1"/>
    </row>
    <row r="14" spans="1:15" x14ac:dyDescent="0.25">
      <c r="A14" s="7" t="s">
        <v>38</v>
      </c>
      <c r="B14" s="1">
        <v>31800</v>
      </c>
      <c r="C14" s="1">
        <f t="shared" si="0"/>
        <v>31.8</v>
      </c>
      <c r="D14" s="1" t="s">
        <v>29</v>
      </c>
      <c r="E14" s="1" t="s">
        <v>44</v>
      </c>
      <c r="F14" s="1" t="s">
        <v>15</v>
      </c>
      <c r="G14" s="1" t="s">
        <v>64</v>
      </c>
      <c r="H14" s="3">
        <v>45610</v>
      </c>
      <c r="I14" s="1" t="s">
        <v>9</v>
      </c>
      <c r="J14" s="3">
        <v>45611</v>
      </c>
      <c r="K14" s="3" t="s">
        <v>108</v>
      </c>
      <c r="L14" s="22"/>
      <c r="M14" s="1" t="s">
        <v>15</v>
      </c>
      <c r="N14" s="1"/>
      <c r="O14" s="1"/>
    </row>
    <row r="15" spans="1:15" x14ac:dyDescent="0.25">
      <c r="A15" s="7" t="s">
        <v>38</v>
      </c>
      <c r="B15" s="1">
        <v>30300</v>
      </c>
      <c r="C15" s="1">
        <f t="shared" si="0"/>
        <v>30.3</v>
      </c>
      <c r="D15" s="1" t="s">
        <v>19</v>
      </c>
      <c r="E15" s="1" t="s">
        <v>61</v>
      </c>
      <c r="F15" s="1" t="s">
        <v>15</v>
      </c>
      <c r="G15" s="1" t="s">
        <v>13</v>
      </c>
      <c r="H15" s="3">
        <v>45607</v>
      </c>
      <c r="I15" s="1" t="s">
        <v>57</v>
      </c>
      <c r="J15" s="3">
        <v>45611</v>
      </c>
      <c r="K15" s="3" t="s">
        <v>105</v>
      </c>
      <c r="L15" s="22" t="s">
        <v>86</v>
      </c>
      <c r="M15" s="22" t="s">
        <v>15</v>
      </c>
      <c r="N15" s="3" t="s">
        <v>15</v>
      </c>
      <c r="O15" s="1"/>
    </row>
    <row r="16" spans="1:15" x14ac:dyDescent="0.25">
      <c r="A16" s="7" t="s">
        <v>38</v>
      </c>
      <c r="B16" s="1">
        <v>15600</v>
      </c>
      <c r="C16" s="1">
        <f t="shared" si="0"/>
        <v>15.6</v>
      </c>
      <c r="D16" s="1" t="s">
        <v>16</v>
      </c>
      <c r="E16" s="1" t="s">
        <v>107</v>
      </c>
      <c r="F16" s="1" t="s">
        <v>15</v>
      </c>
      <c r="G16" s="1" t="s">
        <v>14</v>
      </c>
      <c r="H16" s="3">
        <v>45609</v>
      </c>
      <c r="I16" s="1" t="s">
        <v>9</v>
      </c>
      <c r="J16" s="3">
        <v>45613</v>
      </c>
      <c r="K16" s="3"/>
      <c r="L16" s="22"/>
      <c r="M16" s="22" t="s">
        <v>15</v>
      </c>
      <c r="N16" s="3"/>
      <c r="O16" s="1"/>
    </row>
    <row r="17" spans="1:20" x14ac:dyDescent="0.25">
      <c r="A17" s="7" t="s">
        <v>38</v>
      </c>
      <c r="B17" s="1">
        <v>16700</v>
      </c>
      <c r="C17" s="1">
        <f t="shared" si="0"/>
        <v>16.7</v>
      </c>
      <c r="D17" s="1" t="s">
        <v>16</v>
      </c>
      <c r="E17" s="1" t="s">
        <v>74</v>
      </c>
      <c r="F17" s="1" t="s">
        <v>15</v>
      </c>
      <c r="G17" s="1" t="s">
        <v>91</v>
      </c>
      <c r="H17" s="3">
        <v>45613</v>
      </c>
      <c r="I17" s="1" t="s">
        <v>9</v>
      </c>
      <c r="J17" s="3">
        <v>45615</v>
      </c>
      <c r="K17" s="3"/>
      <c r="L17" s="22"/>
      <c r="M17" s="22" t="s">
        <v>15</v>
      </c>
      <c r="N17" s="3"/>
      <c r="O17" s="1"/>
    </row>
    <row r="18" spans="1:20" x14ac:dyDescent="0.25">
      <c r="A18" s="7" t="s">
        <v>38</v>
      </c>
      <c r="B18" s="1">
        <v>11100</v>
      </c>
      <c r="C18" s="1">
        <f t="shared" si="0"/>
        <v>11.1</v>
      </c>
      <c r="D18" s="1" t="s">
        <v>16</v>
      </c>
      <c r="E18" s="1" t="s">
        <v>109</v>
      </c>
      <c r="F18" s="1" t="s">
        <v>15</v>
      </c>
      <c r="G18" s="1" t="s">
        <v>14</v>
      </c>
      <c r="H18" s="3">
        <v>45612</v>
      </c>
      <c r="I18" s="1" t="s">
        <v>9</v>
      </c>
      <c r="J18" s="3">
        <v>45616</v>
      </c>
      <c r="K18" s="3"/>
      <c r="L18" s="11"/>
      <c r="M18" s="1" t="s">
        <v>15</v>
      </c>
      <c r="N18" s="3"/>
      <c r="O18" s="1"/>
    </row>
    <row r="19" spans="1:20" s="25" customFormat="1" x14ac:dyDescent="0.25">
      <c r="A19" s="7" t="s">
        <v>38</v>
      </c>
      <c r="B19" s="25">
        <v>15800</v>
      </c>
      <c r="C19" s="25">
        <f t="shared" si="0"/>
        <v>15.8</v>
      </c>
      <c r="D19" s="25" t="s">
        <v>16</v>
      </c>
      <c r="E19" s="25" t="s">
        <v>21</v>
      </c>
      <c r="F19" s="25" t="s">
        <v>15</v>
      </c>
      <c r="G19" s="25" t="s">
        <v>14</v>
      </c>
      <c r="H19" s="26">
        <v>45606</v>
      </c>
      <c r="I19" s="25" t="s">
        <v>9</v>
      </c>
      <c r="J19" s="26">
        <v>45617</v>
      </c>
      <c r="K19" s="26"/>
      <c r="L19" s="27"/>
      <c r="M19" s="25" t="s">
        <v>15</v>
      </c>
      <c r="N19" s="26"/>
    </row>
    <row r="20" spans="1:20" s="1" customFormat="1" x14ac:dyDescent="0.25">
      <c r="A20" s="7" t="s">
        <v>117</v>
      </c>
      <c r="B20" s="1">
        <v>100000</v>
      </c>
      <c r="C20" s="1">
        <f t="shared" si="0"/>
        <v>100</v>
      </c>
      <c r="D20" s="1" t="s">
        <v>18</v>
      </c>
      <c r="E20" s="1" t="s">
        <v>87</v>
      </c>
      <c r="F20" s="1" t="s">
        <v>15</v>
      </c>
      <c r="G20" s="1" t="s">
        <v>115</v>
      </c>
      <c r="H20" s="3">
        <v>45596</v>
      </c>
      <c r="I20" s="1" t="s">
        <v>9</v>
      </c>
      <c r="J20" s="3">
        <v>45619</v>
      </c>
      <c r="K20" s="3" t="s">
        <v>102</v>
      </c>
      <c r="L20" s="22" t="s">
        <v>88</v>
      </c>
      <c r="M20" s="1" t="s">
        <v>106</v>
      </c>
      <c r="N20" s="3" t="s">
        <v>15</v>
      </c>
    </row>
    <row r="21" spans="1:20" s="1" customFormat="1" x14ac:dyDescent="0.25">
      <c r="A21" s="7" t="s">
        <v>117</v>
      </c>
      <c r="B21" s="1">
        <v>152900</v>
      </c>
      <c r="C21" s="1">
        <f t="shared" si="0"/>
        <v>152.9</v>
      </c>
      <c r="D21" s="1" t="s">
        <v>98</v>
      </c>
      <c r="E21" s="1" t="s">
        <v>97</v>
      </c>
      <c r="F21" s="1" t="s">
        <v>15</v>
      </c>
      <c r="G21" s="1" t="s">
        <v>89</v>
      </c>
      <c r="H21" s="3">
        <v>45595</v>
      </c>
      <c r="I21" s="1" t="s">
        <v>9</v>
      </c>
      <c r="J21" s="3">
        <v>45622</v>
      </c>
      <c r="K21" s="3"/>
      <c r="L21" s="22" t="s">
        <v>88</v>
      </c>
      <c r="M21" s="22" t="s">
        <v>15</v>
      </c>
      <c r="N21" s="3" t="s">
        <v>15</v>
      </c>
      <c r="O21" s="1" t="s">
        <v>15</v>
      </c>
    </row>
    <row r="22" spans="1:20" s="1" customFormat="1" ht="15.75" customHeight="1" x14ac:dyDescent="0.25">
      <c r="A22" s="7" t="s">
        <v>73</v>
      </c>
      <c r="B22" s="1">
        <v>70000</v>
      </c>
      <c r="C22" s="1">
        <f t="shared" si="0"/>
        <v>70</v>
      </c>
      <c r="D22" s="1" t="s">
        <v>17</v>
      </c>
      <c r="E22" s="1" t="s">
        <v>100</v>
      </c>
      <c r="F22" s="1" t="s">
        <v>15</v>
      </c>
      <c r="G22" s="1" t="s">
        <v>115</v>
      </c>
      <c r="H22" s="3">
        <v>45603</v>
      </c>
      <c r="I22" s="1" t="s">
        <v>9</v>
      </c>
      <c r="J22" s="3">
        <v>45623</v>
      </c>
      <c r="K22" s="3"/>
      <c r="L22" s="22"/>
      <c r="M22" s="22" t="s">
        <v>15</v>
      </c>
      <c r="N22" s="3" t="s">
        <v>15</v>
      </c>
    </row>
    <row r="23" spans="1:20" s="1" customFormat="1" ht="15.75" customHeight="1" x14ac:dyDescent="0.25">
      <c r="A23" s="7" t="s">
        <v>73</v>
      </c>
      <c r="B23" s="1">
        <v>54400</v>
      </c>
      <c r="C23" s="1">
        <f t="shared" si="0"/>
        <v>54.4</v>
      </c>
      <c r="D23" s="1" t="s">
        <v>17</v>
      </c>
      <c r="E23" s="1" t="s">
        <v>94</v>
      </c>
      <c r="F23" s="1" t="s">
        <v>15</v>
      </c>
      <c r="G23" s="1" t="s">
        <v>95</v>
      </c>
      <c r="H23" s="3">
        <v>45607</v>
      </c>
      <c r="I23" s="1" t="s">
        <v>9</v>
      </c>
      <c r="J23" s="3">
        <v>45624</v>
      </c>
      <c r="K23" s="3" t="s">
        <v>116</v>
      </c>
      <c r="L23" s="22"/>
      <c r="M23" s="22" t="s">
        <v>15</v>
      </c>
      <c r="N23" s="3" t="s">
        <v>15</v>
      </c>
      <c r="O23" s="1" t="s">
        <v>28</v>
      </c>
    </row>
    <row r="24" spans="1:20" s="1" customFormat="1" x14ac:dyDescent="0.25">
      <c r="A24" s="7" t="s">
        <v>73</v>
      </c>
      <c r="B24" s="1">
        <v>70200</v>
      </c>
      <c r="C24" s="1">
        <f t="shared" si="0"/>
        <v>70.2</v>
      </c>
      <c r="D24" s="1" t="s">
        <v>92</v>
      </c>
      <c r="E24" s="1" t="s">
        <v>93</v>
      </c>
      <c r="F24" s="1" t="s">
        <v>15</v>
      </c>
      <c r="G24" s="1" t="s">
        <v>115</v>
      </c>
      <c r="H24" s="3">
        <v>45604</v>
      </c>
      <c r="I24" s="1" t="s">
        <v>9</v>
      </c>
      <c r="J24" s="3">
        <v>45625</v>
      </c>
      <c r="K24" s="3" t="s">
        <v>111</v>
      </c>
      <c r="L24" s="24"/>
      <c r="M24" s="3" t="s">
        <v>15</v>
      </c>
      <c r="N24" s="1" t="s">
        <v>15</v>
      </c>
    </row>
    <row r="25" spans="1:20" s="1" customFormat="1" x14ac:dyDescent="0.25">
      <c r="A25" s="7" t="s">
        <v>73</v>
      </c>
      <c r="B25" s="1">
        <v>55000</v>
      </c>
      <c r="C25" s="1">
        <f t="shared" si="0"/>
        <v>55</v>
      </c>
      <c r="D25" s="1" t="s">
        <v>17</v>
      </c>
      <c r="E25" s="1" t="s">
        <v>112</v>
      </c>
      <c r="F25" s="1" t="s">
        <v>15</v>
      </c>
      <c r="G25" s="1" t="s">
        <v>110</v>
      </c>
      <c r="H25" s="3">
        <v>45599</v>
      </c>
      <c r="I25" s="1" t="s">
        <v>9</v>
      </c>
      <c r="J25" s="3">
        <v>45625</v>
      </c>
      <c r="K25" s="3" t="s">
        <v>113</v>
      </c>
      <c r="L25" s="22"/>
      <c r="M25" s="1" t="s">
        <v>15</v>
      </c>
      <c r="N25" s="3" t="s">
        <v>15</v>
      </c>
    </row>
    <row r="26" spans="1:20" s="1" customFormat="1" ht="15.75" thickBot="1" x14ac:dyDescent="0.3">
      <c r="A26" s="7" t="s">
        <v>28</v>
      </c>
      <c r="B26" s="1">
        <v>29000</v>
      </c>
      <c r="C26" s="1">
        <f t="shared" si="0"/>
        <v>29</v>
      </c>
      <c r="D26" s="1" t="s">
        <v>19</v>
      </c>
      <c r="E26" s="1" t="s">
        <v>61</v>
      </c>
      <c r="F26" s="1" t="s">
        <v>15</v>
      </c>
      <c r="G26" s="1" t="s">
        <v>13</v>
      </c>
      <c r="H26" s="3">
        <v>45618</v>
      </c>
      <c r="I26" s="1" t="s">
        <v>57</v>
      </c>
      <c r="J26" s="3">
        <v>45626</v>
      </c>
      <c r="K26" s="3" t="s">
        <v>105</v>
      </c>
      <c r="L26" s="22"/>
      <c r="M26" s="22" t="s">
        <v>15</v>
      </c>
      <c r="N26" s="3" t="s">
        <v>15</v>
      </c>
    </row>
    <row r="27" spans="1:20" s="25" customFormat="1" ht="15.75" thickBot="1" x14ac:dyDescent="0.3">
      <c r="A27" s="28" t="s">
        <v>37</v>
      </c>
      <c r="B27" s="29">
        <f>SUM(B2:B26)</f>
        <v>1053100</v>
      </c>
      <c r="C27" s="29">
        <f>SUM(C2:C26)</f>
        <v>1053.0999999999999</v>
      </c>
      <c r="D27" s="29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1"/>
    </row>
    <row r="31" spans="1:20" x14ac:dyDescent="0.25">
      <c r="A31" s="4" t="s">
        <v>27</v>
      </c>
      <c r="B31" s="2" t="s">
        <v>1</v>
      </c>
      <c r="C31" s="2" t="s">
        <v>2</v>
      </c>
      <c r="D31" s="2" t="s">
        <v>3</v>
      </c>
      <c r="E31" s="2" t="s">
        <v>20</v>
      </c>
      <c r="F31" s="2" t="s">
        <v>4</v>
      </c>
      <c r="G31" s="2" t="s">
        <v>5</v>
      </c>
      <c r="H31" s="2" t="s">
        <v>6</v>
      </c>
      <c r="I31" s="2" t="s">
        <v>7</v>
      </c>
      <c r="J31" s="2" t="s">
        <v>8</v>
      </c>
      <c r="K31" s="2"/>
      <c r="L31" s="2" t="s">
        <v>59</v>
      </c>
      <c r="M31" s="2" t="s">
        <v>79</v>
      </c>
      <c r="N31" s="2" t="s">
        <v>60</v>
      </c>
      <c r="O31" s="2" t="s">
        <v>58</v>
      </c>
    </row>
    <row r="32" spans="1:20" x14ac:dyDescent="0.25">
      <c r="A32" s="7" t="s">
        <v>28</v>
      </c>
      <c r="B32" s="1">
        <v>90000</v>
      </c>
      <c r="C32" s="1">
        <f t="shared" ref="C32" si="1">B32/1000</f>
        <v>90</v>
      </c>
      <c r="D32" s="1" t="s">
        <v>18</v>
      </c>
      <c r="E32" s="1" t="s">
        <v>72</v>
      </c>
      <c r="F32" s="1" t="s">
        <v>15</v>
      </c>
      <c r="G32" s="1" t="s">
        <v>11</v>
      </c>
      <c r="H32" s="3">
        <v>45578</v>
      </c>
      <c r="I32" s="1"/>
      <c r="J32" s="3">
        <v>45601</v>
      </c>
      <c r="K32" s="3"/>
      <c r="L32" s="11"/>
      <c r="M32" s="22"/>
      <c r="N32" s="3" t="s">
        <v>65</v>
      </c>
      <c r="O32" s="1" t="s">
        <v>81</v>
      </c>
      <c r="P32" s="1"/>
      <c r="Q32" s="1"/>
      <c r="R32" s="1"/>
      <c r="S32" s="1"/>
      <c r="T32" s="1"/>
    </row>
    <row r="33" spans="1:20" x14ac:dyDescent="0.25">
      <c r="A33" s="7" t="s">
        <v>28</v>
      </c>
      <c r="B33" s="1">
        <v>30000</v>
      </c>
      <c r="C33" s="1">
        <f t="shared" ref="C33:C35" si="2">B33/1000</f>
        <v>30</v>
      </c>
      <c r="D33" s="1" t="s">
        <v>19</v>
      </c>
      <c r="E33" s="1" t="s">
        <v>56</v>
      </c>
      <c r="F33" s="1" t="s">
        <v>15</v>
      </c>
      <c r="G33" s="1" t="s">
        <v>23</v>
      </c>
      <c r="H33" s="3">
        <v>45593</v>
      </c>
      <c r="I33" s="1" t="s">
        <v>51</v>
      </c>
      <c r="J33" s="3">
        <v>45611</v>
      </c>
      <c r="K33" s="3"/>
      <c r="L33" s="11"/>
      <c r="M33" s="22"/>
      <c r="N33" s="3"/>
      <c r="O33" s="1" t="s">
        <v>28</v>
      </c>
      <c r="P33" s="1"/>
      <c r="Q33" s="1"/>
      <c r="R33" s="1"/>
      <c r="S33" s="1"/>
      <c r="T33" s="1"/>
    </row>
    <row r="34" spans="1:20" x14ac:dyDescent="0.25">
      <c r="A34" s="7" t="s">
        <v>28</v>
      </c>
      <c r="B34" s="1">
        <v>43000</v>
      </c>
      <c r="C34" s="1">
        <f t="shared" si="2"/>
        <v>43</v>
      </c>
      <c r="D34" s="1" t="s">
        <v>17</v>
      </c>
      <c r="E34" s="1" t="s">
        <v>82</v>
      </c>
      <c r="F34" s="1" t="s">
        <v>15</v>
      </c>
      <c r="G34" s="1" t="s">
        <v>83</v>
      </c>
      <c r="H34" s="3">
        <v>45595</v>
      </c>
      <c r="I34" s="1" t="s">
        <v>9</v>
      </c>
      <c r="J34" s="3">
        <v>45618</v>
      </c>
      <c r="K34" s="3"/>
      <c r="L34" s="23"/>
      <c r="M34" s="3"/>
      <c r="N34" s="1"/>
      <c r="P34" s="1"/>
      <c r="Q34" s="1"/>
      <c r="R34" s="1"/>
      <c r="S34" s="1"/>
      <c r="T34" s="1"/>
    </row>
    <row r="35" spans="1:20" x14ac:dyDescent="0.25">
      <c r="A35" s="7" t="s">
        <v>28</v>
      </c>
      <c r="B35" s="1">
        <v>60000</v>
      </c>
      <c r="C35" s="1">
        <f t="shared" si="2"/>
        <v>60</v>
      </c>
      <c r="D35" s="1" t="s">
        <v>17</v>
      </c>
      <c r="E35" s="1" t="s">
        <v>94</v>
      </c>
      <c r="F35" s="1" t="s">
        <v>15</v>
      </c>
      <c r="G35" s="1" t="s">
        <v>95</v>
      </c>
      <c r="H35" s="3">
        <v>45621</v>
      </c>
      <c r="I35" s="1" t="s">
        <v>9</v>
      </c>
      <c r="J35" s="3">
        <v>45627</v>
      </c>
      <c r="K35" s="3"/>
      <c r="L35" s="22"/>
      <c r="M35" s="1"/>
      <c r="N35" s="3" t="s">
        <v>15</v>
      </c>
      <c r="O35" s="1" t="s">
        <v>96</v>
      </c>
    </row>
    <row r="36" spans="1:20" ht="15.75" thickBot="1" x14ac:dyDescent="0.3">
      <c r="A36" s="7" t="s">
        <v>28</v>
      </c>
      <c r="B36" s="1"/>
      <c r="C36" s="1"/>
      <c r="D36" s="1"/>
      <c r="E36" s="1" t="s">
        <v>66</v>
      </c>
      <c r="F36" s="1" t="s">
        <v>15</v>
      </c>
      <c r="G36" s="1" t="s">
        <v>71</v>
      </c>
      <c r="H36" s="3"/>
      <c r="I36" s="1"/>
      <c r="J36" s="3"/>
      <c r="K36" s="3"/>
      <c r="L36" s="11"/>
      <c r="M36" s="22"/>
      <c r="N36" s="3"/>
      <c r="O36" s="1" t="s">
        <v>28</v>
      </c>
    </row>
    <row r="37" spans="1:20" ht="15.75" thickBot="1" x14ac:dyDescent="0.3">
      <c r="A37" s="13" t="s">
        <v>37</v>
      </c>
      <c r="B37" s="14">
        <f>SUM(B32:B36)</f>
        <v>223000</v>
      </c>
      <c r="C37" s="14">
        <f>SUM(C32:C36)</f>
        <v>223</v>
      </c>
      <c r="D37" s="14"/>
      <c r="E37" s="14"/>
      <c r="F37" s="20"/>
      <c r="G37" s="20"/>
      <c r="H37" s="20"/>
      <c r="I37" s="20"/>
      <c r="J37" s="20"/>
      <c r="K37" s="20"/>
      <c r="L37" s="20"/>
      <c r="M37" s="20"/>
      <c r="N37" s="20"/>
      <c r="O37" s="21"/>
    </row>
  </sheetData>
  <autoFilter ref="A1:O1" xr:uid="{00000000-0009-0000-0000-000001000000}">
    <sortState xmlns:xlrd2="http://schemas.microsoft.com/office/spreadsheetml/2017/richdata2" ref="A2:O29">
      <sortCondition ref="J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>
      <selection activeCell="F33" sqref="F33"/>
    </sheetView>
  </sheetViews>
  <sheetFormatPr defaultRowHeight="15" x14ac:dyDescent="0.25"/>
  <cols>
    <col min="1" max="1" width="21" bestFit="1" customWidth="1"/>
    <col min="2" max="2" width="11.28515625" bestFit="1" customWidth="1"/>
    <col min="3" max="3" width="12.42578125" bestFit="1" customWidth="1"/>
    <col min="4" max="4" width="18.7109375" bestFit="1" customWidth="1"/>
    <col min="5" max="5" width="20.140625" bestFit="1" customWidth="1"/>
    <col min="6" max="6" width="16" bestFit="1" customWidth="1"/>
    <col min="7" max="7" width="16.42578125" bestFit="1" customWidth="1"/>
    <col min="8" max="8" width="17.5703125" bestFit="1" customWidth="1"/>
    <col min="9" max="9" width="18.7109375" bestFit="1" customWidth="1"/>
    <col min="10" max="10" width="12.85546875" bestFit="1" customWidth="1"/>
    <col min="11" max="11" width="12.85546875" customWidth="1"/>
    <col min="12" max="12" width="39.85546875" bestFit="1" customWidth="1"/>
    <col min="13" max="13" width="22.5703125" bestFit="1" customWidth="1"/>
    <col min="14" max="14" width="20.85546875" bestFit="1" customWidth="1"/>
    <col min="15" max="15" width="15.42578125" bestFit="1" customWidth="1"/>
  </cols>
  <sheetData>
    <row r="1" spans="1:15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101</v>
      </c>
      <c r="L1" s="2" t="s">
        <v>76</v>
      </c>
      <c r="M1" s="2" t="s">
        <v>58</v>
      </c>
      <c r="N1" s="2" t="s">
        <v>60</v>
      </c>
      <c r="O1" s="2" t="s">
        <v>99</v>
      </c>
    </row>
    <row r="2" spans="1:15" s="1" customFormat="1" ht="15.75" customHeight="1" x14ac:dyDescent="0.25">
      <c r="A2" s="7" t="s">
        <v>38</v>
      </c>
      <c r="B2" s="1">
        <v>15193</v>
      </c>
      <c r="C2" s="1">
        <f t="shared" ref="C2:C26" si="0">B2/1000</f>
        <v>15.193</v>
      </c>
      <c r="D2" s="1" t="s">
        <v>16</v>
      </c>
      <c r="E2" s="1" t="s">
        <v>84</v>
      </c>
      <c r="F2" s="1" t="s">
        <v>15</v>
      </c>
      <c r="G2" s="1" t="s">
        <v>14</v>
      </c>
      <c r="H2" s="3">
        <v>45622</v>
      </c>
      <c r="I2" s="1" t="s">
        <v>9</v>
      </c>
      <c r="J2" s="3">
        <v>45627</v>
      </c>
      <c r="K2" s="3"/>
      <c r="L2" s="24"/>
      <c r="M2" s="3" t="s">
        <v>15</v>
      </c>
    </row>
    <row r="3" spans="1:15" s="1" customFormat="1" x14ac:dyDescent="0.25">
      <c r="A3" s="7" t="s">
        <v>38</v>
      </c>
      <c r="B3" s="1">
        <v>15817</v>
      </c>
      <c r="C3" s="1">
        <f t="shared" si="0"/>
        <v>15.817</v>
      </c>
      <c r="D3" s="1" t="s">
        <v>16</v>
      </c>
      <c r="E3" s="1" t="s">
        <v>48</v>
      </c>
      <c r="F3" s="1" t="s">
        <v>15</v>
      </c>
      <c r="G3" s="1" t="s">
        <v>91</v>
      </c>
      <c r="H3" s="3">
        <v>45621</v>
      </c>
      <c r="I3" s="1" t="s">
        <v>10</v>
      </c>
      <c r="J3" s="3">
        <v>45629</v>
      </c>
      <c r="K3" s="3"/>
      <c r="L3" s="24"/>
      <c r="M3" s="3" t="s">
        <v>15</v>
      </c>
    </row>
    <row r="4" spans="1:15" s="1" customFormat="1" ht="15.75" customHeight="1" x14ac:dyDescent="0.25">
      <c r="A4" s="7" t="s">
        <v>38</v>
      </c>
      <c r="B4" s="1">
        <v>15029</v>
      </c>
      <c r="C4" s="1">
        <f t="shared" si="0"/>
        <v>15.029</v>
      </c>
      <c r="D4" s="1" t="s">
        <v>16</v>
      </c>
      <c r="E4" s="1" t="s">
        <v>120</v>
      </c>
      <c r="F4" s="1" t="s">
        <v>15</v>
      </c>
      <c r="G4" s="1" t="s">
        <v>14</v>
      </c>
      <c r="H4" s="3">
        <v>45626</v>
      </c>
      <c r="I4" s="1" t="s">
        <v>9</v>
      </c>
      <c r="J4" s="3">
        <v>45631</v>
      </c>
      <c r="K4" s="3"/>
      <c r="L4" s="24"/>
      <c r="M4" s="3" t="s">
        <v>15</v>
      </c>
    </row>
    <row r="5" spans="1:15" s="1" customFormat="1" ht="15.75" customHeight="1" x14ac:dyDescent="0.25">
      <c r="A5" s="7" t="s">
        <v>38</v>
      </c>
      <c r="B5" s="1">
        <v>15779</v>
      </c>
      <c r="C5" s="1">
        <f t="shared" si="0"/>
        <v>15.779</v>
      </c>
      <c r="D5" s="1" t="s">
        <v>16</v>
      </c>
      <c r="E5" s="1" t="s">
        <v>21</v>
      </c>
      <c r="F5" s="1" t="s">
        <v>15</v>
      </c>
      <c r="G5" s="1" t="s">
        <v>91</v>
      </c>
      <c r="H5" s="3">
        <v>45621</v>
      </c>
      <c r="I5" s="1" t="s">
        <v>9</v>
      </c>
      <c r="J5" s="3">
        <v>45633</v>
      </c>
      <c r="K5" s="3"/>
      <c r="L5" s="24"/>
      <c r="M5" s="3" t="s">
        <v>15</v>
      </c>
    </row>
    <row r="6" spans="1:15" s="1" customFormat="1" ht="15.75" customHeight="1" x14ac:dyDescent="0.25">
      <c r="A6" s="7" t="s">
        <v>38</v>
      </c>
      <c r="B6" s="1">
        <v>16343</v>
      </c>
      <c r="C6" s="1">
        <f t="shared" si="0"/>
        <v>16.343</v>
      </c>
      <c r="D6" s="1" t="s">
        <v>16</v>
      </c>
      <c r="E6" s="1" t="s">
        <v>74</v>
      </c>
      <c r="F6" s="1" t="s">
        <v>15</v>
      </c>
      <c r="G6" s="1" t="s">
        <v>14</v>
      </c>
      <c r="H6" s="3">
        <v>45630</v>
      </c>
      <c r="I6" s="1" t="s">
        <v>9</v>
      </c>
      <c r="J6" s="3">
        <v>45635</v>
      </c>
      <c r="K6" s="3"/>
      <c r="L6" s="24"/>
      <c r="M6" s="3" t="s">
        <v>15</v>
      </c>
    </row>
    <row r="7" spans="1:15" s="1" customFormat="1" ht="15.75" customHeight="1" x14ac:dyDescent="0.25">
      <c r="A7" s="7" t="s">
        <v>38</v>
      </c>
      <c r="B7" s="1">
        <v>1685</v>
      </c>
      <c r="C7" s="1">
        <f t="shared" si="0"/>
        <v>1.6850000000000001</v>
      </c>
      <c r="D7" s="1" t="s">
        <v>16</v>
      </c>
      <c r="E7" s="1" t="s">
        <v>121</v>
      </c>
      <c r="F7" s="1" t="s">
        <v>15</v>
      </c>
      <c r="G7" s="1" t="s">
        <v>54</v>
      </c>
      <c r="H7" s="3">
        <v>45619</v>
      </c>
      <c r="I7" s="1" t="s">
        <v>9</v>
      </c>
      <c r="J7" s="3">
        <v>45636</v>
      </c>
      <c r="K7" s="3"/>
      <c r="L7" s="24"/>
      <c r="M7" s="3" t="s">
        <v>15</v>
      </c>
    </row>
    <row r="8" spans="1:15" s="1" customFormat="1" ht="15.75" customHeight="1" x14ac:dyDescent="0.25">
      <c r="A8" s="7" t="s">
        <v>38</v>
      </c>
      <c r="B8" s="1">
        <v>13804</v>
      </c>
      <c r="C8" s="1">
        <f t="shared" si="0"/>
        <v>13.804</v>
      </c>
      <c r="D8" s="1" t="s">
        <v>16</v>
      </c>
      <c r="E8" s="1" t="s">
        <v>122</v>
      </c>
      <c r="F8" s="1" t="s">
        <v>15</v>
      </c>
      <c r="G8" s="1" t="s">
        <v>91</v>
      </c>
      <c r="H8" s="3">
        <v>45623</v>
      </c>
      <c r="I8" s="1" t="s">
        <v>9</v>
      </c>
      <c r="J8" s="3">
        <v>45637</v>
      </c>
      <c r="K8" s="3"/>
      <c r="L8" s="24"/>
      <c r="M8" s="3" t="s">
        <v>15</v>
      </c>
    </row>
    <row r="9" spans="1:15" s="1" customFormat="1" ht="15.75" customHeight="1" x14ac:dyDescent="0.25">
      <c r="A9" s="7" t="s">
        <v>38</v>
      </c>
      <c r="B9" s="1">
        <v>4495</v>
      </c>
      <c r="C9" s="1">
        <f t="shared" si="0"/>
        <v>4.4950000000000001</v>
      </c>
      <c r="D9" s="1" t="s">
        <v>16</v>
      </c>
      <c r="E9" s="1" t="s">
        <v>121</v>
      </c>
      <c r="F9" s="1" t="s">
        <v>15</v>
      </c>
      <c r="G9" s="1" t="s">
        <v>54</v>
      </c>
      <c r="H9" s="3">
        <v>45619</v>
      </c>
      <c r="I9" s="1" t="s">
        <v>9</v>
      </c>
      <c r="J9" s="3">
        <v>45637</v>
      </c>
      <c r="K9" s="3"/>
      <c r="L9" s="24"/>
      <c r="M9" s="3" t="s">
        <v>15</v>
      </c>
    </row>
    <row r="10" spans="1:15" s="1" customFormat="1" ht="15.75" customHeight="1" x14ac:dyDescent="0.25">
      <c r="A10" s="7" t="s">
        <v>38</v>
      </c>
      <c r="B10" s="1">
        <v>7020</v>
      </c>
      <c r="C10" s="1">
        <f t="shared" si="0"/>
        <v>7.02</v>
      </c>
      <c r="D10" s="1" t="s">
        <v>16</v>
      </c>
      <c r="E10" s="1" t="s">
        <v>55</v>
      </c>
      <c r="F10" s="1" t="s">
        <v>15</v>
      </c>
      <c r="G10" s="1" t="s">
        <v>91</v>
      </c>
      <c r="H10" s="3">
        <v>45630</v>
      </c>
      <c r="I10" s="1" t="s">
        <v>10</v>
      </c>
      <c r="J10" s="3">
        <v>45638</v>
      </c>
      <c r="K10" s="3"/>
      <c r="L10" s="24"/>
      <c r="M10" s="3" t="s">
        <v>15</v>
      </c>
    </row>
    <row r="11" spans="1:15" s="1" customFormat="1" ht="15.75" customHeight="1" x14ac:dyDescent="0.25">
      <c r="A11" s="7" t="s">
        <v>38</v>
      </c>
      <c r="B11" s="1">
        <v>7528</v>
      </c>
      <c r="C11" s="1">
        <f t="shared" si="0"/>
        <v>7.5279999999999996</v>
      </c>
      <c r="D11" s="1" t="s">
        <v>16</v>
      </c>
      <c r="E11" s="1" t="s">
        <v>52</v>
      </c>
      <c r="F11" s="1" t="s">
        <v>15</v>
      </c>
      <c r="G11" s="1" t="s">
        <v>91</v>
      </c>
      <c r="H11" s="3">
        <v>45624</v>
      </c>
      <c r="I11" s="1" t="s">
        <v>9</v>
      </c>
      <c r="J11" s="3">
        <v>45638</v>
      </c>
      <c r="K11" s="3"/>
      <c r="L11" s="24"/>
      <c r="M11" s="3" t="s">
        <v>15</v>
      </c>
    </row>
    <row r="12" spans="1:15" s="1" customFormat="1" ht="15.75" customHeight="1" x14ac:dyDescent="0.25">
      <c r="A12" s="7" t="s">
        <v>38</v>
      </c>
      <c r="B12" s="1">
        <v>1371</v>
      </c>
      <c r="C12" s="1">
        <f t="shared" si="0"/>
        <v>1.371</v>
      </c>
      <c r="D12" s="1" t="s">
        <v>16</v>
      </c>
      <c r="E12" s="1" t="s">
        <v>50</v>
      </c>
      <c r="F12" s="1" t="s">
        <v>15</v>
      </c>
      <c r="G12" s="1" t="s">
        <v>91</v>
      </c>
      <c r="H12" s="3">
        <v>45636</v>
      </c>
      <c r="I12" s="1" t="s">
        <v>9</v>
      </c>
      <c r="J12" s="3">
        <v>45640</v>
      </c>
      <c r="K12" s="3"/>
      <c r="L12" s="24"/>
      <c r="M12" s="3" t="s">
        <v>15</v>
      </c>
    </row>
    <row r="13" spans="1:15" s="1" customFormat="1" ht="15.75" customHeight="1" x14ac:dyDescent="0.25">
      <c r="A13" s="7" t="s">
        <v>38</v>
      </c>
      <c r="B13" s="1">
        <v>15817</v>
      </c>
      <c r="C13" s="1">
        <f t="shared" si="0"/>
        <v>15.817</v>
      </c>
      <c r="D13" s="1" t="s">
        <v>16</v>
      </c>
      <c r="E13" s="1" t="s">
        <v>48</v>
      </c>
      <c r="F13" s="1" t="s">
        <v>15</v>
      </c>
      <c r="G13" s="1" t="s">
        <v>14</v>
      </c>
      <c r="H13" s="3">
        <v>45636</v>
      </c>
      <c r="I13" s="1" t="s">
        <v>9</v>
      </c>
      <c r="J13" s="3">
        <v>45640</v>
      </c>
      <c r="K13" s="3"/>
      <c r="L13" s="24"/>
      <c r="M13" s="3" t="s">
        <v>15</v>
      </c>
    </row>
    <row r="14" spans="1:15" s="1" customFormat="1" ht="15.75" customHeight="1" x14ac:dyDescent="0.25">
      <c r="A14" s="7" t="s">
        <v>38</v>
      </c>
      <c r="B14" s="1">
        <v>9545</v>
      </c>
      <c r="C14" s="1">
        <f t="shared" si="0"/>
        <v>9.5449999999999999</v>
      </c>
      <c r="D14" s="1" t="s">
        <v>16</v>
      </c>
      <c r="E14" s="1" t="s">
        <v>78</v>
      </c>
      <c r="F14" s="1" t="s">
        <v>15</v>
      </c>
      <c r="G14" s="1" t="s">
        <v>91</v>
      </c>
      <c r="H14" s="3">
        <v>45637</v>
      </c>
      <c r="I14" s="1" t="s">
        <v>9</v>
      </c>
      <c r="J14" s="3">
        <v>45641</v>
      </c>
      <c r="K14" s="3"/>
      <c r="L14" s="24"/>
      <c r="M14" s="3" t="s">
        <v>15</v>
      </c>
    </row>
    <row r="15" spans="1:15" s="1" customFormat="1" ht="15.75" customHeight="1" x14ac:dyDescent="0.25">
      <c r="A15" s="7" t="s">
        <v>38</v>
      </c>
      <c r="B15" s="1">
        <v>16722</v>
      </c>
      <c r="C15" s="1">
        <f t="shared" si="0"/>
        <v>16.722000000000001</v>
      </c>
      <c r="D15" s="1" t="s">
        <v>16</v>
      </c>
      <c r="E15" s="1" t="s">
        <v>42</v>
      </c>
      <c r="F15" s="1" t="s">
        <v>15</v>
      </c>
      <c r="G15" s="1" t="s">
        <v>14</v>
      </c>
      <c r="H15" s="3">
        <v>45638</v>
      </c>
      <c r="I15" s="1" t="s">
        <v>9</v>
      </c>
      <c r="J15" s="3">
        <v>45642</v>
      </c>
      <c r="K15" s="3"/>
      <c r="L15" s="24"/>
      <c r="M15" s="3" t="s">
        <v>15</v>
      </c>
    </row>
    <row r="16" spans="1:15" s="1" customFormat="1" ht="15.75" customHeight="1" x14ac:dyDescent="0.25">
      <c r="A16" s="7" t="s">
        <v>38</v>
      </c>
      <c r="B16" s="1">
        <v>7102</v>
      </c>
      <c r="C16" s="1">
        <f t="shared" si="0"/>
        <v>7.1020000000000003</v>
      </c>
      <c r="D16" s="1" t="s">
        <v>16</v>
      </c>
      <c r="E16" s="1" t="s">
        <v>21</v>
      </c>
      <c r="F16" s="1" t="s">
        <v>15</v>
      </c>
      <c r="G16" s="1" t="s">
        <v>64</v>
      </c>
      <c r="H16" s="3">
        <v>45639</v>
      </c>
      <c r="I16" s="1" t="s">
        <v>9</v>
      </c>
      <c r="J16" s="3">
        <v>45642</v>
      </c>
      <c r="K16" s="3"/>
      <c r="L16" s="24"/>
      <c r="M16" s="3" t="s">
        <v>15</v>
      </c>
      <c r="N16" s="3"/>
    </row>
    <row r="17" spans="1:15" s="1" customFormat="1" ht="15.75" customHeight="1" x14ac:dyDescent="0.25">
      <c r="A17" s="7" t="s">
        <v>38</v>
      </c>
      <c r="B17" s="1">
        <v>14114</v>
      </c>
      <c r="C17" s="1">
        <f t="shared" si="0"/>
        <v>14.114000000000001</v>
      </c>
      <c r="D17" s="1" t="s">
        <v>29</v>
      </c>
      <c r="E17" s="1" t="s">
        <v>141</v>
      </c>
      <c r="F17" s="1" t="s">
        <v>15</v>
      </c>
      <c r="G17" s="1" t="s">
        <v>64</v>
      </c>
      <c r="H17" s="3">
        <v>45640</v>
      </c>
      <c r="I17" s="1" t="s">
        <v>9</v>
      </c>
      <c r="J17" s="3">
        <v>45644</v>
      </c>
      <c r="K17" s="3" t="s">
        <v>142</v>
      </c>
      <c r="L17" s="24"/>
      <c r="M17" s="3" t="s">
        <v>15</v>
      </c>
    </row>
    <row r="18" spans="1:15" s="1" customFormat="1" ht="15.75" customHeight="1" x14ac:dyDescent="0.25">
      <c r="A18" s="7" t="s">
        <v>38</v>
      </c>
      <c r="B18" s="1">
        <v>16661</v>
      </c>
      <c r="C18" s="1">
        <f t="shared" si="0"/>
        <v>16.661000000000001</v>
      </c>
      <c r="D18" s="1" t="s">
        <v>16</v>
      </c>
      <c r="E18" s="1" t="s">
        <v>140</v>
      </c>
      <c r="F18" s="1" t="s">
        <v>15</v>
      </c>
      <c r="G18" s="1" t="s">
        <v>91</v>
      </c>
      <c r="H18" s="3">
        <v>45637</v>
      </c>
      <c r="I18" s="1" t="s">
        <v>10</v>
      </c>
      <c r="J18" s="3">
        <v>45645</v>
      </c>
      <c r="K18" s="3"/>
      <c r="L18" s="22"/>
      <c r="M18" s="3" t="s">
        <v>15</v>
      </c>
      <c r="N18" s="3"/>
    </row>
    <row r="19" spans="1:15" s="1" customFormat="1" ht="15.75" customHeight="1" x14ac:dyDescent="0.25">
      <c r="A19" s="7" t="s">
        <v>38</v>
      </c>
      <c r="B19" s="1">
        <v>12664</v>
      </c>
      <c r="C19" s="1">
        <f t="shared" si="0"/>
        <v>12.664</v>
      </c>
      <c r="D19" s="1" t="s">
        <v>16</v>
      </c>
      <c r="E19" s="1" t="s">
        <v>121</v>
      </c>
      <c r="F19" s="1" t="s">
        <v>15</v>
      </c>
      <c r="G19" s="1" t="s">
        <v>91</v>
      </c>
      <c r="H19" s="3">
        <v>45640</v>
      </c>
      <c r="I19" s="1" t="s">
        <v>9</v>
      </c>
      <c r="J19" s="3">
        <v>45645</v>
      </c>
      <c r="K19" s="3"/>
      <c r="L19" s="24"/>
      <c r="M19" s="3" t="s">
        <v>15</v>
      </c>
    </row>
    <row r="20" spans="1:15" s="1" customFormat="1" ht="15.75" customHeight="1" x14ac:dyDescent="0.25">
      <c r="A20" s="7" t="s">
        <v>117</v>
      </c>
      <c r="B20" s="1">
        <v>16343</v>
      </c>
      <c r="C20" s="1">
        <f t="shared" si="0"/>
        <v>16.343</v>
      </c>
      <c r="D20" s="1" t="s">
        <v>16</v>
      </c>
      <c r="E20" s="1" t="s">
        <v>74</v>
      </c>
      <c r="F20" s="1" t="s">
        <v>15</v>
      </c>
      <c r="G20" s="1" t="s">
        <v>14</v>
      </c>
      <c r="H20" s="3">
        <v>45641</v>
      </c>
      <c r="I20" s="1" t="s">
        <v>9</v>
      </c>
      <c r="J20" s="3">
        <v>45646</v>
      </c>
      <c r="K20" s="3"/>
      <c r="L20" s="24"/>
      <c r="M20" s="3" t="s">
        <v>15</v>
      </c>
    </row>
    <row r="21" spans="1:15" s="1" customFormat="1" ht="15.75" customHeight="1" x14ac:dyDescent="0.25">
      <c r="A21" s="7" t="s">
        <v>38</v>
      </c>
      <c r="B21" s="1">
        <v>71081</v>
      </c>
      <c r="C21" s="1">
        <f t="shared" si="0"/>
        <v>71.081000000000003</v>
      </c>
      <c r="D21" s="1" t="s">
        <v>33</v>
      </c>
      <c r="E21" s="1" t="s">
        <v>119</v>
      </c>
      <c r="F21" s="1" t="s">
        <v>15</v>
      </c>
      <c r="G21" s="1" t="s">
        <v>71</v>
      </c>
      <c r="H21" s="3">
        <v>45628</v>
      </c>
      <c r="I21" s="1" t="s">
        <v>9</v>
      </c>
      <c r="J21" s="3">
        <v>45648</v>
      </c>
      <c r="K21" s="3"/>
      <c r="L21" s="24"/>
      <c r="M21" s="3" t="s">
        <v>15</v>
      </c>
      <c r="N21" s="1" t="s">
        <v>15</v>
      </c>
    </row>
    <row r="22" spans="1:15" s="1" customFormat="1" ht="15.75" customHeight="1" x14ac:dyDescent="0.25">
      <c r="A22" s="7" t="s">
        <v>38</v>
      </c>
      <c r="B22" s="1">
        <v>16443</v>
      </c>
      <c r="C22" s="1">
        <f t="shared" si="0"/>
        <v>16.443000000000001</v>
      </c>
      <c r="D22" s="1" t="s">
        <v>16</v>
      </c>
      <c r="E22" s="1" t="s">
        <v>84</v>
      </c>
      <c r="F22" s="1" t="s">
        <v>15</v>
      </c>
      <c r="G22" s="1" t="s">
        <v>14</v>
      </c>
      <c r="H22" s="3">
        <v>45645</v>
      </c>
      <c r="I22" s="1" t="s">
        <v>9</v>
      </c>
      <c r="J22" s="3">
        <v>45650</v>
      </c>
      <c r="K22" s="3"/>
      <c r="L22" s="24"/>
      <c r="M22" s="3" t="s">
        <v>15</v>
      </c>
    </row>
    <row r="23" spans="1:15" s="1" customFormat="1" ht="15.75" customHeight="1" x14ac:dyDescent="0.25">
      <c r="A23" s="7" t="s">
        <v>38</v>
      </c>
      <c r="B23" s="1">
        <v>16707</v>
      </c>
      <c r="C23" s="1">
        <f t="shared" si="0"/>
        <v>16.707000000000001</v>
      </c>
      <c r="D23" s="1" t="s">
        <v>16</v>
      </c>
      <c r="E23" s="1" t="s">
        <v>125</v>
      </c>
      <c r="F23" s="1" t="s">
        <v>15</v>
      </c>
      <c r="G23" s="1" t="s">
        <v>91</v>
      </c>
      <c r="H23" s="3">
        <v>45642</v>
      </c>
      <c r="I23" s="1" t="s">
        <v>9</v>
      </c>
      <c r="J23" s="3">
        <v>45650</v>
      </c>
      <c r="K23" s="3"/>
      <c r="L23" s="24"/>
      <c r="M23" s="3" t="s">
        <v>15</v>
      </c>
    </row>
    <row r="24" spans="1:15" s="1" customFormat="1" ht="15.75" customHeight="1" x14ac:dyDescent="0.25">
      <c r="A24" s="7" t="s">
        <v>38</v>
      </c>
      <c r="B24" s="1">
        <v>14536</v>
      </c>
      <c r="C24" s="1">
        <f t="shared" si="0"/>
        <v>14.536</v>
      </c>
      <c r="D24" s="1" t="s">
        <v>16</v>
      </c>
      <c r="E24" s="1" t="s">
        <v>121</v>
      </c>
      <c r="F24" s="1" t="s">
        <v>15</v>
      </c>
      <c r="G24" s="1" t="s">
        <v>64</v>
      </c>
      <c r="H24" s="3">
        <v>45647</v>
      </c>
      <c r="I24" s="1" t="s">
        <v>9</v>
      </c>
      <c r="J24" s="3">
        <v>45651</v>
      </c>
      <c r="K24" s="3"/>
      <c r="L24" s="24"/>
      <c r="M24" s="3" t="s">
        <v>15</v>
      </c>
    </row>
    <row r="25" spans="1:15" s="1" customFormat="1" ht="15.75" customHeight="1" x14ac:dyDescent="0.25">
      <c r="A25" s="7" t="s">
        <v>38</v>
      </c>
      <c r="B25" s="1">
        <v>27899</v>
      </c>
      <c r="C25" s="1">
        <f t="shared" si="0"/>
        <v>27.899000000000001</v>
      </c>
      <c r="D25" s="1" t="s">
        <v>19</v>
      </c>
      <c r="E25" s="1" t="s">
        <v>63</v>
      </c>
      <c r="F25" s="1" t="s">
        <v>15</v>
      </c>
      <c r="G25" s="1" t="s">
        <v>12</v>
      </c>
      <c r="H25" s="3">
        <v>45628</v>
      </c>
      <c r="I25" s="1" t="s">
        <v>9</v>
      </c>
      <c r="J25" s="3">
        <v>45652</v>
      </c>
      <c r="K25" s="3"/>
      <c r="L25" s="24"/>
      <c r="M25" s="3" t="s">
        <v>15</v>
      </c>
      <c r="N25" s="3" t="s">
        <v>15</v>
      </c>
    </row>
    <row r="26" spans="1:15" s="1" customFormat="1" ht="15.75" customHeight="1" thickBot="1" x14ac:dyDescent="0.3">
      <c r="A26" s="7" t="s">
        <v>38</v>
      </c>
      <c r="B26" s="1">
        <v>16722</v>
      </c>
      <c r="C26" s="1">
        <f t="shared" si="0"/>
        <v>16.722000000000001</v>
      </c>
      <c r="D26" s="1" t="s">
        <v>16</v>
      </c>
      <c r="E26" s="1" t="s">
        <v>52</v>
      </c>
      <c r="F26" s="1" t="s">
        <v>15</v>
      </c>
      <c r="G26" s="1" t="s">
        <v>14</v>
      </c>
      <c r="H26" s="3">
        <v>45648</v>
      </c>
      <c r="I26" s="1" t="s">
        <v>9</v>
      </c>
      <c r="J26" s="3">
        <v>45652</v>
      </c>
      <c r="K26" s="3"/>
      <c r="L26" s="24"/>
      <c r="M26" s="3" t="s">
        <v>15</v>
      </c>
    </row>
    <row r="27" spans="1:15" s="25" customFormat="1" ht="15.75" thickBot="1" x14ac:dyDescent="0.3">
      <c r="A27" s="28" t="s">
        <v>37</v>
      </c>
      <c r="B27" s="29">
        <f>SUM(B2:B26)</f>
        <v>386420</v>
      </c>
      <c r="C27" s="29">
        <f>SUM(C2:C26)</f>
        <v>386.41999999999996</v>
      </c>
      <c r="D27" s="29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1"/>
    </row>
  </sheetData>
  <autoFilter ref="A1:T1" xr:uid="{00000000-0009-0000-0000-000002000000}">
    <sortState xmlns:xlrd2="http://schemas.microsoft.com/office/spreadsheetml/2017/richdata2" ref="A2:O27">
      <sortCondition ref="J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workbookViewId="0">
      <selection activeCell="L24" sqref="L24:L25"/>
    </sheetView>
  </sheetViews>
  <sheetFormatPr defaultRowHeight="15" x14ac:dyDescent="0.25"/>
  <cols>
    <col min="1" max="1" width="21" bestFit="1" customWidth="1"/>
    <col min="2" max="2" width="11.28515625" bestFit="1" customWidth="1"/>
    <col min="3" max="3" width="12.42578125" bestFit="1" customWidth="1"/>
    <col min="4" max="4" width="18.7109375" bestFit="1" customWidth="1"/>
    <col min="5" max="5" width="20.140625" bestFit="1" customWidth="1"/>
    <col min="6" max="6" width="16" bestFit="1" customWidth="1"/>
    <col min="7" max="7" width="20" bestFit="1" customWidth="1"/>
    <col min="8" max="8" width="14.5703125" bestFit="1" customWidth="1"/>
    <col min="9" max="9" width="18.7109375" bestFit="1" customWidth="1"/>
    <col min="10" max="10" width="12.85546875" bestFit="1" customWidth="1"/>
    <col min="11" max="11" width="12.85546875" customWidth="1"/>
    <col min="12" max="12" width="39.85546875" bestFit="1" customWidth="1"/>
    <col min="13" max="13" width="22.5703125" bestFit="1" customWidth="1"/>
    <col min="14" max="14" width="20.85546875" bestFit="1" customWidth="1"/>
    <col min="15" max="15" width="15.42578125" bestFit="1" customWidth="1"/>
  </cols>
  <sheetData>
    <row r="1" spans="1:15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101</v>
      </c>
      <c r="L1" s="2" t="s">
        <v>76</v>
      </c>
      <c r="M1" s="2" t="s">
        <v>58</v>
      </c>
      <c r="N1" s="2" t="s">
        <v>60</v>
      </c>
      <c r="O1" s="2" t="s">
        <v>99</v>
      </c>
    </row>
    <row r="2" spans="1:15" x14ac:dyDescent="0.25">
      <c r="A2" s="7" t="s">
        <v>38</v>
      </c>
      <c r="B2" s="1">
        <v>15800</v>
      </c>
      <c r="C2" s="1">
        <f>B2/1000</f>
        <v>15.8</v>
      </c>
      <c r="D2" s="1" t="s">
        <v>16</v>
      </c>
      <c r="E2" s="1" t="s">
        <v>48</v>
      </c>
      <c r="F2" s="1" t="s">
        <v>15</v>
      </c>
      <c r="G2" s="1" t="s">
        <v>14</v>
      </c>
      <c r="H2" s="3">
        <v>46018</v>
      </c>
      <c r="I2" s="1" t="s">
        <v>9</v>
      </c>
      <c r="J2" s="3">
        <v>45660</v>
      </c>
      <c r="K2" s="3"/>
      <c r="L2" s="22"/>
      <c r="M2" s="22" t="s">
        <v>15</v>
      </c>
      <c r="N2" s="3"/>
      <c r="O2" s="1"/>
    </row>
    <row r="3" spans="1:15" x14ac:dyDescent="0.25">
      <c r="A3" s="7" t="s">
        <v>38</v>
      </c>
      <c r="B3" s="1">
        <v>39900</v>
      </c>
      <c r="C3" s="1">
        <f t="shared" ref="C3:C21" si="0">B3/1000</f>
        <v>39.9</v>
      </c>
      <c r="D3" s="1" t="s">
        <v>19</v>
      </c>
      <c r="E3" s="1" t="s">
        <v>126</v>
      </c>
      <c r="F3" s="1" t="s">
        <v>15</v>
      </c>
      <c r="G3" s="22" t="s">
        <v>13</v>
      </c>
      <c r="H3" s="3">
        <v>45654</v>
      </c>
      <c r="I3" s="1" t="s">
        <v>9</v>
      </c>
      <c r="J3" s="3">
        <v>45663</v>
      </c>
      <c r="K3" s="3"/>
      <c r="L3" s="24"/>
      <c r="M3" s="22" t="s">
        <v>15</v>
      </c>
      <c r="N3" s="1" t="s">
        <v>15</v>
      </c>
      <c r="O3" s="1"/>
    </row>
    <row r="4" spans="1:15" x14ac:dyDescent="0.25">
      <c r="A4" s="7" t="s">
        <v>38</v>
      </c>
      <c r="B4" s="1">
        <v>16700</v>
      </c>
      <c r="C4" s="1">
        <f t="shared" si="0"/>
        <v>16.7</v>
      </c>
      <c r="D4" s="1" t="s">
        <v>16</v>
      </c>
      <c r="E4" s="1" t="s">
        <v>52</v>
      </c>
      <c r="F4" s="1" t="s">
        <v>15</v>
      </c>
      <c r="G4" s="22" t="s">
        <v>14</v>
      </c>
      <c r="H4" s="3">
        <v>45658</v>
      </c>
      <c r="I4" s="1" t="s">
        <v>10</v>
      </c>
      <c r="J4" s="3">
        <v>45663</v>
      </c>
      <c r="K4" s="3" t="s">
        <v>154</v>
      </c>
      <c r="L4" s="24"/>
      <c r="M4" s="22" t="s">
        <v>15</v>
      </c>
      <c r="N4" s="1"/>
      <c r="O4" s="1"/>
    </row>
    <row r="5" spans="1:15" x14ac:dyDescent="0.25">
      <c r="A5" s="7" t="s">
        <v>38</v>
      </c>
      <c r="B5" s="1">
        <v>16700</v>
      </c>
      <c r="C5" s="1">
        <f t="shared" si="0"/>
        <v>16.7</v>
      </c>
      <c r="D5" s="1" t="s">
        <v>16</v>
      </c>
      <c r="E5" s="1" t="s">
        <v>74</v>
      </c>
      <c r="F5" s="1" t="s">
        <v>15</v>
      </c>
      <c r="G5" s="22" t="s">
        <v>14</v>
      </c>
      <c r="H5" s="3">
        <v>45661</v>
      </c>
      <c r="I5" s="1" t="s">
        <v>9</v>
      </c>
      <c r="J5" s="3">
        <v>45664</v>
      </c>
      <c r="K5" s="3" t="s">
        <v>154</v>
      </c>
      <c r="L5" s="24"/>
      <c r="M5" s="22" t="s">
        <v>15</v>
      </c>
      <c r="N5" s="1"/>
      <c r="O5" s="1"/>
    </row>
    <row r="6" spans="1:15" x14ac:dyDescent="0.25">
      <c r="A6" s="7" t="s">
        <v>38</v>
      </c>
      <c r="B6" s="1">
        <v>40100</v>
      </c>
      <c r="C6" s="1">
        <f t="shared" si="0"/>
        <v>40.1</v>
      </c>
      <c r="D6" s="1" t="s">
        <v>33</v>
      </c>
      <c r="E6" s="1" t="s">
        <v>143</v>
      </c>
      <c r="F6" s="1" t="s">
        <v>15</v>
      </c>
      <c r="G6" s="1" t="s">
        <v>31</v>
      </c>
      <c r="H6" s="3">
        <v>45645</v>
      </c>
      <c r="I6" s="1" t="s">
        <v>9</v>
      </c>
      <c r="J6" s="3">
        <v>45666</v>
      </c>
      <c r="K6" s="3" t="s">
        <v>116</v>
      </c>
      <c r="L6" s="24" t="s">
        <v>170</v>
      </c>
      <c r="M6" s="22" t="s">
        <v>15</v>
      </c>
      <c r="N6" s="1"/>
      <c r="O6" s="1"/>
    </row>
    <row r="7" spans="1:15" x14ac:dyDescent="0.25">
      <c r="A7" s="7" t="s">
        <v>38</v>
      </c>
      <c r="B7" s="1">
        <v>15600</v>
      </c>
      <c r="C7" s="1">
        <f t="shared" si="0"/>
        <v>15.6</v>
      </c>
      <c r="D7" s="1" t="s">
        <v>16</v>
      </c>
      <c r="E7" s="1" t="s">
        <v>140</v>
      </c>
      <c r="F7" s="1" t="s">
        <v>15</v>
      </c>
      <c r="G7" s="1" t="s">
        <v>14</v>
      </c>
      <c r="H7" s="3">
        <v>45665</v>
      </c>
      <c r="I7" s="1" t="s">
        <v>9</v>
      </c>
      <c r="J7" s="3">
        <v>45668</v>
      </c>
      <c r="K7" s="3"/>
      <c r="L7" s="24"/>
      <c r="M7" s="22" t="s">
        <v>15</v>
      </c>
      <c r="N7" s="1"/>
      <c r="O7" s="1"/>
    </row>
    <row r="8" spans="1:15" x14ac:dyDescent="0.25">
      <c r="A8" s="7" t="s">
        <v>38</v>
      </c>
      <c r="B8" s="1">
        <v>100000</v>
      </c>
      <c r="C8" s="1">
        <f t="shared" si="0"/>
        <v>100</v>
      </c>
      <c r="D8" s="1" t="s">
        <v>70</v>
      </c>
      <c r="E8" s="1" t="s">
        <v>118</v>
      </c>
      <c r="F8" s="1" t="s">
        <v>15</v>
      </c>
      <c r="G8" s="22" t="s">
        <v>123</v>
      </c>
      <c r="H8" s="3">
        <v>45624</v>
      </c>
      <c r="I8" s="1" t="s">
        <v>10</v>
      </c>
      <c r="J8" s="3">
        <v>45669</v>
      </c>
      <c r="K8" s="3" t="s">
        <v>147</v>
      </c>
      <c r="L8" s="24"/>
      <c r="M8" s="22" t="s">
        <v>15</v>
      </c>
      <c r="N8" s="1" t="s">
        <v>15</v>
      </c>
      <c r="O8" s="1"/>
    </row>
    <row r="9" spans="1:15" x14ac:dyDescent="0.25">
      <c r="A9" s="7" t="s">
        <v>38</v>
      </c>
      <c r="B9" s="1">
        <v>109800</v>
      </c>
      <c r="C9" s="1">
        <f t="shared" si="0"/>
        <v>109.8</v>
      </c>
      <c r="D9" s="1" t="s">
        <v>33</v>
      </c>
      <c r="E9" s="1" t="s">
        <v>128</v>
      </c>
      <c r="F9" s="1" t="s">
        <v>15</v>
      </c>
      <c r="G9" s="22" t="s">
        <v>31</v>
      </c>
      <c r="H9" s="3">
        <v>45648</v>
      </c>
      <c r="I9" s="1" t="s">
        <v>9</v>
      </c>
      <c r="J9" s="3">
        <v>45672</v>
      </c>
      <c r="K9" s="3" t="s">
        <v>116</v>
      </c>
      <c r="L9" s="24"/>
      <c r="M9" s="22" t="s">
        <v>15</v>
      </c>
      <c r="N9" s="1"/>
      <c r="O9" s="1"/>
    </row>
    <row r="10" spans="1:15" x14ac:dyDescent="0.25">
      <c r="A10" s="7" t="s">
        <v>38</v>
      </c>
      <c r="B10" s="1">
        <v>120000</v>
      </c>
      <c r="C10" s="1">
        <f t="shared" si="0"/>
        <v>120</v>
      </c>
      <c r="D10" s="1" t="s">
        <v>70</v>
      </c>
      <c r="E10" s="1" t="s">
        <v>148</v>
      </c>
      <c r="F10" s="1" t="s">
        <v>15</v>
      </c>
      <c r="G10" s="1" t="s">
        <v>123</v>
      </c>
      <c r="H10" s="3">
        <v>45661</v>
      </c>
      <c r="I10" s="1" t="s">
        <v>9</v>
      </c>
      <c r="J10" s="3">
        <v>45672</v>
      </c>
      <c r="K10" s="3" t="s">
        <v>146</v>
      </c>
      <c r="L10" s="24" t="s">
        <v>155</v>
      </c>
      <c r="M10" s="22" t="s">
        <v>163</v>
      </c>
      <c r="N10" s="1" t="s">
        <v>15</v>
      </c>
      <c r="O10" s="1"/>
    </row>
    <row r="11" spans="1:15" x14ac:dyDescent="0.25">
      <c r="A11" s="7" t="s">
        <v>38</v>
      </c>
      <c r="B11" s="1">
        <v>6000</v>
      </c>
      <c r="C11" s="1">
        <f t="shared" si="0"/>
        <v>6</v>
      </c>
      <c r="D11" s="1" t="s">
        <v>16</v>
      </c>
      <c r="E11" s="1" t="s">
        <v>42</v>
      </c>
      <c r="F11" s="1" t="s">
        <v>15</v>
      </c>
      <c r="G11" s="1" t="s">
        <v>14</v>
      </c>
      <c r="H11" s="3">
        <v>45669</v>
      </c>
      <c r="I11" s="1" t="s">
        <v>9</v>
      </c>
      <c r="J11" s="3">
        <v>45673</v>
      </c>
      <c r="K11" s="3"/>
      <c r="L11" s="24"/>
      <c r="M11" s="22" t="s">
        <v>15</v>
      </c>
      <c r="N11" s="1"/>
      <c r="O11" s="1"/>
    </row>
    <row r="12" spans="1:15" x14ac:dyDescent="0.25">
      <c r="A12" s="7" t="s">
        <v>38</v>
      </c>
      <c r="B12" s="1">
        <v>60000</v>
      </c>
      <c r="C12" s="1">
        <f t="shared" si="0"/>
        <v>60</v>
      </c>
      <c r="D12" s="1" t="s">
        <v>92</v>
      </c>
      <c r="E12" s="1" t="s">
        <v>127</v>
      </c>
      <c r="F12" s="1" t="s">
        <v>15</v>
      </c>
      <c r="G12" s="22" t="s">
        <v>110</v>
      </c>
      <c r="H12" s="3">
        <v>45646</v>
      </c>
      <c r="I12" s="1" t="s">
        <v>9</v>
      </c>
      <c r="J12" s="3">
        <v>45673</v>
      </c>
      <c r="K12" s="3"/>
      <c r="L12" s="24"/>
      <c r="M12" s="22" t="s">
        <v>15</v>
      </c>
      <c r="N12" s="1" t="s">
        <v>15</v>
      </c>
      <c r="O12" s="1"/>
    </row>
    <row r="13" spans="1:15" x14ac:dyDescent="0.25">
      <c r="A13" s="7" t="s">
        <v>38</v>
      </c>
      <c r="B13" s="1">
        <v>15700</v>
      </c>
      <c r="C13" s="1">
        <f t="shared" si="0"/>
        <v>15.7</v>
      </c>
      <c r="D13" s="1" t="s">
        <v>16</v>
      </c>
      <c r="E13" s="1" t="s">
        <v>120</v>
      </c>
      <c r="F13" s="1" t="s">
        <v>15</v>
      </c>
      <c r="G13" s="1" t="s">
        <v>14</v>
      </c>
      <c r="H13" s="3">
        <v>45671</v>
      </c>
      <c r="I13" s="1" t="s">
        <v>9</v>
      </c>
      <c r="J13" s="3">
        <v>45676</v>
      </c>
      <c r="K13" s="3"/>
      <c r="L13" s="24"/>
      <c r="M13" s="22" t="s">
        <v>15</v>
      </c>
      <c r="N13" s="1"/>
      <c r="O13" s="1"/>
    </row>
    <row r="14" spans="1:15" s="1" customFormat="1" x14ac:dyDescent="0.25">
      <c r="A14" s="7" t="s">
        <v>38</v>
      </c>
      <c r="B14" s="1">
        <v>38700</v>
      </c>
      <c r="C14" s="1">
        <f t="shared" si="0"/>
        <v>38.700000000000003</v>
      </c>
      <c r="D14" s="1" t="s">
        <v>19</v>
      </c>
      <c r="E14" s="1" t="s">
        <v>126</v>
      </c>
      <c r="F14" s="1" t="s">
        <v>15</v>
      </c>
      <c r="G14" s="1" t="s">
        <v>13</v>
      </c>
      <c r="H14" s="3">
        <v>45669</v>
      </c>
      <c r="I14" s="1" t="s">
        <v>9</v>
      </c>
      <c r="J14" s="3">
        <v>45677</v>
      </c>
      <c r="K14" s="3" t="s">
        <v>154</v>
      </c>
      <c r="L14" s="24"/>
      <c r="M14" s="22" t="s">
        <v>15</v>
      </c>
      <c r="N14" s="1" t="s">
        <v>15</v>
      </c>
    </row>
    <row r="15" spans="1:15" s="1" customFormat="1" x14ac:dyDescent="0.25">
      <c r="A15" s="7" t="s">
        <v>38</v>
      </c>
      <c r="B15" s="1">
        <v>17000</v>
      </c>
      <c r="C15" s="1">
        <f t="shared" si="0"/>
        <v>17</v>
      </c>
      <c r="D15" s="1" t="s">
        <v>16</v>
      </c>
      <c r="E15" s="1" t="s">
        <v>84</v>
      </c>
      <c r="F15" s="1" t="s">
        <v>15</v>
      </c>
      <c r="G15" s="1" t="s">
        <v>14</v>
      </c>
      <c r="H15" s="3">
        <v>45675</v>
      </c>
      <c r="I15" s="1" t="s">
        <v>9</v>
      </c>
      <c r="J15" s="3">
        <v>45678</v>
      </c>
      <c r="K15" s="3"/>
      <c r="L15" s="24" t="s">
        <v>144</v>
      </c>
      <c r="M15" s="22" t="s">
        <v>15</v>
      </c>
    </row>
    <row r="16" spans="1:15" s="1" customFormat="1" x14ac:dyDescent="0.25">
      <c r="A16" s="7" t="s">
        <v>38</v>
      </c>
      <c r="B16" s="1">
        <v>116500</v>
      </c>
      <c r="C16" s="1">
        <f t="shared" si="0"/>
        <v>116.5</v>
      </c>
      <c r="D16" s="1" t="s">
        <v>70</v>
      </c>
      <c r="E16" s="1" t="s">
        <v>135</v>
      </c>
      <c r="F16" s="1" t="s">
        <v>15</v>
      </c>
      <c r="G16" s="1" t="s">
        <v>123</v>
      </c>
      <c r="H16" s="3">
        <v>45660</v>
      </c>
      <c r="I16" s="1" t="s">
        <v>9</v>
      </c>
      <c r="J16" s="3">
        <v>45679</v>
      </c>
      <c r="K16" s="3" t="s">
        <v>146</v>
      </c>
      <c r="L16" s="24"/>
      <c r="M16" s="22" t="s">
        <v>15</v>
      </c>
      <c r="N16" s="1" t="s">
        <v>15</v>
      </c>
    </row>
    <row r="17" spans="1:15" x14ac:dyDescent="0.25">
      <c r="A17" s="7" t="s">
        <v>38</v>
      </c>
      <c r="B17" s="1">
        <v>80000</v>
      </c>
      <c r="C17" s="1">
        <f t="shared" si="0"/>
        <v>80</v>
      </c>
      <c r="D17" s="1" t="s">
        <v>18</v>
      </c>
      <c r="E17" s="1" t="s">
        <v>158</v>
      </c>
      <c r="F17" s="1" t="s">
        <v>15</v>
      </c>
      <c r="G17" s="1" t="s">
        <v>159</v>
      </c>
      <c r="H17" s="3">
        <v>45656</v>
      </c>
      <c r="I17" s="1" t="s">
        <v>9</v>
      </c>
      <c r="J17" s="3">
        <v>45681</v>
      </c>
      <c r="K17" s="3" t="s">
        <v>160</v>
      </c>
      <c r="L17" s="24" t="s">
        <v>161</v>
      </c>
      <c r="M17" s="22" t="s">
        <v>162</v>
      </c>
      <c r="N17" s="1" t="s">
        <v>163</v>
      </c>
      <c r="O17" s="1"/>
    </row>
    <row r="18" spans="1:15" s="1" customFormat="1" x14ac:dyDescent="0.25">
      <c r="A18" s="7" t="s">
        <v>38</v>
      </c>
      <c r="B18" s="1">
        <v>15800</v>
      </c>
      <c r="C18" s="1">
        <f t="shared" si="0"/>
        <v>15.8</v>
      </c>
      <c r="D18" s="1" t="s">
        <v>16</v>
      </c>
      <c r="E18" s="1" t="s">
        <v>48</v>
      </c>
      <c r="F18" s="1" t="s">
        <v>15</v>
      </c>
      <c r="G18" s="1" t="s">
        <v>14</v>
      </c>
      <c r="H18" s="3">
        <v>45678</v>
      </c>
      <c r="I18" s="1" t="s">
        <v>9</v>
      </c>
      <c r="J18" s="3">
        <v>45681</v>
      </c>
      <c r="K18" s="3" t="s">
        <v>171</v>
      </c>
      <c r="L18" s="22"/>
      <c r="M18" s="22" t="s">
        <v>15</v>
      </c>
      <c r="N18" s="3"/>
    </row>
    <row r="19" spans="1:15" s="1" customFormat="1" x14ac:dyDescent="0.25">
      <c r="A19" s="7" t="s">
        <v>117</v>
      </c>
      <c r="B19" s="1">
        <v>80000</v>
      </c>
      <c r="C19" s="1">
        <f t="shared" si="0"/>
        <v>80</v>
      </c>
      <c r="D19" s="1" t="s">
        <v>33</v>
      </c>
      <c r="E19" s="1" t="s">
        <v>153</v>
      </c>
      <c r="F19" s="1" t="s">
        <v>15</v>
      </c>
      <c r="G19" s="1" t="s">
        <v>31</v>
      </c>
      <c r="H19" s="3">
        <v>45665</v>
      </c>
      <c r="I19" s="1" t="s">
        <v>9</v>
      </c>
      <c r="J19" s="3">
        <v>45684</v>
      </c>
      <c r="K19" s="3" t="s">
        <v>116</v>
      </c>
      <c r="L19" s="24"/>
      <c r="M19" s="22" t="s">
        <v>15</v>
      </c>
      <c r="N19" s="1" t="s">
        <v>15</v>
      </c>
    </row>
    <row r="20" spans="1:15" x14ac:dyDescent="0.25">
      <c r="A20" s="7" t="s">
        <v>73</v>
      </c>
      <c r="B20" s="1">
        <v>140000</v>
      </c>
      <c r="C20" s="1">
        <f t="shared" si="0"/>
        <v>140</v>
      </c>
      <c r="D20" s="1" t="s">
        <v>98</v>
      </c>
      <c r="E20" s="1" t="s">
        <v>164</v>
      </c>
      <c r="F20" s="1" t="s">
        <v>15</v>
      </c>
      <c r="G20" s="1" t="s">
        <v>123</v>
      </c>
      <c r="H20" s="3">
        <v>45669</v>
      </c>
      <c r="I20" s="1" t="s">
        <v>9</v>
      </c>
      <c r="J20" s="3">
        <v>45685</v>
      </c>
      <c r="K20" s="3" t="s">
        <v>165</v>
      </c>
      <c r="L20" s="24"/>
      <c r="M20" s="22" t="s">
        <v>162</v>
      </c>
      <c r="N20" s="1" t="s">
        <v>15</v>
      </c>
      <c r="O20" s="1"/>
    </row>
    <row r="21" spans="1:15" s="1" customFormat="1" ht="15.75" thickBot="1" x14ac:dyDescent="0.3">
      <c r="A21" s="7" t="s">
        <v>73</v>
      </c>
      <c r="B21" s="1">
        <v>16700</v>
      </c>
      <c r="C21" s="1">
        <f t="shared" si="0"/>
        <v>16.7</v>
      </c>
      <c r="D21" s="1" t="s">
        <v>16</v>
      </c>
      <c r="E21" s="1" t="s">
        <v>52</v>
      </c>
      <c r="F21" s="1" t="s">
        <v>15</v>
      </c>
      <c r="G21" s="22" t="s">
        <v>14</v>
      </c>
      <c r="H21" s="3">
        <v>45682</v>
      </c>
      <c r="I21" s="1" t="s">
        <v>9</v>
      </c>
      <c r="J21" s="3">
        <v>45686</v>
      </c>
      <c r="K21" s="3" t="s">
        <v>154</v>
      </c>
      <c r="L21" s="24"/>
      <c r="M21" s="22" t="s">
        <v>15</v>
      </c>
    </row>
    <row r="22" spans="1:15" ht="15.75" thickBot="1" x14ac:dyDescent="0.3">
      <c r="A22" s="28" t="s">
        <v>37</v>
      </c>
      <c r="B22" s="29">
        <f>SUM(B2:B21)</f>
        <v>1061000</v>
      </c>
      <c r="C22" s="29">
        <f>SUM(C2:C21)</f>
        <v>1061.0000000000002</v>
      </c>
      <c r="D22" s="29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1"/>
    </row>
    <row r="29" spans="1:15" x14ac:dyDescent="0.25">
      <c r="A29" s="7" t="s">
        <v>28</v>
      </c>
      <c r="B29" s="1"/>
      <c r="C29" s="1">
        <f t="shared" ref="C29:C36" si="1">B29/1000</f>
        <v>0</v>
      </c>
      <c r="D29" s="1" t="s">
        <v>19</v>
      </c>
      <c r="E29" s="1" t="s">
        <v>133</v>
      </c>
      <c r="F29" s="1" t="s">
        <v>15</v>
      </c>
      <c r="G29" s="22" t="s">
        <v>129</v>
      </c>
      <c r="H29" s="3">
        <v>45656</v>
      </c>
      <c r="I29" s="1" t="s">
        <v>9</v>
      </c>
      <c r="J29" s="3" t="s">
        <v>32</v>
      </c>
      <c r="K29" s="3"/>
      <c r="L29" s="24"/>
      <c r="M29" s="22" t="s">
        <v>130</v>
      </c>
      <c r="N29" s="1" t="s">
        <v>15</v>
      </c>
      <c r="O29" s="1"/>
    </row>
    <row r="30" spans="1:15" x14ac:dyDescent="0.25">
      <c r="A30" s="7" t="s">
        <v>28</v>
      </c>
      <c r="B30" s="1">
        <v>80000</v>
      </c>
      <c r="C30" s="1">
        <f t="shared" si="1"/>
        <v>80</v>
      </c>
      <c r="D30" s="1" t="s">
        <v>70</v>
      </c>
      <c r="E30" s="1" t="s">
        <v>131</v>
      </c>
      <c r="F30" s="1" t="s">
        <v>15</v>
      </c>
      <c r="G30" s="22" t="s">
        <v>89</v>
      </c>
      <c r="H30" s="3">
        <v>45643</v>
      </c>
      <c r="I30" s="1" t="s">
        <v>9</v>
      </c>
      <c r="J30" s="3">
        <v>45674</v>
      </c>
      <c r="K30" s="3"/>
      <c r="L30" s="24" t="s">
        <v>137</v>
      </c>
      <c r="M30" s="22" t="s">
        <v>132</v>
      </c>
      <c r="N30" s="1" t="s">
        <v>15</v>
      </c>
      <c r="O30" s="1"/>
    </row>
    <row r="31" spans="1:15" x14ac:dyDescent="0.25">
      <c r="A31" s="7" t="s">
        <v>28</v>
      </c>
      <c r="B31" s="1">
        <v>93500</v>
      </c>
      <c r="C31" s="1">
        <f t="shared" si="1"/>
        <v>93.5</v>
      </c>
      <c r="D31" s="1" t="s">
        <v>33</v>
      </c>
      <c r="E31" s="1" t="s">
        <v>134</v>
      </c>
      <c r="F31" s="1" t="s">
        <v>15</v>
      </c>
      <c r="G31" s="22" t="s">
        <v>89</v>
      </c>
      <c r="H31" s="3">
        <v>45655</v>
      </c>
      <c r="I31" s="1" t="s">
        <v>9</v>
      </c>
      <c r="J31" s="3">
        <v>45684</v>
      </c>
      <c r="K31" s="3"/>
      <c r="L31" s="24" t="s">
        <v>136</v>
      </c>
      <c r="M31" s="22" t="s">
        <v>15</v>
      </c>
      <c r="N31" s="1" t="s">
        <v>15</v>
      </c>
      <c r="O31" s="1"/>
    </row>
    <row r="32" spans="1:15" x14ac:dyDescent="0.25">
      <c r="A32" s="7" t="s">
        <v>73</v>
      </c>
      <c r="B32" s="1">
        <v>5600</v>
      </c>
      <c r="C32" s="1">
        <f t="shared" si="1"/>
        <v>5.6</v>
      </c>
      <c r="D32" s="1" t="s">
        <v>16</v>
      </c>
      <c r="E32" s="1" t="s">
        <v>124</v>
      </c>
      <c r="F32" s="1" t="s">
        <v>15</v>
      </c>
      <c r="G32" s="22" t="s">
        <v>91</v>
      </c>
      <c r="H32" s="3">
        <v>45657</v>
      </c>
      <c r="I32" s="1" t="s">
        <v>9</v>
      </c>
      <c r="J32" s="3">
        <v>45666</v>
      </c>
      <c r="K32" s="3"/>
      <c r="L32" s="24"/>
      <c r="M32" s="22" t="s">
        <v>15</v>
      </c>
      <c r="N32" s="1"/>
      <c r="O32" s="1"/>
    </row>
    <row r="33" spans="1:15" x14ac:dyDescent="0.25">
      <c r="A33" s="7" t="s">
        <v>145</v>
      </c>
      <c r="B33" s="1">
        <v>120000</v>
      </c>
      <c r="C33" s="1">
        <f t="shared" si="1"/>
        <v>120</v>
      </c>
      <c r="D33" s="1" t="s">
        <v>70</v>
      </c>
      <c r="E33" s="1" t="s">
        <v>148</v>
      </c>
      <c r="F33" s="1" t="s">
        <v>15</v>
      </c>
      <c r="G33" s="1" t="s">
        <v>149</v>
      </c>
      <c r="H33" s="3">
        <v>45661</v>
      </c>
      <c r="I33" s="1" t="s">
        <v>9</v>
      </c>
      <c r="J33" s="3">
        <v>45672</v>
      </c>
      <c r="K33" s="3"/>
      <c r="L33" s="24" t="s">
        <v>150</v>
      </c>
      <c r="M33" s="22"/>
      <c r="N33" s="1"/>
      <c r="O33" s="1"/>
    </row>
    <row r="34" spans="1:15" x14ac:dyDescent="0.25">
      <c r="A34" s="7" t="s">
        <v>28</v>
      </c>
      <c r="B34" s="1">
        <v>100000</v>
      </c>
      <c r="C34" s="1">
        <f t="shared" si="1"/>
        <v>100</v>
      </c>
      <c r="D34" s="1" t="s">
        <v>33</v>
      </c>
      <c r="E34" s="1" t="s">
        <v>156</v>
      </c>
      <c r="F34" s="1" t="s">
        <v>15</v>
      </c>
      <c r="G34" s="1" t="s">
        <v>31</v>
      </c>
      <c r="H34" s="3">
        <v>45657</v>
      </c>
      <c r="I34" s="1" t="s">
        <v>9</v>
      </c>
      <c r="J34" s="3">
        <v>45682</v>
      </c>
      <c r="K34" s="3" t="s">
        <v>116</v>
      </c>
      <c r="L34" s="24" t="s">
        <v>144</v>
      </c>
      <c r="M34" s="22"/>
      <c r="N34" s="1"/>
      <c r="O34" s="1"/>
    </row>
    <row r="35" spans="1:15" s="33" customFormat="1" x14ac:dyDescent="0.25">
      <c r="A35" s="32" t="s">
        <v>28</v>
      </c>
      <c r="B35" s="33">
        <v>80000</v>
      </c>
      <c r="C35" s="33">
        <f t="shared" si="1"/>
        <v>80</v>
      </c>
      <c r="D35" s="33" t="s">
        <v>33</v>
      </c>
      <c r="E35" s="33" t="s">
        <v>151</v>
      </c>
      <c r="F35" s="33" t="s">
        <v>15</v>
      </c>
      <c r="G35" s="33" t="s">
        <v>31</v>
      </c>
      <c r="H35" s="34">
        <v>45672</v>
      </c>
      <c r="I35" s="33" t="s">
        <v>9</v>
      </c>
      <c r="J35" s="34">
        <v>45688</v>
      </c>
      <c r="K35" s="34" t="s">
        <v>116</v>
      </c>
      <c r="L35" s="35" t="s">
        <v>152</v>
      </c>
      <c r="M35" s="36"/>
    </row>
    <row r="36" spans="1:15" x14ac:dyDescent="0.25">
      <c r="A36" s="7" t="s">
        <v>73</v>
      </c>
      <c r="B36" s="1">
        <v>33900</v>
      </c>
      <c r="C36" s="1">
        <f t="shared" si="1"/>
        <v>33.9</v>
      </c>
      <c r="D36" s="1" t="s">
        <v>29</v>
      </c>
      <c r="E36" s="1" t="s">
        <v>114</v>
      </c>
      <c r="F36" s="1" t="s">
        <v>15</v>
      </c>
      <c r="G36" s="1" t="s">
        <v>64</v>
      </c>
      <c r="H36" s="3">
        <v>45670</v>
      </c>
      <c r="I36" s="1" t="s">
        <v>10</v>
      </c>
      <c r="J36" s="3">
        <v>45677</v>
      </c>
      <c r="K36" s="3"/>
      <c r="L36" s="24"/>
      <c r="M36" s="22" t="s">
        <v>15</v>
      </c>
      <c r="N36" s="1"/>
      <c r="O36" s="1"/>
    </row>
    <row r="37" spans="1:15" x14ac:dyDescent="0.25">
      <c r="A37" s="7" t="s">
        <v>38</v>
      </c>
      <c r="B37" s="1">
        <v>20600</v>
      </c>
      <c r="C37" s="1">
        <f>B37/1000</f>
        <v>20.6</v>
      </c>
      <c r="D37" s="1" t="s">
        <v>29</v>
      </c>
      <c r="E37" s="1" t="s">
        <v>138</v>
      </c>
      <c r="F37" s="1" t="s">
        <v>15</v>
      </c>
      <c r="G37" s="22" t="s">
        <v>23</v>
      </c>
      <c r="H37" s="3">
        <v>45649</v>
      </c>
      <c r="I37" s="1" t="s">
        <v>9</v>
      </c>
      <c r="J37" s="3">
        <v>45668</v>
      </c>
      <c r="K37" s="3" t="s">
        <v>139</v>
      </c>
      <c r="L37" s="24"/>
      <c r="M37" s="22" t="s">
        <v>15</v>
      </c>
      <c r="N37" s="1"/>
      <c r="O37" s="1"/>
    </row>
    <row r="38" spans="1:15" x14ac:dyDescent="0.25">
      <c r="A38" s="7" t="s">
        <v>38</v>
      </c>
      <c r="B38" s="1">
        <v>16700</v>
      </c>
      <c r="C38" s="1">
        <f t="shared" ref="C38:C46" si="2">B38/1000</f>
        <v>16.7</v>
      </c>
      <c r="D38" s="1" t="s">
        <v>16</v>
      </c>
      <c r="E38" s="1" t="s">
        <v>42</v>
      </c>
      <c r="F38" s="1" t="s">
        <v>15</v>
      </c>
      <c r="G38" s="22" t="s">
        <v>91</v>
      </c>
      <c r="H38" s="3">
        <v>45656</v>
      </c>
      <c r="I38" s="1" t="s">
        <v>10</v>
      </c>
      <c r="J38" s="3">
        <v>45659</v>
      </c>
      <c r="K38" s="3"/>
      <c r="L38" s="24"/>
      <c r="M38" s="3" t="s">
        <v>15</v>
      </c>
      <c r="N38" s="1"/>
      <c r="O38" s="1"/>
    </row>
    <row r="39" spans="1:15" x14ac:dyDescent="0.25">
      <c r="A39" s="7" t="s">
        <v>38</v>
      </c>
      <c r="B39" s="1">
        <v>10100</v>
      </c>
      <c r="C39" s="1">
        <f t="shared" si="2"/>
        <v>10.1</v>
      </c>
      <c r="D39" s="1" t="s">
        <v>16</v>
      </c>
      <c r="E39" s="1" t="s">
        <v>78</v>
      </c>
      <c r="F39" s="1" t="s">
        <v>15</v>
      </c>
      <c r="G39" s="1" t="s">
        <v>91</v>
      </c>
      <c r="H39" s="3">
        <v>45656</v>
      </c>
      <c r="I39" s="1" t="s">
        <v>9</v>
      </c>
      <c r="J39" s="3">
        <v>45661</v>
      </c>
      <c r="K39" s="3"/>
      <c r="L39" s="24"/>
      <c r="M39" s="22" t="s">
        <v>15</v>
      </c>
      <c r="N39" s="1"/>
      <c r="O39" s="1"/>
    </row>
    <row r="40" spans="1:15" x14ac:dyDescent="0.25">
      <c r="A40" s="7" t="s">
        <v>38</v>
      </c>
      <c r="B40" s="1">
        <v>16700</v>
      </c>
      <c r="C40" s="1">
        <f t="shared" si="2"/>
        <v>16.7</v>
      </c>
      <c r="D40" s="1" t="s">
        <v>16</v>
      </c>
      <c r="E40" s="1" t="s">
        <v>125</v>
      </c>
      <c r="F40" s="1" t="s">
        <v>15</v>
      </c>
      <c r="G40" s="22" t="s">
        <v>91</v>
      </c>
      <c r="H40" s="3">
        <v>45658</v>
      </c>
      <c r="I40" s="1" t="s">
        <v>9</v>
      </c>
      <c r="J40" s="3">
        <v>45661</v>
      </c>
      <c r="K40" s="3"/>
      <c r="L40" s="24"/>
      <c r="M40" s="22" t="s">
        <v>15</v>
      </c>
      <c r="N40" s="1"/>
      <c r="O40" s="1"/>
    </row>
    <row r="41" spans="1:15" x14ac:dyDescent="0.25">
      <c r="A41" s="7" t="s">
        <v>38</v>
      </c>
      <c r="B41" s="1">
        <v>5600</v>
      </c>
      <c r="C41" s="1">
        <f t="shared" si="2"/>
        <v>5.6</v>
      </c>
      <c r="D41" s="1" t="s">
        <v>16</v>
      </c>
      <c r="E41" s="1" t="s">
        <v>55</v>
      </c>
      <c r="F41" s="1" t="s">
        <v>15</v>
      </c>
      <c r="G41" s="22" t="s">
        <v>91</v>
      </c>
      <c r="H41" s="3">
        <v>45657</v>
      </c>
      <c r="I41" s="1" t="s">
        <v>9</v>
      </c>
      <c r="J41" s="3">
        <v>45666</v>
      </c>
      <c r="K41" s="3"/>
      <c r="L41" s="24"/>
      <c r="M41" s="22" t="s">
        <v>15</v>
      </c>
      <c r="N41" s="1"/>
      <c r="O41" s="1"/>
    </row>
    <row r="42" spans="1:15" s="33" customFormat="1" x14ac:dyDescent="0.25">
      <c r="A42" s="7" t="s">
        <v>38</v>
      </c>
      <c r="B42" s="1">
        <v>16600</v>
      </c>
      <c r="C42" s="1">
        <f t="shared" si="2"/>
        <v>16.600000000000001</v>
      </c>
      <c r="D42" s="1" t="s">
        <v>16</v>
      </c>
      <c r="E42" s="1" t="s">
        <v>52</v>
      </c>
      <c r="F42" s="1" t="s">
        <v>15</v>
      </c>
      <c r="G42" s="22" t="s">
        <v>91</v>
      </c>
      <c r="H42" s="3">
        <v>45669</v>
      </c>
      <c r="I42" s="1" t="s">
        <v>10</v>
      </c>
      <c r="J42" s="3">
        <v>45671</v>
      </c>
      <c r="K42" s="3"/>
      <c r="L42" s="24"/>
      <c r="M42" s="22" t="s">
        <v>15</v>
      </c>
      <c r="N42" s="1"/>
      <c r="O42" s="1"/>
    </row>
    <row r="43" spans="1:15" x14ac:dyDescent="0.25">
      <c r="A43" s="7" t="s">
        <v>38</v>
      </c>
      <c r="B43" s="1">
        <v>16700</v>
      </c>
      <c r="C43" s="1">
        <f t="shared" si="2"/>
        <v>16.7</v>
      </c>
      <c r="D43" s="1" t="s">
        <v>16</v>
      </c>
      <c r="E43" s="1" t="s">
        <v>42</v>
      </c>
      <c r="F43" s="1" t="s">
        <v>15</v>
      </c>
      <c r="G43" s="22" t="s">
        <v>91</v>
      </c>
      <c r="H43" s="3">
        <v>45669</v>
      </c>
      <c r="I43" s="1" t="s">
        <v>10</v>
      </c>
      <c r="J43" s="3">
        <v>45673</v>
      </c>
      <c r="K43" s="3"/>
      <c r="L43" s="24"/>
      <c r="M43" s="3" t="s">
        <v>15</v>
      </c>
      <c r="N43" s="1"/>
      <c r="O43" s="1"/>
    </row>
    <row r="44" spans="1:15" x14ac:dyDescent="0.25">
      <c r="A44" s="7" t="s">
        <v>38</v>
      </c>
      <c r="B44" s="1">
        <v>14300</v>
      </c>
      <c r="C44" s="1">
        <f t="shared" si="2"/>
        <v>14.3</v>
      </c>
      <c r="D44" s="1" t="s">
        <v>16</v>
      </c>
      <c r="E44" s="1" t="s">
        <v>21</v>
      </c>
      <c r="F44" s="1" t="s">
        <v>15</v>
      </c>
      <c r="G44" s="22" t="s">
        <v>91</v>
      </c>
      <c r="H44" s="3">
        <v>45667</v>
      </c>
      <c r="I44" s="1" t="s">
        <v>9</v>
      </c>
      <c r="J44" s="3">
        <v>45673</v>
      </c>
      <c r="K44" s="3"/>
      <c r="L44" s="24"/>
      <c r="M44" s="3" t="s">
        <v>15</v>
      </c>
      <c r="N44" s="1"/>
      <c r="O44" s="1"/>
    </row>
    <row r="45" spans="1:15" x14ac:dyDescent="0.25">
      <c r="A45" s="7" t="s">
        <v>38</v>
      </c>
      <c r="B45" s="1">
        <v>8400</v>
      </c>
      <c r="C45" s="1">
        <f t="shared" si="2"/>
        <v>8.4</v>
      </c>
      <c r="D45" s="1" t="s">
        <v>16</v>
      </c>
      <c r="E45" s="1" t="s">
        <v>55</v>
      </c>
      <c r="F45" s="1" t="s">
        <v>15</v>
      </c>
      <c r="G45" s="22" t="s">
        <v>91</v>
      </c>
      <c r="H45" s="3">
        <v>45670</v>
      </c>
      <c r="I45" s="1" t="s">
        <v>9</v>
      </c>
      <c r="J45" s="3">
        <v>45675</v>
      </c>
      <c r="K45" s="3"/>
      <c r="L45" s="24"/>
      <c r="M45" s="22" t="s">
        <v>15</v>
      </c>
      <c r="N45" s="1"/>
      <c r="O45" s="1"/>
    </row>
    <row r="46" spans="1:15" x14ac:dyDescent="0.25">
      <c r="A46" s="7" t="s">
        <v>145</v>
      </c>
      <c r="B46" s="1">
        <v>45000</v>
      </c>
      <c r="C46" s="1">
        <f t="shared" si="2"/>
        <v>45</v>
      </c>
      <c r="D46" s="1" t="s">
        <v>19</v>
      </c>
      <c r="E46" s="1" t="s">
        <v>61</v>
      </c>
      <c r="F46" s="1" t="s">
        <v>15</v>
      </c>
      <c r="G46" s="1" t="s">
        <v>13</v>
      </c>
      <c r="H46" s="3">
        <v>45683</v>
      </c>
      <c r="I46" s="1" t="s">
        <v>9</v>
      </c>
      <c r="J46" s="3">
        <v>45686</v>
      </c>
      <c r="K46" s="3" t="s">
        <v>157</v>
      </c>
      <c r="L46" s="24" t="s">
        <v>144</v>
      </c>
      <c r="M46" s="22"/>
      <c r="N46" s="1"/>
      <c r="O46" s="1"/>
    </row>
  </sheetData>
  <autoFilter ref="A1:O1" xr:uid="{00000000-0009-0000-0000-000003000000}">
    <sortState xmlns:xlrd2="http://schemas.microsoft.com/office/spreadsheetml/2017/richdata2" ref="A2:O22">
      <sortCondition ref="J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workbookViewId="0">
      <selection activeCell="E5" sqref="E5"/>
    </sheetView>
  </sheetViews>
  <sheetFormatPr defaultRowHeight="15" x14ac:dyDescent="0.25"/>
  <cols>
    <col min="1" max="1" width="11.42578125" customWidth="1"/>
    <col min="2" max="2" width="11.28515625" bestFit="1" customWidth="1"/>
    <col min="3" max="3" width="12.42578125" bestFit="1" customWidth="1"/>
    <col min="4" max="4" width="18.7109375" bestFit="1" customWidth="1"/>
    <col min="5" max="5" width="16.5703125" bestFit="1" customWidth="1"/>
    <col min="6" max="6" width="16" bestFit="1" customWidth="1"/>
    <col min="7" max="7" width="14.140625" bestFit="1" customWidth="1"/>
    <col min="8" max="8" width="14.5703125" bestFit="1" customWidth="1"/>
    <col min="9" max="9" width="18.7109375" bestFit="1" customWidth="1"/>
    <col min="10" max="10" width="11.28515625" bestFit="1" customWidth="1"/>
    <col min="11" max="11" width="9.42578125" bestFit="1" customWidth="1"/>
    <col min="12" max="12" width="38.5703125" bestFit="1" customWidth="1"/>
    <col min="13" max="13" width="8" bestFit="1" customWidth="1"/>
    <col min="14" max="14" width="7.140625" bestFit="1" customWidth="1"/>
    <col min="15" max="15" width="7.42578125" bestFit="1" customWidth="1"/>
  </cols>
  <sheetData>
    <row r="1" spans="1:15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101</v>
      </c>
      <c r="L1" s="2" t="s">
        <v>76</v>
      </c>
      <c r="M1" s="2" t="s">
        <v>58</v>
      </c>
      <c r="N1" s="2" t="s">
        <v>60</v>
      </c>
      <c r="O1" s="2" t="s">
        <v>167</v>
      </c>
    </row>
    <row r="2" spans="1:15" s="25" customFormat="1" x14ac:dyDescent="0.25">
      <c r="A2" s="25" t="s">
        <v>38</v>
      </c>
      <c r="C2" s="25" t="e">
        <f>#REF!/1000</f>
        <v>#REF!</v>
      </c>
      <c r="D2" s="25" t="s">
        <v>18</v>
      </c>
      <c r="E2" s="25" t="s">
        <v>173</v>
      </c>
      <c r="F2" s="25" t="s">
        <v>15</v>
      </c>
      <c r="G2" s="25" t="s">
        <v>13</v>
      </c>
      <c r="H2" s="26">
        <v>45682</v>
      </c>
      <c r="I2" s="25" t="s">
        <v>9</v>
      </c>
      <c r="J2" s="26">
        <v>45690</v>
      </c>
      <c r="K2" s="25" t="s">
        <v>147</v>
      </c>
      <c r="M2" s="25" t="s">
        <v>15</v>
      </c>
      <c r="N2" s="25" t="s">
        <v>15</v>
      </c>
    </row>
    <row r="3" spans="1:15" s="25" customFormat="1" x14ac:dyDescent="0.25">
      <c r="A3" s="25" t="s">
        <v>38</v>
      </c>
      <c r="C3" s="25" t="e">
        <f>#REF!/1000</f>
        <v>#REF!</v>
      </c>
      <c r="D3" s="25" t="s">
        <v>16</v>
      </c>
      <c r="E3" s="25" t="s">
        <v>42</v>
      </c>
      <c r="F3" s="25" t="s">
        <v>15</v>
      </c>
      <c r="G3" s="25" t="s">
        <v>14</v>
      </c>
      <c r="H3" s="26">
        <v>45689</v>
      </c>
      <c r="I3" s="25" t="s">
        <v>9</v>
      </c>
      <c r="J3" s="26">
        <v>45692</v>
      </c>
      <c r="M3" s="25" t="s">
        <v>15</v>
      </c>
    </row>
    <row r="4" spans="1:15" s="25" customFormat="1" x14ac:dyDescent="0.25">
      <c r="A4" s="25" t="s">
        <v>38</v>
      </c>
      <c r="C4" s="25" t="e">
        <f>#REF!/1000</f>
        <v>#REF!</v>
      </c>
      <c r="D4" s="25" t="s">
        <v>67</v>
      </c>
      <c r="E4" s="25" t="s">
        <v>172</v>
      </c>
      <c r="F4" s="25" t="s">
        <v>15</v>
      </c>
      <c r="G4" s="25" t="s">
        <v>14</v>
      </c>
      <c r="H4" s="26">
        <v>45686</v>
      </c>
      <c r="I4" s="25" t="s">
        <v>9</v>
      </c>
      <c r="J4" s="26">
        <v>45692</v>
      </c>
      <c r="M4" s="25" t="s">
        <v>15</v>
      </c>
    </row>
    <row r="5" spans="1:15" s="25" customFormat="1" x14ac:dyDescent="0.25">
      <c r="A5" s="25" t="s">
        <v>38</v>
      </c>
      <c r="C5" s="25" t="e">
        <f>#REF!/1000</f>
        <v>#REF!</v>
      </c>
      <c r="D5" s="25" t="s">
        <v>16</v>
      </c>
      <c r="E5" s="25" t="s">
        <v>121</v>
      </c>
      <c r="F5" s="25" t="s">
        <v>15</v>
      </c>
      <c r="G5" s="25" t="s">
        <v>54</v>
      </c>
      <c r="H5" s="26">
        <v>45691</v>
      </c>
      <c r="I5" s="25" t="s">
        <v>9</v>
      </c>
      <c r="J5" s="26">
        <v>45693</v>
      </c>
      <c r="K5" s="25" t="s">
        <v>157</v>
      </c>
      <c r="M5" s="25" t="s">
        <v>15</v>
      </c>
      <c r="O5" s="25" t="s">
        <v>15</v>
      </c>
    </row>
    <row r="6" spans="1:15" s="25" customFormat="1" x14ac:dyDescent="0.25">
      <c r="A6" s="25" t="s">
        <v>38</v>
      </c>
      <c r="C6" s="25" t="e">
        <f>#REF!/1000</f>
        <v>#REF!</v>
      </c>
      <c r="D6" s="25" t="s">
        <v>33</v>
      </c>
      <c r="E6" s="25" t="s">
        <v>151</v>
      </c>
      <c r="F6" s="25" t="s">
        <v>169</v>
      </c>
      <c r="G6" s="25" t="s">
        <v>31</v>
      </c>
      <c r="H6" s="26">
        <v>45678</v>
      </c>
      <c r="I6" s="25" t="s">
        <v>9</v>
      </c>
      <c r="J6" s="26">
        <v>45696</v>
      </c>
      <c r="K6" s="25" t="s">
        <v>116</v>
      </c>
      <c r="M6" s="25" t="s">
        <v>15</v>
      </c>
      <c r="N6" s="25" t="s">
        <v>15</v>
      </c>
    </row>
    <row r="7" spans="1:15" s="25" customFormat="1" x14ac:dyDescent="0.25">
      <c r="A7" s="25" t="s">
        <v>38</v>
      </c>
      <c r="C7" s="25" t="e">
        <f>#REF!/1000</f>
        <v>#REF!</v>
      </c>
      <c r="D7" s="25" t="s">
        <v>16</v>
      </c>
      <c r="E7" s="25" t="s">
        <v>120</v>
      </c>
      <c r="F7" s="25" t="s">
        <v>15</v>
      </c>
      <c r="G7" s="25" t="s">
        <v>14</v>
      </c>
      <c r="H7" s="26">
        <v>45693</v>
      </c>
      <c r="I7" s="25" t="s">
        <v>9</v>
      </c>
      <c r="J7" s="26">
        <v>45698</v>
      </c>
      <c r="M7" s="25" t="s">
        <v>15</v>
      </c>
    </row>
    <row r="8" spans="1:15" s="25" customFormat="1" x14ac:dyDescent="0.25">
      <c r="A8" s="25" t="s">
        <v>38</v>
      </c>
      <c r="C8" s="25" t="e">
        <f>#REF!/1000</f>
        <v>#REF!</v>
      </c>
      <c r="D8" s="25" t="s">
        <v>33</v>
      </c>
      <c r="E8" s="25" t="s">
        <v>168</v>
      </c>
      <c r="F8" s="25" t="s">
        <v>169</v>
      </c>
      <c r="G8" s="25" t="s">
        <v>31</v>
      </c>
      <c r="H8" s="26">
        <v>45678</v>
      </c>
      <c r="I8" s="25" t="s">
        <v>9</v>
      </c>
      <c r="J8" s="26">
        <v>45698</v>
      </c>
      <c r="K8" s="25" t="s">
        <v>116</v>
      </c>
      <c r="M8" s="25" t="s">
        <v>15</v>
      </c>
      <c r="N8" s="25" t="s">
        <v>15</v>
      </c>
    </row>
    <row r="9" spans="1:15" s="25" customFormat="1" x14ac:dyDescent="0.25">
      <c r="A9" s="25" t="s">
        <v>38</v>
      </c>
      <c r="C9" s="25" t="e">
        <f>#REF!/1000</f>
        <v>#REF!</v>
      </c>
      <c r="D9" s="25" t="s">
        <v>16</v>
      </c>
      <c r="E9" s="25" t="s">
        <v>140</v>
      </c>
      <c r="F9" s="25" t="s">
        <v>15</v>
      </c>
      <c r="G9" s="25" t="s">
        <v>14</v>
      </c>
      <c r="H9" s="26">
        <v>45697</v>
      </c>
      <c r="I9" s="25" t="s">
        <v>9</v>
      </c>
      <c r="J9" s="26">
        <v>45700</v>
      </c>
      <c r="M9" s="25" t="s">
        <v>15</v>
      </c>
    </row>
    <row r="10" spans="1:15" s="25" customFormat="1" x14ac:dyDescent="0.25">
      <c r="A10" s="25" t="s">
        <v>38</v>
      </c>
      <c r="C10" s="25" t="e">
        <f>#REF!/1000</f>
        <v>#REF!</v>
      </c>
      <c r="D10" s="25" t="s">
        <v>16</v>
      </c>
      <c r="E10" s="25" t="s">
        <v>175</v>
      </c>
      <c r="F10" s="25" t="s">
        <v>15</v>
      </c>
      <c r="G10" s="25" t="s">
        <v>14</v>
      </c>
      <c r="H10" s="26">
        <v>45697</v>
      </c>
      <c r="I10" s="25" t="s">
        <v>9</v>
      </c>
      <c r="J10" s="26">
        <v>45701</v>
      </c>
      <c r="M10" s="25" t="s">
        <v>15</v>
      </c>
    </row>
    <row r="11" spans="1:15" s="25" customFormat="1" x14ac:dyDescent="0.25">
      <c r="A11" s="25" t="s">
        <v>38</v>
      </c>
      <c r="C11" s="25" t="e">
        <f>#REF!/1000</f>
        <v>#REF!</v>
      </c>
      <c r="D11" s="25" t="s">
        <v>29</v>
      </c>
      <c r="E11" s="25" t="s">
        <v>177</v>
      </c>
      <c r="F11" s="25" t="s">
        <v>15</v>
      </c>
      <c r="G11" s="25" t="s">
        <v>12</v>
      </c>
      <c r="H11" s="26">
        <v>45697</v>
      </c>
      <c r="I11" s="25" t="s">
        <v>9</v>
      </c>
      <c r="J11" s="26">
        <v>45701</v>
      </c>
      <c r="M11" s="25" t="s">
        <v>15</v>
      </c>
    </row>
    <row r="12" spans="1:15" s="25" customFormat="1" x14ac:dyDescent="0.25">
      <c r="A12" s="25" t="s">
        <v>38</v>
      </c>
      <c r="C12" s="25" t="e">
        <f>#REF!/1000</f>
        <v>#REF!</v>
      </c>
      <c r="D12" s="25" t="s">
        <v>16</v>
      </c>
      <c r="E12" s="25" t="s">
        <v>52</v>
      </c>
      <c r="F12" s="25" t="s">
        <v>15</v>
      </c>
      <c r="G12" s="25" t="s">
        <v>14</v>
      </c>
      <c r="H12" s="26">
        <v>45700</v>
      </c>
      <c r="I12" s="25" t="s">
        <v>9</v>
      </c>
      <c r="J12" s="26">
        <v>45705</v>
      </c>
      <c r="M12" s="25" t="s">
        <v>15</v>
      </c>
    </row>
    <row r="13" spans="1:15" s="25" customFormat="1" x14ac:dyDescent="0.25">
      <c r="A13" s="25" t="s">
        <v>38</v>
      </c>
      <c r="C13" s="25" t="e">
        <f>#REF!/1000</f>
        <v>#REF!</v>
      </c>
      <c r="D13" s="25" t="s">
        <v>16</v>
      </c>
      <c r="E13" s="25" t="s">
        <v>125</v>
      </c>
      <c r="F13" s="25" t="s">
        <v>15</v>
      </c>
      <c r="G13" s="25" t="s">
        <v>14</v>
      </c>
      <c r="H13" s="26">
        <v>45703</v>
      </c>
      <c r="I13" s="25" t="s">
        <v>9</v>
      </c>
      <c r="J13" s="26">
        <v>45706</v>
      </c>
      <c r="M13" s="25" t="s">
        <v>15</v>
      </c>
    </row>
    <row r="14" spans="1:15" s="25" customFormat="1" x14ac:dyDescent="0.25">
      <c r="A14" s="25" t="s">
        <v>38</v>
      </c>
      <c r="C14" s="25" t="e">
        <f>#REF!/1000</f>
        <v>#REF!</v>
      </c>
      <c r="D14" s="25" t="s">
        <v>70</v>
      </c>
      <c r="E14" s="25" t="s">
        <v>176</v>
      </c>
      <c r="F14" s="25" t="s">
        <v>15</v>
      </c>
      <c r="G14" s="25" t="s">
        <v>123</v>
      </c>
      <c r="H14" s="26">
        <v>45694</v>
      </c>
      <c r="I14" s="25" t="s">
        <v>9</v>
      </c>
      <c r="J14" s="26">
        <v>45708</v>
      </c>
      <c r="K14" s="25" t="s">
        <v>147</v>
      </c>
      <c r="L14" s="26"/>
      <c r="M14" s="25" t="s">
        <v>15</v>
      </c>
    </row>
    <row r="15" spans="1:15" s="25" customFormat="1" x14ac:dyDescent="0.25">
      <c r="A15" s="25" t="s">
        <v>117</v>
      </c>
      <c r="C15" s="25" t="e">
        <f>#REF!/1000</f>
        <v>#REF!</v>
      </c>
      <c r="D15" s="25" t="s">
        <v>33</v>
      </c>
      <c r="E15" s="25" t="s">
        <v>178</v>
      </c>
      <c r="F15" s="25" t="s">
        <v>15</v>
      </c>
      <c r="G15" s="25" t="s">
        <v>13</v>
      </c>
      <c r="H15" s="26">
        <v>45707</v>
      </c>
      <c r="I15" s="25" t="s">
        <v>9</v>
      </c>
      <c r="J15" s="26">
        <v>45710</v>
      </c>
      <c r="L15" s="25" t="s">
        <v>86</v>
      </c>
      <c r="M15" s="25" t="s">
        <v>15</v>
      </c>
      <c r="O15" s="25" t="s">
        <v>15</v>
      </c>
    </row>
    <row r="16" spans="1:15" s="25" customFormat="1" x14ac:dyDescent="0.25">
      <c r="A16" s="25" t="s">
        <v>73</v>
      </c>
      <c r="C16" s="25" t="e">
        <f>#REF!/1000</f>
        <v>#REF!</v>
      </c>
      <c r="D16" s="25" t="s">
        <v>33</v>
      </c>
      <c r="E16" s="25" t="s">
        <v>179</v>
      </c>
      <c r="F16" s="25" t="s">
        <v>15</v>
      </c>
      <c r="G16" s="25" t="s">
        <v>110</v>
      </c>
      <c r="H16" s="26">
        <v>45694</v>
      </c>
      <c r="I16" s="25" t="s">
        <v>9</v>
      </c>
      <c r="J16" s="26">
        <v>45713</v>
      </c>
      <c r="K16" s="25" t="s">
        <v>113</v>
      </c>
      <c r="M16" s="25" t="s">
        <v>15</v>
      </c>
      <c r="O16" s="25" t="s">
        <v>15</v>
      </c>
    </row>
    <row r="17" spans="1:15" s="25" customFormat="1" x14ac:dyDescent="0.25">
      <c r="A17" s="25" t="s">
        <v>73</v>
      </c>
      <c r="C17" s="25" t="e">
        <f>#REF!/1000</f>
        <v>#REF!</v>
      </c>
      <c r="D17" s="25" t="s">
        <v>16</v>
      </c>
      <c r="E17" s="25" t="s">
        <v>52</v>
      </c>
      <c r="F17" s="25" t="s">
        <v>15</v>
      </c>
      <c r="G17" s="25" t="s">
        <v>14</v>
      </c>
      <c r="H17" s="26">
        <v>45710</v>
      </c>
      <c r="I17" s="25" t="s">
        <v>9</v>
      </c>
      <c r="J17" s="26">
        <v>45714</v>
      </c>
      <c r="M17" s="25" t="s">
        <v>15</v>
      </c>
    </row>
    <row r="18" spans="1:15" s="25" customFormat="1" x14ac:dyDescent="0.25">
      <c r="A18" s="25" t="s">
        <v>73</v>
      </c>
      <c r="C18" s="25" t="e">
        <f>#REF!/1000</f>
        <v>#REF!</v>
      </c>
      <c r="D18" s="25" t="s">
        <v>19</v>
      </c>
      <c r="E18" s="25" t="s">
        <v>182</v>
      </c>
      <c r="F18" s="25" t="s">
        <v>15</v>
      </c>
      <c r="G18" s="25" t="s">
        <v>123</v>
      </c>
      <c r="H18" s="26">
        <v>45700</v>
      </c>
      <c r="I18" s="25" t="s">
        <v>9</v>
      </c>
      <c r="J18" s="26">
        <v>45716</v>
      </c>
      <c r="K18" s="25" t="s">
        <v>111</v>
      </c>
      <c r="L18" s="26" t="s">
        <v>181</v>
      </c>
      <c r="M18" s="25" t="s">
        <v>15</v>
      </c>
    </row>
    <row r="19" spans="1:15" s="25" customFormat="1" ht="15.75" thickBot="1" x14ac:dyDescent="0.3">
      <c r="A19" s="25" t="s">
        <v>73</v>
      </c>
      <c r="C19" s="25" t="e">
        <f>#REF!/1000</f>
        <v>#REF!</v>
      </c>
      <c r="D19" s="25" t="s">
        <v>16</v>
      </c>
      <c r="E19" s="25" t="s">
        <v>180</v>
      </c>
      <c r="F19" s="25" t="s">
        <v>15</v>
      </c>
      <c r="G19" s="25" t="s">
        <v>14</v>
      </c>
      <c r="H19" s="26">
        <v>45708</v>
      </c>
      <c r="I19" s="25" t="s">
        <v>9</v>
      </c>
      <c r="J19" s="26">
        <v>45716</v>
      </c>
      <c r="M19" s="25" t="s">
        <v>15</v>
      </c>
    </row>
    <row r="20" spans="1:15" ht="15.75" thickBot="1" x14ac:dyDescent="0.3">
      <c r="A20" s="28" t="s">
        <v>37</v>
      </c>
      <c r="B20" s="29" t="e">
        <f>SUM(#REF!)</f>
        <v>#REF!</v>
      </c>
      <c r="C20" s="29" t="e">
        <f>SUM(C2:C19)</f>
        <v>#REF!</v>
      </c>
      <c r="D20" s="29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1"/>
    </row>
    <row r="21" spans="1:15" s="1" customFormat="1" x14ac:dyDescent="0.25"/>
    <row r="22" spans="1:15" s="1" customFormat="1" x14ac:dyDescent="0.25"/>
    <row r="23" spans="1:15" x14ac:dyDescent="0.25">
      <c r="A23" s="5" t="s">
        <v>0</v>
      </c>
      <c r="B23" s="2" t="s">
        <v>1</v>
      </c>
      <c r="C23" s="2" t="s">
        <v>2</v>
      </c>
      <c r="D23" s="2" t="s">
        <v>3</v>
      </c>
      <c r="E23" s="2" t="s">
        <v>20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101</v>
      </c>
      <c r="L23" s="2" t="s">
        <v>76</v>
      </c>
      <c r="M23" s="2" t="s">
        <v>58</v>
      </c>
      <c r="N23" s="2" t="s">
        <v>60</v>
      </c>
      <c r="O23" s="2" t="s">
        <v>167</v>
      </c>
    </row>
    <row r="24" spans="1:15" ht="15.75" thickBot="1" x14ac:dyDescent="0.3">
      <c r="A24" t="s">
        <v>73</v>
      </c>
      <c r="B24">
        <v>130000</v>
      </c>
      <c r="C24">
        <f>B24/1000</f>
        <v>130</v>
      </c>
      <c r="D24" t="s">
        <v>70</v>
      </c>
      <c r="E24" t="s">
        <v>174</v>
      </c>
      <c r="F24" t="s">
        <v>169</v>
      </c>
      <c r="G24" t="s">
        <v>166</v>
      </c>
      <c r="H24" s="37">
        <v>45667</v>
      </c>
      <c r="I24" t="s">
        <v>9</v>
      </c>
      <c r="J24" s="37">
        <v>45716</v>
      </c>
      <c r="K24" t="s">
        <v>108</v>
      </c>
      <c r="L24" s="37"/>
      <c r="M24" t="s">
        <v>15</v>
      </c>
      <c r="N24" t="s">
        <v>15</v>
      </c>
    </row>
    <row r="25" spans="1:15" ht="15.75" thickBot="1" x14ac:dyDescent="0.3">
      <c r="A25" s="28" t="s">
        <v>37</v>
      </c>
      <c r="B25" s="29">
        <f>SUM(B24:B24)</f>
        <v>130000</v>
      </c>
      <c r="C25" s="29">
        <f>SUM(C24:C24)</f>
        <v>130</v>
      </c>
      <c r="D25" s="29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1"/>
    </row>
    <row r="29" spans="1:15" x14ac:dyDescent="0.25">
      <c r="F29" s="25"/>
    </row>
  </sheetData>
  <autoFilter ref="A1:O1" xr:uid="{00000000-0009-0000-0000-000004000000}">
    <sortState xmlns:xlrd2="http://schemas.microsoft.com/office/spreadsheetml/2017/richdata2" ref="A2:O20">
      <sortCondition ref="J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8"/>
  <sheetViews>
    <sheetView workbookViewId="0">
      <selection activeCell="E11" sqref="E11"/>
    </sheetView>
  </sheetViews>
  <sheetFormatPr defaultRowHeight="15" x14ac:dyDescent="0.25"/>
  <cols>
    <col min="2" max="2" width="11.42578125" customWidth="1"/>
    <col min="3" max="3" width="11.28515625" bestFit="1" customWidth="1"/>
    <col min="4" max="4" width="12.42578125" bestFit="1" customWidth="1"/>
    <col min="5" max="5" width="18.7109375" bestFit="1" customWidth="1"/>
    <col min="6" max="6" width="16.5703125" bestFit="1" customWidth="1"/>
    <col min="7" max="7" width="16" bestFit="1" customWidth="1"/>
    <col min="8" max="8" width="14.140625" bestFit="1" customWidth="1"/>
    <col min="9" max="9" width="14.5703125" bestFit="1" customWidth="1"/>
    <col min="10" max="10" width="18.7109375" bestFit="1" customWidth="1"/>
    <col min="11" max="11" width="11.28515625" bestFit="1" customWidth="1"/>
    <col min="12" max="12" width="9.42578125" bestFit="1" customWidth="1"/>
    <col min="13" max="13" width="38.5703125" bestFit="1" customWidth="1"/>
    <col min="14" max="14" width="8" bestFit="1" customWidth="1"/>
    <col min="15" max="15" width="7.140625" bestFit="1" customWidth="1"/>
    <col min="16" max="16" width="7.42578125" bestFit="1" customWidth="1"/>
  </cols>
  <sheetData>
    <row r="1" spans="1:16" x14ac:dyDescent="0.25">
      <c r="A1" s="5" t="s">
        <v>189</v>
      </c>
      <c r="B1" s="5" t="s">
        <v>0</v>
      </c>
      <c r="C1" s="2" t="s">
        <v>1</v>
      </c>
      <c r="D1" s="2" t="s">
        <v>2</v>
      </c>
      <c r="E1" s="2" t="s">
        <v>3</v>
      </c>
      <c r="F1" s="2" t="s">
        <v>20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101</v>
      </c>
      <c r="M1" s="2" t="s">
        <v>76</v>
      </c>
      <c r="N1" s="2" t="s">
        <v>58</v>
      </c>
      <c r="O1" s="2" t="s">
        <v>60</v>
      </c>
      <c r="P1" s="2" t="s">
        <v>167</v>
      </c>
    </row>
    <row r="2" spans="1:16" x14ac:dyDescent="0.25">
      <c r="B2" t="s">
        <v>117</v>
      </c>
      <c r="C2">
        <v>75000</v>
      </c>
      <c r="D2">
        <f t="shared" ref="D2:D12" si="0">C2/1000</f>
        <v>75</v>
      </c>
      <c r="E2" t="s">
        <v>17</v>
      </c>
      <c r="F2" s="39" t="s">
        <v>183</v>
      </c>
      <c r="G2" t="s">
        <v>15</v>
      </c>
      <c r="H2" t="s">
        <v>184</v>
      </c>
      <c r="I2" s="37">
        <v>45696</v>
      </c>
      <c r="J2" t="s">
        <v>9</v>
      </c>
      <c r="K2" s="37">
        <v>45719</v>
      </c>
      <c r="M2" s="37" t="s">
        <v>86</v>
      </c>
      <c r="N2" t="s">
        <v>15</v>
      </c>
    </row>
    <row r="3" spans="1:16" x14ac:dyDescent="0.25">
      <c r="B3" t="s">
        <v>117</v>
      </c>
      <c r="C3">
        <v>16500</v>
      </c>
      <c r="D3">
        <f t="shared" si="0"/>
        <v>16.5</v>
      </c>
      <c r="E3" t="s">
        <v>16</v>
      </c>
      <c r="F3" t="s">
        <v>120</v>
      </c>
      <c r="G3" t="s">
        <v>15</v>
      </c>
      <c r="H3" t="s">
        <v>14</v>
      </c>
      <c r="I3" s="37">
        <v>45715</v>
      </c>
      <c r="J3" t="s">
        <v>9</v>
      </c>
      <c r="K3" s="37">
        <v>45719</v>
      </c>
      <c r="M3" s="37"/>
      <c r="N3" t="s">
        <v>15</v>
      </c>
    </row>
    <row r="4" spans="1:16" x14ac:dyDescent="0.25">
      <c r="B4" t="s">
        <v>73</v>
      </c>
      <c r="C4">
        <v>45000</v>
      </c>
      <c r="D4">
        <f t="shared" si="0"/>
        <v>45</v>
      </c>
      <c r="E4" t="s">
        <v>19</v>
      </c>
      <c r="F4" s="39" t="s">
        <v>185</v>
      </c>
      <c r="G4" t="s">
        <v>15</v>
      </c>
      <c r="H4" t="s">
        <v>95</v>
      </c>
      <c r="I4" s="37">
        <v>45704</v>
      </c>
      <c r="J4" t="s">
        <v>9</v>
      </c>
      <c r="K4" s="37">
        <v>45720</v>
      </c>
      <c r="L4" t="s">
        <v>157</v>
      </c>
      <c r="M4" s="37" t="s">
        <v>186</v>
      </c>
      <c r="N4" t="s">
        <v>163</v>
      </c>
    </row>
    <row r="5" spans="1:16" x14ac:dyDescent="0.25">
      <c r="B5" t="s">
        <v>73</v>
      </c>
      <c r="C5">
        <v>17000</v>
      </c>
      <c r="D5">
        <f t="shared" si="0"/>
        <v>17</v>
      </c>
      <c r="E5" t="s">
        <v>16</v>
      </c>
      <c r="F5" t="s">
        <v>84</v>
      </c>
      <c r="G5" t="s">
        <v>15</v>
      </c>
      <c r="H5" t="s">
        <v>14</v>
      </c>
      <c r="I5" s="37">
        <v>45718</v>
      </c>
      <c r="J5" t="s">
        <v>9</v>
      </c>
      <c r="K5" s="37">
        <v>45721</v>
      </c>
      <c r="M5" s="37"/>
      <c r="N5" t="s">
        <v>15</v>
      </c>
    </row>
    <row r="6" spans="1:16" x14ac:dyDescent="0.25">
      <c r="B6" t="s">
        <v>73</v>
      </c>
      <c r="C6">
        <v>40000</v>
      </c>
      <c r="D6">
        <f t="shared" si="0"/>
        <v>40</v>
      </c>
      <c r="G6" t="s">
        <v>15</v>
      </c>
      <c r="H6" t="s">
        <v>13</v>
      </c>
      <c r="I6" s="37"/>
      <c r="J6" t="s">
        <v>9</v>
      </c>
      <c r="K6" s="37">
        <v>45726</v>
      </c>
      <c r="M6" s="37" t="s">
        <v>214</v>
      </c>
      <c r="N6" t="s">
        <v>15</v>
      </c>
    </row>
    <row r="7" spans="1:16" x14ac:dyDescent="0.25">
      <c r="B7" t="s">
        <v>73</v>
      </c>
      <c r="C7">
        <v>72000</v>
      </c>
      <c r="D7">
        <f t="shared" si="0"/>
        <v>72</v>
      </c>
      <c r="E7" t="s">
        <v>17</v>
      </c>
      <c r="F7" s="39" t="s">
        <v>187</v>
      </c>
      <c r="G7" t="s">
        <v>15</v>
      </c>
      <c r="H7" t="s">
        <v>184</v>
      </c>
      <c r="I7" s="37">
        <v>45706</v>
      </c>
      <c r="J7" t="s">
        <v>9</v>
      </c>
      <c r="K7" s="37">
        <v>45727</v>
      </c>
      <c r="M7" s="37"/>
      <c r="N7" t="s">
        <v>15</v>
      </c>
    </row>
    <row r="8" spans="1:16" x14ac:dyDescent="0.25">
      <c r="B8" t="s">
        <v>73</v>
      </c>
      <c r="C8">
        <v>72000</v>
      </c>
      <c r="D8">
        <f t="shared" si="0"/>
        <v>72</v>
      </c>
      <c r="E8" t="s">
        <v>17</v>
      </c>
      <c r="F8" s="39" t="s">
        <v>188</v>
      </c>
      <c r="G8" t="s">
        <v>15</v>
      </c>
      <c r="H8" t="s">
        <v>184</v>
      </c>
      <c r="I8" s="37">
        <v>45710</v>
      </c>
      <c r="J8" t="s">
        <v>9</v>
      </c>
      <c r="K8" s="37">
        <v>45729</v>
      </c>
      <c r="M8" s="37"/>
      <c r="N8" t="s">
        <v>15</v>
      </c>
    </row>
    <row r="9" spans="1:16" x14ac:dyDescent="0.25">
      <c r="B9" t="s">
        <v>73</v>
      </c>
      <c r="C9">
        <v>40000</v>
      </c>
      <c r="D9">
        <f t="shared" si="0"/>
        <v>40</v>
      </c>
      <c r="G9" t="s">
        <v>15</v>
      </c>
      <c r="H9" t="s">
        <v>14</v>
      </c>
      <c r="I9" s="37"/>
      <c r="J9" t="s">
        <v>9</v>
      </c>
      <c r="K9" s="37">
        <v>45731</v>
      </c>
      <c r="M9" s="37" t="s">
        <v>215</v>
      </c>
      <c r="N9" t="s">
        <v>15</v>
      </c>
    </row>
    <row r="10" spans="1:16" x14ac:dyDescent="0.25">
      <c r="B10" t="s">
        <v>73</v>
      </c>
      <c r="C10">
        <v>72000</v>
      </c>
      <c r="D10">
        <f t="shared" si="0"/>
        <v>72</v>
      </c>
      <c r="E10" t="s">
        <v>92</v>
      </c>
      <c r="F10" t="s">
        <v>93</v>
      </c>
      <c r="G10" t="s">
        <v>15</v>
      </c>
      <c r="H10" t="s">
        <v>184</v>
      </c>
      <c r="I10" s="37">
        <v>45711</v>
      </c>
      <c r="J10" t="s">
        <v>9</v>
      </c>
      <c r="K10" s="37">
        <v>45732</v>
      </c>
      <c r="M10" s="37"/>
      <c r="N10" t="s">
        <v>15</v>
      </c>
    </row>
    <row r="11" spans="1:16" x14ac:dyDescent="0.25">
      <c r="B11" t="s">
        <v>73</v>
      </c>
      <c r="C11">
        <v>95000</v>
      </c>
      <c r="D11">
        <f t="shared" si="0"/>
        <v>95</v>
      </c>
      <c r="E11" t="s">
        <v>18</v>
      </c>
      <c r="F11" t="s">
        <v>212</v>
      </c>
      <c r="G11" t="s">
        <v>15</v>
      </c>
      <c r="H11" t="s">
        <v>11</v>
      </c>
      <c r="I11" s="37">
        <v>45718</v>
      </c>
      <c r="J11" t="s">
        <v>9</v>
      </c>
      <c r="K11" s="37">
        <v>45736</v>
      </c>
      <c r="M11" s="37"/>
      <c r="N11" t="s">
        <v>163</v>
      </c>
    </row>
    <row r="12" spans="1:16" ht="15.75" thickBot="1" x14ac:dyDescent="0.3">
      <c r="B12" t="s">
        <v>73</v>
      </c>
      <c r="C12">
        <v>40000</v>
      </c>
      <c r="D12">
        <f t="shared" si="0"/>
        <v>40</v>
      </c>
      <c r="G12" t="s">
        <v>15</v>
      </c>
      <c r="H12" t="s">
        <v>13</v>
      </c>
      <c r="I12" s="37"/>
      <c r="J12" t="s">
        <v>9</v>
      </c>
      <c r="K12" s="37">
        <v>45736</v>
      </c>
      <c r="M12" s="37" t="s">
        <v>214</v>
      </c>
      <c r="N12" t="s">
        <v>15</v>
      </c>
    </row>
    <row r="13" spans="1:16" ht="15.75" thickBot="1" x14ac:dyDescent="0.3">
      <c r="A13" s="28"/>
      <c r="B13" s="28" t="s">
        <v>37</v>
      </c>
      <c r="C13" s="29">
        <f>SUM(C2:C12)</f>
        <v>584500</v>
      </c>
      <c r="D13" s="29">
        <f>SUM(D2:D12)</f>
        <v>584.5</v>
      </c>
      <c r="E13" s="29"/>
      <c r="F13" s="29"/>
      <c r="G13" s="30"/>
      <c r="H13" s="30"/>
      <c r="I13" s="30"/>
      <c r="J13" s="30"/>
      <c r="K13" s="30"/>
      <c r="L13" s="30"/>
      <c r="M13" s="30"/>
      <c r="N13" s="30"/>
      <c r="O13" s="30"/>
      <c r="P13" s="31"/>
    </row>
    <row r="14" spans="1:16" s="1" customFormat="1" x14ac:dyDescent="0.25"/>
    <row r="15" spans="1:16" s="22" customFormat="1" x14ac:dyDescent="0.25"/>
    <row r="16" spans="1:16" x14ac:dyDescent="0.25">
      <c r="A16" s="5"/>
      <c r="B16" s="5" t="s">
        <v>0</v>
      </c>
      <c r="C16" s="2" t="s">
        <v>1</v>
      </c>
      <c r="D16" s="2" t="s">
        <v>2</v>
      </c>
      <c r="E16" s="2" t="s">
        <v>3</v>
      </c>
      <c r="F16" s="2" t="s">
        <v>20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101</v>
      </c>
      <c r="M16" s="2" t="s">
        <v>76</v>
      </c>
      <c r="N16" s="2" t="s">
        <v>58</v>
      </c>
      <c r="O16" s="2" t="s">
        <v>60</v>
      </c>
      <c r="P16" s="2" t="s">
        <v>167</v>
      </c>
    </row>
    <row r="17" spans="1:16" ht="15.75" thickBot="1" x14ac:dyDescent="0.3">
      <c r="B17" t="s">
        <v>73</v>
      </c>
      <c r="C17">
        <v>160000</v>
      </c>
      <c r="D17">
        <f>C17/1000</f>
        <v>160</v>
      </c>
      <c r="E17" t="s">
        <v>70</v>
      </c>
      <c r="F17" t="s">
        <v>211</v>
      </c>
      <c r="G17" t="s">
        <v>213</v>
      </c>
      <c r="H17" t="s">
        <v>166</v>
      </c>
      <c r="I17" s="37">
        <v>45716</v>
      </c>
      <c r="J17" t="s">
        <v>9</v>
      </c>
      <c r="K17" s="37">
        <v>45748</v>
      </c>
      <c r="L17" t="s">
        <v>108</v>
      </c>
      <c r="M17" s="37"/>
      <c r="N17" t="s">
        <v>15</v>
      </c>
    </row>
    <row r="18" spans="1:16" ht="15.75" thickBot="1" x14ac:dyDescent="0.3">
      <c r="A18" s="28"/>
      <c r="B18" s="28" t="s">
        <v>37</v>
      </c>
      <c r="C18" s="29">
        <f>SUM(C17:C17)</f>
        <v>160000</v>
      </c>
      <c r="D18" s="29">
        <f>SUM(D17:D17)</f>
        <v>160</v>
      </c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1"/>
    </row>
    <row r="26" spans="1:16" x14ac:dyDescent="0.25">
      <c r="A26" s="5"/>
      <c r="B26" s="5" t="s">
        <v>0</v>
      </c>
      <c r="C26" s="2" t="s">
        <v>1</v>
      </c>
      <c r="D26" s="2" t="s">
        <v>2</v>
      </c>
      <c r="E26" s="2" t="s">
        <v>3</v>
      </c>
      <c r="F26" s="2" t="s">
        <v>20</v>
      </c>
      <c r="G26" s="2" t="s">
        <v>4</v>
      </c>
      <c r="H26" s="2" t="s">
        <v>5</v>
      </c>
      <c r="I26" s="2" t="s">
        <v>6</v>
      </c>
      <c r="J26" s="2" t="s">
        <v>7</v>
      </c>
      <c r="K26" s="2" t="s">
        <v>8</v>
      </c>
      <c r="L26" s="2" t="s">
        <v>101</v>
      </c>
      <c r="M26" s="2" t="s">
        <v>76</v>
      </c>
      <c r="N26" s="2" t="s">
        <v>58</v>
      </c>
      <c r="O26" s="2" t="s">
        <v>60</v>
      </c>
      <c r="P26" s="2" t="s">
        <v>167</v>
      </c>
    </row>
    <row r="27" spans="1:16" ht="15.75" thickBot="1" x14ac:dyDescent="0.3">
      <c r="B27" t="s">
        <v>73</v>
      </c>
      <c r="C27">
        <v>130000</v>
      </c>
      <c r="D27">
        <f>C27/1000</f>
        <v>130</v>
      </c>
      <c r="E27" t="s">
        <v>70</v>
      </c>
      <c r="F27" t="s">
        <v>174</v>
      </c>
      <c r="G27" t="s">
        <v>210</v>
      </c>
      <c r="H27" t="s">
        <v>166</v>
      </c>
      <c r="I27" s="37">
        <v>45667</v>
      </c>
      <c r="J27" t="s">
        <v>9</v>
      </c>
      <c r="K27" s="37">
        <v>45716</v>
      </c>
      <c r="L27" t="s">
        <v>108</v>
      </c>
      <c r="M27" s="37"/>
      <c r="N27" t="s">
        <v>15</v>
      </c>
      <c r="O27" t="s">
        <v>15</v>
      </c>
    </row>
    <row r="28" spans="1:16" ht="15.75" thickBot="1" x14ac:dyDescent="0.3">
      <c r="A28" s="28"/>
      <c r="B28" s="28" t="s">
        <v>37</v>
      </c>
      <c r="C28" s="29">
        <f>SUM(C27:C27)</f>
        <v>130000</v>
      </c>
      <c r="D28" s="29">
        <f>SUM(D27:D27)</f>
        <v>130</v>
      </c>
      <c r="E28" s="29"/>
      <c r="F28" s="29"/>
      <c r="G28" s="30"/>
      <c r="H28" s="30"/>
      <c r="I28" s="30"/>
      <c r="J28" s="30"/>
      <c r="K28" s="30"/>
      <c r="L28" s="30"/>
      <c r="M28" s="30"/>
      <c r="N28" s="30"/>
      <c r="O28" s="30"/>
      <c r="P28" s="31"/>
    </row>
  </sheetData>
  <autoFilter ref="B1:P1" xr:uid="{00000000-0009-0000-0000-000005000000}">
    <sortState xmlns:xlrd2="http://schemas.microsoft.com/office/spreadsheetml/2017/richdata2" ref="B2:P13">
      <sortCondition ref="K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workbookViewId="0">
      <selection activeCell="E11" sqref="E11"/>
    </sheetView>
  </sheetViews>
  <sheetFormatPr defaultRowHeight="15" x14ac:dyDescent="0.25"/>
  <cols>
    <col min="2" max="2" width="11.140625" bestFit="1" customWidth="1"/>
    <col min="4" max="4" width="16.85546875" bestFit="1" customWidth="1"/>
    <col min="5" max="5" width="27.28515625" bestFit="1" customWidth="1"/>
    <col min="6" max="6" width="18.7109375" bestFit="1" customWidth="1"/>
    <col min="7" max="7" width="18.7109375" customWidth="1"/>
    <col min="9" max="9" width="13.42578125" bestFit="1" customWidth="1"/>
    <col min="10" max="10" width="12.85546875" customWidth="1"/>
    <col min="11" max="12" width="9.42578125" customWidth="1"/>
    <col min="13" max="13" width="10.140625" bestFit="1" customWidth="1"/>
    <col min="14" max="17" width="9.42578125" customWidth="1"/>
    <col min="18" max="18" width="11.42578125" bestFit="1" customWidth="1"/>
    <col min="19" max="19" width="15.140625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s="1" customFormat="1" x14ac:dyDescent="0.25">
      <c r="B2" s="1" t="s">
        <v>38</v>
      </c>
      <c r="C2" s="1">
        <v>9831024</v>
      </c>
      <c r="D2" s="1" t="s">
        <v>120</v>
      </c>
      <c r="E2" s="1" t="s">
        <v>217</v>
      </c>
      <c r="F2" s="1" t="s">
        <v>57</v>
      </c>
      <c r="G2" s="1" t="s">
        <v>201</v>
      </c>
      <c r="H2" s="1" t="s">
        <v>196</v>
      </c>
      <c r="I2" s="1" t="s">
        <v>15</v>
      </c>
      <c r="J2" s="1">
        <v>17</v>
      </c>
      <c r="K2" s="1" t="s">
        <v>199</v>
      </c>
      <c r="M2" s="3">
        <v>45721</v>
      </c>
      <c r="S2" s="3">
        <v>45745</v>
      </c>
    </row>
    <row r="3" spans="1:20" s="1" customFormat="1" x14ac:dyDescent="0.25">
      <c r="B3" s="1" t="s">
        <v>38</v>
      </c>
      <c r="C3" s="1">
        <v>9467811</v>
      </c>
      <c r="D3" s="1" t="s">
        <v>183</v>
      </c>
      <c r="E3" s="1" t="s">
        <v>218</v>
      </c>
      <c r="F3" s="1" t="s">
        <v>57</v>
      </c>
      <c r="G3" s="1" t="s">
        <v>201</v>
      </c>
      <c r="H3" s="1" t="s">
        <v>196</v>
      </c>
      <c r="I3" s="1" t="s">
        <v>15</v>
      </c>
      <c r="J3" s="1">
        <v>70</v>
      </c>
      <c r="K3" s="1" t="s">
        <v>199</v>
      </c>
      <c r="M3" s="3">
        <v>45722</v>
      </c>
      <c r="S3" s="3">
        <v>45745</v>
      </c>
    </row>
    <row r="4" spans="1:20" s="1" customFormat="1" x14ac:dyDescent="0.25">
      <c r="B4" s="1" t="s">
        <v>38</v>
      </c>
      <c r="C4" s="1">
        <v>9718791</v>
      </c>
      <c r="D4" s="1" t="s">
        <v>185</v>
      </c>
      <c r="E4" s="1" t="s">
        <v>220</v>
      </c>
      <c r="F4" s="1" t="s">
        <v>57</v>
      </c>
      <c r="G4" s="1" t="s">
        <v>201</v>
      </c>
      <c r="H4" s="1" t="s">
        <v>196</v>
      </c>
      <c r="I4" s="1" t="s">
        <v>15</v>
      </c>
      <c r="J4" s="1">
        <v>45</v>
      </c>
      <c r="K4" s="1" t="s">
        <v>199</v>
      </c>
      <c r="M4" s="3">
        <v>45725</v>
      </c>
      <c r="O4" s="1" t="s">
        <v>157</v>
      </c>
      <c r="S4" s="3">
        <v>45745</v>
      </c>
    </row>
    <row r="5" spans="1:20" s="1" customFormat="1" x14ac:dyDescent="0.25">
      <c r="B5" s="1" t="s">
        <v>38</v>
      </c>
      <c r="C5" s="1">
        <v>9447328</v>
      </c>
      <c r="D5" s="1" t="s">
        <v>84</v>
      </c>
      <c r="E5" s="1" t="s">
        <v>217</v>
      </c>
      <c r="F5" s="1" t="s">
        <v>57</v>
      </c>
      <c r="G5" s="1" t="s">
        <v>201</v>
      </c>
      <c r="H5" s="1" t="s">
        <v>196</v>
      </c>
      <c r="I5" s="1" t="s">
        <v>15</v>
      </c>
      <c r="J5" s="1">
        <v>17</v>
      </c>
      <c r="K5" s="1" t="s">
        <v>199</v>
      </c>
      <c r="M5" s="3">
        <v>45725</v>
      </c>
      <c r="S5" s="3">
        <v>45745</v>
      </c>
    </row>
    <row r="6" spans="1:20" s="1" customFormat="1" x14ac:dyDescent="0.25">
      <c r="B6" s="1" t="s">
        <v>38</v>
      </c>
      <c r="C6" s="1">
        <v>9473913</v>
      </c>
      <c r="D6" s="1" t="s">
        <v>125</v>
      </c>
      <c r="E6" s="1" t="s">
        <v>217</v>
      </c>
      <c r="F6" s="1" t="s">
        <v>57</v>
      </c>
      <c r="G6" s="1" t="s">
        <v>201</v>
      </c>
      <c r="H6" s="1" t="s">
        <v>196</v>
      </c>
      <c r="I6" s="1" t="s">
        <v>15</v>
      </c>
      <c r="J6" s="1">
        <v>17</v>
      </c>
      <c r="K6" s="1" t="s">
        <v>199</v>
      </c>
      <c r="M6" s="3">
        <v>45729</v>
      </c>
      <c r="S6" s="3">
        <v>45745</v>
      </c>
    </row>
    <row r="7" spans="1:20" s="1" customFormat="1" x14ac:dyDescent="0.25">
      <c r="B7" s="1" t="s">
        <v>38</v>
      </c>
      <c r="C7" s="1">
        <v>9298313</v>
      </c>
      <c r="D7" s="1" t="s">
        <v>187</v>
      </c>
      <c r="E7" s="1" t="s">
        <v>218</v>
      </c>
      <c r="F7" s="1" t="s">
        <v>57</v>
      </c>
      <c r="G7" s="1" t="s">
        <v>201</v>
      </c>
      <c r="H7" s="1" t="s">
        <v>196</v>
      </c>
      <c r="I7" s="1" t="s">
        <v>15</v>
      </c>
      <c r="J7" s="1">
        <v>70</v>
      </c>
      <c r="K7" s="1" t="s">
        <v>199</v>
      </c>
      <c r="M7" s="3">
        <v>45732</v>
      </c>
      <c r="S7" s="3">
        <v>45745</v>
      </c>
    </row>
    <row r="8" spans="1:20" s="1" customFormat="1" x14ac:dyDescent="0.25">
      <c r="B8" s="1" t="s">
        <v>38</v>
      </c>
      <c r="C8" s="1">
        <v>9779587</v>
      </c>
      <c r="D8" s="1" t="s">
        <v>188</v>
      </c>
      <c r="E8" s="1" t="s">
        <v>219</v>
      </c>
      <c r="F8" s="1" t="s">
        <v>57</v>
      </c>
      <c r="G8" s="1" t="s">
        <v>201</v>
      </c>
      <c r="H8" s="1" t="s">
        <v>196</v>
      </c>
      <c r="I8" s="1" t="s">
        <v>15</v>
      </c>
      <c r="J8" s="1">
        <v>70</v>
      </c>
      <c r="K8" s="1" t="s">
        <v>199</v>
      </c>
      <c r="M8" s="3">
        <v>45733</v>
      </c>
      <c r="S8" s="3">
        <v>45745</v>
      </c>
    </row>
    <row r="9" spans="1:20" s="1" customFormat="1" x14ac:dyDescent="0.25">
      <c r="B9" s="1" t="s">
        <v>38</v>
      </c>
      <c r="C9" s="1" t="s">
        <v>216</v>
      </c>
      <c r="D9" s="1" t="s">
        <v>74</v>
      </c>
      <c r="E9" s="1" t="s">
        <v>217</v>
      </c>
      <c r="F9" s="1" t="s">
        <v>57</v>
      </c>
      <c r="G9" s="1" t="s">
        <v>201</v>
      </c>
      <c r="H9" s="1" t="s">
        <v>196</v>
      </c>
      <c r="I9" s="1" t="s">
        <v>15</v>
      </c>
      <c r="J9" s="1">
        <v>17</v>
      </c>
      <c r="K9" s="1" t="s">
        <v>199</v>
      </c>
      <c r="M9" s="3">
        <v>45734</v>
      </c>
      <c r="S9" s="3">
        <v>45745</v>
      </c>
    </row>
    <row r="10" spans="1:20" s="1" customFormat="1" x14ac:dyDescent="0.25">
      <c r="B10" s="1" t="s">
        <v>38</v>
      </c>
      <c r="C10" s="1">
        <v>9417012</v>
      </c>
      <c r="D10" s="1" t="s">
        <v>221</v>
      </c>
      <c r="E10" s="1" t="s">
        <v>222</v>
      </c>
      <c r="F10" s="1" t="s">
        <v>57</v>
      </c>
      <c r="G10" s="1" t="s">
        <v>201</v>
      </c>
      <c r="H10" s="1" t="s">
        <v>196</v>
      </c>
      <c r="I10" s="1" t="s">
        <v>15</v>
      </c>
      <c r="J10" s="1">
        <v>100</v>
      </c>
      <c r="K10" s="1" t="s">
        <v>199</v>
      </c>
      <c r="M10" s="3">
        <v>45735</v>
      </c>
      <c r="O10" s="1" t="s">
        <v>223</v>
      </c>
      <c r="S10" s="3">
        <v>45745</v>
      </c>
    </row>
    <row r="11" spans="1:20" s="1" customFormat="1" x14ac:dyDescent="0.25">
      <c r="B11" s="1" t="s">
        <v>38</v>
      </c>
      <c r="C11" s="1">
        <v>9316244</v>
      </c>
      <c r="D11" s="1" t="s">
        <v>93</v>
      </c>
      <c r="E11" s="1" t="s">
        <v>218</v>
      </c>
      <c r="F11" s="1" t="s">
        <v>57</v>
      </c>
      <c r="G11" s="1" t="s">
        <v>201</v>
      </c>
      <c r="H11" s="1" t="s">
        <v>196</v>
      </c>
      <c r="I11" s="1" t="s">
        <v>15</v>
      </c>
      <c r="J11" s="1">
        <v>70</v>
      </c>
      <c r="K11" s="1" t="s">
        <v>199</v>
      </c>
      <c r="M11" s="3">
        <v>45736</v>
      </c>
      <c r="S11" s="3">
        <v>45745</v>
      </c>
    </row>
    <row r="12" spans="1:20" s="1" customFormat="1" x14ac:dyDescent="0.25">
      <c r="B12" s="1" t="s">
        <v>38</v>
      </c>
      <c r="C12" s="1">
        <v>9311359</v>
      </c>
      <c r="D12" s="1" t="s">
        <v>229</v>
      </c>
      <c r="E12" s="1" t="s">
        <v>230</v>
      </c>
      <c r="F12" s="1" t="s">
        <v>57</v>
      </c>
      <c r="G12" s="1" t="s">
        <v>201</v>
      </c>
      <c r="H12" s="1" t="s">
        <v>196</v>
      </c>
      <c r="I12" s="1" t="s">
        <v>15</v>
      </c>
      <c r="J12" s="1">
        <v>50</v>
      </c>
      <c r="K12" s="1" t="s">
        <v>199</v>
      </c>
      <c r="M12" s="3">
        <v>45738</v>
      </c>
      <c r="O12" s="1" t="s">
        <v>111</v>
      </c>
      <c r="S12" s="3">
        <v>45745</v>
      </c>
    </row>
    <row r="13" spans="1:20" s="1" customFormat="1" x14ac:dyDescent="0.25">
      <c r="B13" s="1" t="s">
        <v>38</v>
      </c>
      <c r="C13" s="1">
        <v>9447328</v>
      </c>
      <c r="D13" s="1" t="s">
        <v>84</v>
      </c>
      <c r="E13" s="1" t="s">
        <v>217</v>
      </c>
      <c r="F13" s="1" t="s">
        <v>57</v>
      </c>
      <c r="G13" s="1" t="s">
        <v>201</v>
      </c>
      <c r="H13" s="1" t="s">
        <v>196</v>
      </c>
      <c r="I13" s="1" t="s">
        <v>15</v>
      </c>
      <c r="J13" s="1">
        <v>17</v>
      </c>
      <c r="K13" s="1" t="s">
        <v>199</v>
      </c>
      <c r="M13" s="3">
        <v>45739</v>
      </c>
      <c r="S13" s="3">
        <v>45745</v>
      </c>
    </row>
    <row r="14" spans="1:20" s="1" customFormat="1" ht="15.75" thickBot="1" x14ac:dyDescent="0.3">
      <c r="B14" s="1" t="s">
        <v>117</v>
      </c>
      <c r="C14" s="1">
        <v>9444479</v>
      </c>
      <c r="D14" s="1" t="s">
        <v>52</v>
      </c>
      <c r="E14" s="1" t="s">
        <v>217</v>
      </c>
      <c r="F14" s="1" t="s">
        <v>57</v>
      </c>
      <c r="G14" s="1" t="s">
        <v>201</v>
      </c>
      <c r="H14" s="1" t="s">
        <v>196</v>
      </c>
      <c r="I14" s="1" t="s">
        <v>15</v>
      </c>
      <c r="J14" s="1">
        <v>17</v>
      </c>
      <c r="K14" s="1" t="s">
        <v>199</v>
      </c>
      <c r="M14" s="3">
        <v>45744</v>
      </c>
      <c r="S14" s="3">
        <v>45745</v>
      </c>
    </row>
    <row r="15" spans="1:20" ht="15.75" thickBot="1" x14ac:dyDescent="0.3">
      <c r="A15" s="28"/>
      <c r="B15" s="28" t="s">
        <v>37</v>
      </c>
      <c r="C15" s="29"/>
      <c r="D15" s="29"/>
      <c r="E15" s="30"/>
      <c r="F15" s="30"/>
      <c r="G15" s="30"/>
      <c r="H15" s="30"/>
      <c r="I15" s="30"/>
      <c r="J15" s="29">
        <f>SUM(J2:J14)</f>
        <v>577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8" spans="1:20" x14ac:dyDescent="0.25">
      <c r="A18" s="5" t="s">
        <v>189</v>
      </c>
      <c r="B18" s="5" t="s">
        <v>0</v>
      </c>
      <c r="C18" s="38" t="s">
        <v>190</v>
      </c>
      <c r="D18" s="2" t="s">
        <v>191</v>
      </c>
      <c r="E18" s="2" t="s">
        <v>192</v>
      </c>
      <c r="F18" s="2" t="s">
        <v>193</v>
      </c>
      <c r="G18" s="2" t="s">
        <v>194</v>
      </c>
      <c r="H18" s="2" t="s">
        <v>195</v>
      </c>
      <c r="I18" s="2" t="s">
        <v>197</v>
      </c>
      <c r="J18" s="2" t="s">
        <v>200</v>
      </c>
      <c r="K18" s="2" t="s">
        <v>198</v>
      </c>
      <c r="L18" s="2" t="s">
        <v>202</v>
      </c>
      <c r="M18" s="2" t="s">
        <v>203</v>
      </c>
      <c r="N18" s="2" t="s">
        <v>204</v>
      </c>
      <c r="O18" s="2" t="s">
        <v>101</v>
      </c>
      <c r="P18" s="2" t="s">
        <v>205</v>
      </c>
      <c r="Q18" s="2" t="s">
        <v>206</v>
      </c>
      <c r="R18" s="2" t="s">
        <v>207</v>
      </c>
      <c r="S18" s="2" t="s">
        <v>208</v>
      </c>
      <c r="T18" s="2" t="s">
        <v>209</v>
      </c>
    </row>
    <row r="22" spans="1:20" x14ac:dyDescent="0.25">
      <c r="I22" s="37"/>
      <c r="K22" s="37"/>
      <c r="M22" s="37"/>
    </row>
    <row r="23" spans="1:20" x14ac:dyDescent="0.25">
      <c r="I23" s="37"/>
      <c r="K23" s="37"/>
      <c r="M23" s="37"/>
    </row>
    <row r="24" spans="1:20" x14ac:dyDescent="0.25">
      <c r="I24" s="37"/>
      <c r="K24" s="37"/>
      <c r="M24" s="37"/>
    </row>
    <row r="25" spans="1:20" x14ac:dyDescent="0.25">
      <c r="I25" s="37"/>
      <c r="K25" s="37"/>
      <c r="M25" s="37"/>
    </row>
    <row r="26" spans="1:20" x14ac:dyDescent="0.25">
      <c r="I26" s="37"/>
      <c r="K26" s="37"/>
      <c r="M26" s="37"/>
    </row>
    <row r="27" spans="1:20" x14ac:dyDescent="0.25">
      <c r="I27" s="37"/>
      <c r="K27" s="37"/>
      <c r="M27" s="37"/>
    </row>
  </sheetData>
  <autoFilter ref="A1:T1" xr:uid="{00000000-0009-0000-0000-000006000000}">
    <sortState xmlns:xlrd2="http://schemas.microsoft.com/office/spreadsheetml/2017/richdata2" ref="A2:T15">
      <sortCondition ref="M1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6"/>
  <sheetViews>
    <sheetView workbookViewId="0">
      <selection activeCell="E8" sqref="E8"/>
    </sheetView>
  </sheetViews>
  <sheetFormatPr defaultRowHeight="15" x14ac:dyDescent="0.25"/>
  <cols>
    <col min="2" max="2" width="11.140625" bestFit="1" customWidth="1"/>
    <col min="4" max="4" width="16.85546875" bestFit="1" customWidth="1"/>
    <col min="5" max="5" width="34.28515625" customWidth="1"/>
    <col min="6" max="6" width="18.7109375" bestFit="1" customWidth="1"/>
    <col min="7" max="7" width="18.7109375" customWidth="1"/>
    <col min="9" max="9" width="13.42578125" bestFit="1" customWidth="1"/>
    <col min="10" max="10" width="12.85546875" customWidth="1"/>
    <col min="11" max="12" width="9.42578125" customWidth="1"/>
    <col min="13" max="13" width="10.140625" bestFit="1" customWidth="1"/>
    <col min="14" max="17" width="9.42578125" customWidth="1"/>
    <col min="18" max="18" width="11.42578125" bestFit="1" customWidth="1"/>
    <col min="19" max="19" width="15.140625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x14ac:dyDescent="0.25">
      <c r="B2" t="s">
        <v>38</v>
      </c>
      <c r="C2">
        <v>9772034</v>
      </c>
      <c r="D2" t="s">
        <v>233</v>
      </c>
      <c r="E2" t="s">
        <v>234</v>
      </c>
      <c r="F2" t="s">
        <v>57</v>
      </c>
      <c r="G2" t="s">
        <v>201</v>
      </c>
      <c r="H2" t="s">
        <v>196</v>
      </c>
      <c r="I2" t="s">
        <v>15</v>
      </c>
      <c r="J2">
        <v>21.5</v>
      </c>
      <c r="K2" t="s">
        <v>199</v>
      </c>
      <c r="M2" s="37">
        <v>45748</v>
      </c>
      <c r="S2" s="37">
        <v>45775</v>
      </c>
    </row>
    <row r="3" spans="1:20" x14ac:dyDescent="0.25">
      <c r="B3" t="s">
        <v>38</v>
      </c>
      <c r="C3">
        <v>9412098</v>
      </c>
      <c r="D3" t="s">
        <v>226</v>
      </c>
      <c r="E3" t="s">
        <v>228</v>
      </c>
      <c r="F3" t="s">
        <v>57</v>
      </c>
      <c r="G3" t="s">
        <v>201</v>
      </c>
      <c r="H3" t="s">
        <v>196</v>
      </c>
      <c r="I3" t="s">
        <v>15</v>
      </c>
      <c r="J3">
        <v>151</v>
      </c>
      <c r="K3" t="s">
        <v>199</v>
      </c>
      <c r="M3" s="37">
        <v>45750</v>
      </c>
      <c r="S3" s="37">
        <v>45775</v>
      </c>
    </row>
    <row r="4" spans="1:20" x14ac:dyDescent="0.25">
      <c r="B4" t="s">
        <v>38</v>
      </c>
      <c r="C4">
        <v>9393101</v>
      </c>
      <c r="D4" t="s">
        <v>239</v>
      </c>
      <c r="E4" t="s">
        <v>219</v>
      </c>
      <c r="F4" t="s">
        <v>57</v>
      </c>
      <c r="G4" t="s">
        <v>201</v>
      </c>
      <c r="H4" t="s">
        <v>196</v>
      </c>
      <c r="I4" t="s">
        <v>15</v>
      </c>
      <c r="J4">
        <v>70</v>
      </c>
      <c r="K4" t="s">
        <v>199</v>
      </c>
      <c r="M4" s="37">
        <v>45752</v>
      </c>
      <c r="S4" s="37">
        <v>45775</v>
      </c>
      <c r="T4" s="37"/>
    </row>
    <row r="5" spans="1:20" x14ac:dyDescent="0.25">
      <c r="B5" t="s">
        <v>38</v>
      </c>
      <c r="C5">
        <v>9444455</v>
      </c>
      <c r="D5" t="s">
        <v>140</v>
      </c>
      <c r="E5" t="s">
        <v>217</v>
      </c>
      <c r="F5" t="s">
        <v>57</v>
      </c>
      <c r="G5" t="s">
        <v>201</v>
      </c>
      <c r="H5" t="s">
        <v>196</v>
      </c>
      <c r="I5" t="s">
        <v>15</v>
      </c>
      <c r="J5">
        <v>17</v>
      </c>
      <c r="K5" t="s">
        <v>199</v>
      </c>
      <c r="M5" s="37">
        <v>45753</v>
      </c>
      <c r="S5" s="37">
        <v>45775</v>
      </c>
      <c r="T5" s="37"/>
    </row>
    <row r="6" spans="1:20" x14ac:dyDescent="0.25">
      <c r="B6" t="s">
        <v>38</v>
      </c>
      <c r="C6">
        <v>9717278</v>
      </c>
      <c r="D6" t="s">
        <v>114</v>
      </c>
      <c r="E6" t="s">
        <v>243</v>
      </c>
      <c r="F6" t="s">
        <v>244</v>
      </c>
      <c r="G6" t="s">
        <v>201</v>
      </c>
      <c r="H6" t="s">
        <v>196</v>
      </c>
      <c r="I6" t="s">
        <v>15</v>
      </c>
      <c r="J6">
        <v>34</v>
      </c>
      <c r="K6" t="s">
        <v>199</v>
      </c>
      <c r="M6" s="37">
        <v>45756</v>
      </c>
      <c r="O6" t="s">
        <v>37</v>
      </c>
      <c r="S6" s="37">
        <v>45775</v>
      </c>
      <c r="T6" s="37"/>
    </row>
    <row r="7" spans="1:20" x14ac:dyDescent="0.25">
      <c r="B7" t="s">
        <v>38</v>
      </c>
      <c r="C7">
        <v>9444479</v>
      </c>
      <c r="D7" t="s">
        <v>52</v>
      </c>
      <c r="E7" t="s">
        <v>217</v>
      </c>
      <c r="F7" t="s">
        <v>57</v>
      </c>
      <c r="G7" t="s">
        <v>201</v>
      </c>
      <c r="H7" t="s">
        <v>196</v>
      </c>
      <c r="I7" t="s">
        <v>15</v>
      </c>
      <c r="J7">
        <v>17</v>
      </c>
      <c r="K7" t="s">
        <v>199</v>
      </c>
      <c r="M7" s="37">
        <v>45757</v>
      </c>
      <c r="S7" s="37">
        <v>45775</v>
      </c>
      <c r="T7" s="37"/>
    </row>
    <row r="8" spans="1:20" s="42" customFormat="1" x14ac:dyDescent="0.25">
      <c r="B8" t="s">
        <v>38</v>
      </c>
      <c r="C8" s="42">
        <v>9547714</v>
      </c>
      <c r="D8" s="42" t="s">
        <v>235</v>
      </c>
      <c r="E8" s="42" t="s">
        <v>236</v>
      </c>
      <c r="F8" s="42" t="s">
        <v>57</v>
      </c>
      <c r="G8" s="42" t="s">
        <v>201</v>
      </c>
      <c r="H8" s="42" t="s">
        <v>196</v>
      </c>
      <c r="I8" s="42" t="s">
        <v>15</v>
      </c>
      <c r="J8" s="42">
        <v>30</v>
      </c>
      <c r="K8" s="42" t="s">
        <v>199</v>
      </c>
      <c r="M8" s="43">
        <v>45761</v>
      </c>
      <c r="O8" s="42" t="s">
        <v>147</v>
      </c>
      <c r="S8" s="37">
        <v>45775</v>
      </c>
    </row>
    <row r="9" spans="1:20" s="42" customFormat="1" x14ac:dyDescent="0.25">
      <c r="A9"/>
      <c r="B9" t="s">
        <v>38</v>
      </c>
      <c r="C9">
        <v>9393101</v>
      </c>
      <c r="D9" t="s">
        <v>239</v>
      </c>
      <c r="E9" t="s">
        <v>222</v>
      </c>
      <c r="F9" t="s">
        <v>57</v>
      </c>
      <c r="G9" t="s">
        <v>201</v>
      </c>
      <c r="H9" t="s">
        <v>196</v>
      </c>
      <c r="I9" t="s">
        <v>15</v>
      </c>
      <c r="J9">
        <v>60</v>
      </c>
      <c r="K9" t="s">
        <v>199</v>
      </c>
      <c r="L9"/>
      <c r="M9" s="37">
        <v>45761</v>
      </c>
      <c r="N9"/>
      <c r="O9"/>
      <c r="P9"/>
      <c r="Q9"/>
      <c r="R9"/>
      <c r="S9" s="37">
        <v>45775</v>
      </c>
      <c r="T9" s="37"/>
    </row>
    <row r="10" spans="1:20" s="42" customFormat="1" x14ac:dyDescent="0.25">
      <c r="A10"/>
      <c r="B10" t="s">
        <v>38</v>
      </c>
      <c r="C10">
        <v>9344435</v>
      </c>
      <c r="D10" t="s">
        <v>122</v>
      </c>
      <c r="E10" t="s">
        <v>246</v>
      </c>
      <c r="F10" t="s">
        <v>244</v>
      </c>
      <c r="G10" t="s">
        <v>201</v>
      </c>
      <c r="H10" t="s">
        <v>196</v>
      </c>
      <c r="I10" t="s">
        <v>15</v>
      </c>
      <c r="J10">
        <v>15</v>
      </c>
      <c r="K10" t="s">
        <v>199</v>
      </c>
      <c r="L10"/>
      <c r="M10" s="37">
        <v>45764</v>
      </c>
      <c r="N10"/>
      <c r="O10" t="s">
        <v>37</v>
      </c>
      <c r="P10"/>
      <c r="Q10"/>
      <c r="R10"/>
      <c r="S10" s="37">
        <v>45775</v>
      </c>
      <c r="T10"/>
    </row>
    <row r="11" spans="1:20" s="42" customFormat="1" x14ac:dyDescent="0.25">
      <c r="A11"/>
      <c r="B11" t="s">
        <v>38</v>
      </c>
      <c r="C11">
        <v>9831024</v>
      </c>
      <c r="D11" t="s">
        <v>120</v>
      </c>
      <c r="E11" t="s">
        <v>217</v>
      </c>
      <c r="F11" t="s">
        <v>57</v>
      </c>
      <c r="G11" t="s">
        <v>201</v>
      </c>
      <c r="H11" t="s">
        <v>196</v>
      </c>
      <c r="I11" t="s">
        <v>15</v>
      </c>
      <c r="J11">
        <v>15</v>
      </c>
      <c r="K11" t="s">
        <v>199</v>
      </c>
      <c r="L11"/>
      <c r="M11" s="37">
        <v>45764</v>
      </c>
      <c r="N11"/>
      <c r="O11"/>
      <c r="P11"/>
      <c r="Q11"/>
      <c r="R11"/>
      <c r="S11" s="37">
        <v>45775</v>
      </c>
      <c r="T11"/>
    </row>
    <row r="12" spans="1:20" s="42" customFormat="1" x14ac:dyDescent="0.25">
      <c r="A12"/>
      <c r="B12" t="s">
        <v>38</v>
      </c>
      <c r="C12">
        <v>9299563</v>
      </c>
      <c r="D12" t="s">
        <v>232</v>
      </c>
      <c r="E12" t="s">
        <v>219</v>
      </c>
      <c r="F12" t="s">
        <v>57</v>
      </c>
      <c r="G12" t="s">
        <v>201</v>
      </c>
      <c r="H12" t="s">
        <v>196</v>
      </c>
      <c r="I12" t="s">
        <v>15</v>
      </c>
      <c r="J12">
        <v>70</v>
      </c>
      <c r="K12" t="s">
        <v>199</v>
      </c>
      <c r="L12"/>
      <c r="M12" s="37">
        <v>45767</v>
      </c>
      <c r="N12"/>
      <c r="O12"/>
      <c r="P12"/>
      <c r="Q12"/>
      <c r="R12"/>
      <c r="S12" s="37">
        <v>45775</v>
      </c>
      <c r="T12"/>
    </row>
    <row r="13" spans="1:20" s="42" customFormat="1" x14ac:dyDescent="0.25">
      <c r="A13"/>
      <c r="B13" t="s">
        <v>38</v>
      </c>
      <c r="C13">
        <v>9696553</v>
      </c>
      <c r="D13" t="s">
        <v>247</v>
      </c>
      <c r="E13" t="s">
        <v>246</v>
      </c>
      <c r="F13" t="s">
        <v>57</v>
      </c>
      <c r="G13" t="s">
        <v>201</v>
      </c>
      <c r="H13" t="s">
        <v>196</v>
      </c>
      <c r="I13" t="s">
        <v>15</v>
      </c>
      <c r="J13">
        <v>20</v>
      </c>
      <c r="K13" t="s">
        <v>199</v>
      </c>
      <c r="L13"/>
      <c r="M13" s="37">
        <v>45769</v>
      </c>
      <c r="N13"/>
      <c r="O13" t="s">
        <v>37</v>
      </c>
      <c r="P13"/>
      <c r="Q13"/>
      <c r="R13"/>
      <c r="S13" s="37">
        <v>45775</v>
      </c>
      <c r="T13"/>
    </row>
    <row r="14" spans="1:20" s="42" customFormat="1" x14ac:dyDescent="0.25">
      <c r="A14"/>
      <c r="B14" t="s">
        <v>38</v>
      </c>
      <c r="C14">
        <v>9891684</v>
      </c>
      <c r="D14" t="s">
        <v>240</v>
      </c>
      <c r="E14" t="s">
        <v>234</v>
      </c>
      <c r="F14" t="s">
        <v>57</v>
      </c>
      <c r="G14" t="s">
        <v>201</v>
      </c>
      <c r="H14" t="s">
        <v>196</v>
      </c>
      <c r="I14" t="s">
        <v>15</v>
      </c>
      <c r="J14">
        <v>100</v>
      </c>
      <c r="K14" t="s">
        <v>199</v>
      </c>
      <c r="L14"/>
      <c r="M14" s="37">
        <v>45772</v>
      </c>
      <c r="N14"/>
      <c r="O14"/>
      <c r="P14"/>
      <c r="Q14"/>
      <c r="R14"/>
      <c r="S14" s="37">
        <v>45775</v>
      </c>
      <c r="T14" s="37"/>
    </row>
    <row r="15" spans="1:20" s="42" customFormat="1" ht="15.75" thickBot="1" x14ac:dyDescent="0.3">
      <c r="A15"/>
      <c r="B15" t="s">
        <v>117</v>
      </c>
      <c r="C15">
        <v>9444455</v>
      </c>
      <c r="D15" t="s">
        <v>140</v>
      </c>
      <c r="E15" t="s">
        <v>217</v>
      </c>
      <c r="F15" t="s">
        <v>57</v>
      </c>
      <c r="G15" t="s">
        <v>201</v>
      </c>
      <c r="H15" t="s">
        <v>196</v>
      </c>
      <c r="I15" t="s">
        <v>15</v>
      </c>
      <c r="J15">
        <v>17</v>
      </c>
      <c r="K15" t="s">
        <v>199</v>
      </c>
      <c r="L15"/>
      <c r="M15" s="37">
        <v>45775</v>
      </c>
      <c r="N15"/>
      <c r="O15"/>
      <c r="P15"/>
      <c r="Q15"/>
      <c r="R15"/>
      <c r="S15" s="37">
        <v>45775</v>
      </c>
      <c r="T15" s="37"/>
    </row>
    <row r="16" spans="1:20" ht="17.25" customHeight="1" thickBot="1" x14ac:dyDescent="0.3">
      <c r="A16" s="28"/>
      <c r="B16" s="28" t="s">
        <v>37</v>
      </c>
      <c r="C16" s="29"/>
      <c r="D16" s="29"/>
      <c r="E16" s="30"/>
      <c r="F16" s="30"/>
      <c r="G16" s="30"/>
      <c r="H16" s="30"/>
      <c r="I16" s="30"/>
      <c r="J16" s="29">
        <f>SUM(J2:J15)</f>
        <v>637.5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17.25" customHeight="1" x14ac:dyDescent="0.25">
      <c r="A17" s="45"/>
      <c r="B17" s="45"/>
      <c r="C17" s="45"/>
      <c r="D17" s="45"/>
      <c r="E17" s="27"/>
      <c r="F17" s="27"/>
      <c r="G17" s="27"/>
      <c r="H17" s="27"/>
      <c r="I17" s="27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r="18" spans="1:20" ht="17.25" customHeight="1" x14ac:dyDescent="0.25">
      <c r="A18" s="45"/>
      <c r="B18" s="45"/>
      <c r="C18" s="45"/>
      <c r="D18" s="45"/>
      <c r="E18" s="27"/>
      <c r="F18" s="27"/>
      <c r="G18" s="27"/>
      <c r="H18" s="27"/>
      <c r="I18" s="27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r="19" spans="1:20" ht="17.25" customHeight="1" x14ac:dyDescent="0.25">
      <c r="A19" s="45"/>
      <c r="B19" s="45"/>
      <c r="C19" s="45"/>
      <c r="D19" s="45"/>
      <c r="E19" s="27"/>
      <c r="F19" s="27"/>
      <c r="G19" s="27"/>
      <c r="H19" s="27"/>
      <c r="I19" s="27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17.25" customHeight="1" x14ac:dyDescent="0.25">
      <c r="A20" s="45"/>
      <c r="B20" s="45"/>
      <c r="C20" s="45"/>
      <c r="D20" s="45"/>
      <c r="E20" s="27"/>
      <c r="F20" s="27"/>
      <c r="G20" s="27"/>
      <c r="H20" s="27"/>
      <c r="I20" s="27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r="21" spans="1:20" ht="17.25" customHeight="1" x14ac:dyDescent="0.25">
      <c r="A21" s="45"/>
      <c r="B21" s="45"/>
      <c r="C21" s="45"/>
      <c r="D21" s="45"/>
      <c r="E21" s="27"/>
      <c r="F21" s="27"/>
      <c r="G21" s="27"/>
      <c r="H21" s="27"/>
      <c r="I21" s="27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 spans="1:20" ht="17.25" customHeight="1" x14ac:dyDescent="0.25">
      <c r="A22" s="45"/>
      <c r="B22" s="45"/>
      <c r="C22" s="45"/>
      <c r="D22" s="45"/>
      <c r="E22" s="27"/>
      <c r="F22" s="27"/>
      <c r="G22" s="27"/>
      <c r="H22" s="27"/>
      <c r="I22" s="27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5" spans="1:20" x14ac:dyDescent="0.25">
      <c r="A25" s="5" t="s">
        <v>189</v>
      </c>
      <c r="B25" s="5" t="s">
        <v>0</v>
      </c>
      <c r="C25" s="38" t="s">
        <v>190</v>
      </c>
      <c r="D25" s="2" t="s">
        <v>191</v>
      </c>
      <c r="E25" s="2" t="s">
        <v>192</v>
      </c>
      <c r="F25" s="2" t="s">
        <v>193</v>
      </c>
      <c r="G25" s="2" t="s">
        <v>194</v>
      </c>
      <c r="H25" s="2" t="s">
        <v>195</v>
      </c>
      <c r="I25" s="2" t="s">
        <v>197</v>
      </c>
      <c r="J25" s="2" t="s">
        <v>200</v>
      </c>
      <c r="K25" s="2" t="s">
        <v>198</v>
      </c>
      <c r="L25" s="2" t="s">
        <v>202</v>
      </c>
      <c r="M25" s="2" t="s">
        <v>203</v>
      </c>
      <c r="N25" s="2" t="s">
        <v>204</v>
      </c>
      <c r="O25" s="2" t="s">
        <v>101</v>
      </c>
      <c r="P25" s="2" t="s">
        <v>205</v>
      </c>
      <c r="Q25" s="2" t="s">
        <v>206</v>
      </c>
      <c r="R25" s="2" t="s">
        <v>207</v>
      </c>
      <c r="S25" s="2" t="s">
        <v>208</v>
      </c>
      <c r="T25" s="2" t="s">
        <v>209</v>
      </c>
    </row>
    <row r="26" spans="1:20" ht="15.75" thickBot="1" x14ac:dyDescent="0.3">
      <c r="B26" t="s">
        <v>73</v>
      </c>
      <c r="C26" s="44">
        <v>9296389</v>
      </c>
      <c r="D26" t="s">
        <v>245</v>
      </c>
      <c r="E26" t="s">
        <v>238</v>
      </c>
      <c r="F26" t="s">
        <v>57</v>
      </c>
      <c r="G26" t="s">
        <v>201</v>
      </c>
      <c r="H26" t="s">
        <v>196</v>
      </c>
      <c r="I26" t="s">
        <v>213</v>
      </c>
      <c r="J26">
        <v>120</v>
      </c>
      <c r="K26" t="s">
        <v>199</v>
      </c>
      <c r="M26" s="37">
        <v>45775</v>
      </c>
      <c r="S26" s="37">
        <v>45757</v>
      </c>
    </row>
    <row r="27" spans="1:20" ht="15.75" thickBot="1" x14ac:dyDescent="0.3">
      <c r="A27" s="28"/>
      <c r="B27" s="28" t="s">
        <v>37</v>
      </c>
      <c r="C27" s="29"/>
      <c r="D27" s="29"/>
      <c r="E27" s="30"/>
      <c r="F27" s="30"/>
      <c r="G27" s="30"/>
      <c r="H27" s="30"/>
      <c r="I27" s="30"/>
      <c r="J27" s="29">
        <f>SUM(J26:J26)</f>
        <v>120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30" spans="1:20" x14ac:dyDescent="0.25">
      <c r="I30" s="37"/>
      <c r="K30" s="37"/>
      <c r="M30" s="37"/>
    </row>
    <row r="31" spans="1:20" s="42" customFormat="1" x14ac:dyDescent="0.25">
      <c r="A31"/>
      <c r="B31" t="s">
        <v>73</v>
      </c>
      <c r="C31">
        <v>9307346</v>
      </c>
      <c r="D31" t="s">
        <v>231</v>
      </c>
      <c r="E31" t="s">
        <v>218</v>
      </c>
      <c r="F31" t="s">
        <v>57</v>
      </c>
      <c r="G31" t="s">
        <v>201</v>
      </c>
      <c r="H31" t="s">
        <v>196</v>
      </c>
      <c r="I31" t="s">
        <v>15</v>
      </c>
      <c r="J31">
        <v>48</v>
      </c>
      <c r="K31" t="s">
        <v>199</v>
      </c>
      <c r="L31"/>
      <c r="M31" s="37">
        <v>45762</v>
      </c>
      <c r="N31"/>
      <c r="O31"/>
      <c r="P31"/>
      <c r="Q31"/>
      <c r="R31"/>
      <c r="S31" s="37">
        <v>45757</v>
      </c>
      <c r="T31" s="37"/>
    </row>
    <row r="32" spans="1:20" x14ac:dyDescent="0.25">
      <c r="B32" t="s">
        <v>73</v>
      </c>
      <c r="C32" s="44" t="s">
        <v>241</v>
      </c>
      <c r="D32" t="s">
        <v>242</v>
      </c>
      <c r="E32" t="s">
        <v>218</v>
      </c>
      <c r="F32" t="s">
        <v>57</v>
      </c>
      <c r="G32" t="s">
        <v>201</v>
      </c>
      <c r="H32" t="s">
        <v>196</v>
      </c>
      <c r="I32" t="s">
        <v>15</v>
      </c>
      <c r="J32">
        <v>70</v>
      </c>
      <c r="K32" t="s">
        <v>199</v>
      </c>
      <c r="M32" s="37">
        <v>45770</v>
      </c>
      <c r="S32" s="37">
        <v>45757</v>
      </c>
      <c r="T32" s="37"/>
    </row>
    <row r="33" spans="2:19" x14ac:dyDescent="0.25">
      <c r="I33" s="37"/>
      <c r="K33" s="37"/>
      <c r="M33" s="37"/>
    </row>
    <row r="34" spans="2:19" x14ac:dyDescent="0.25">
      <c r="I34" s="37"/>
      <c r="K34" s="37"/>
      <c r="M34" s="37"/>
    </row>
    <row r="35" spans="2:19" s="40" customFormat="1" x14ac:dyDescent="0.25">
      <c r="B35" s="40" t="s">
        <v>73</v>
      </c>
      <c r="C35" s="40">
        <v>9901867</v>
      </c>
      <c r="D35" s="40" t="s">
        <v>224</v>
      </c>
      <c r="E35" s="40" t="s">
        <v>227</v>
      </c>
      <c r="F35" s="40" t="s">
        <v>57</v>
      </c>
      <c r="G35" s="40" t="s">
        <v>201</v>
      </c>
      <c r="H35" s="40" t="s">
        <v>196</v>
      </c>
      <c r="I35" s="40" t="s">
        <v>213</v>
      </c>
      <c r="J35" s="40">
        <v>110</v>
      </c>
      <c r="K35" s="40" t="s">
        <v>199</v>
      </c>
      <c r="M35" s="41">
        <v>45775</v>
      </c>
      <c r="O35" s="40" t="s">
        <v>225</v>
      </c>
      <c r="S35" s="41">
        <v>45749</v>
      </c>
    </row>
    <row r="36" spans="2:19" x14ac:dyDescent="0.25">
      <c r="B36" t="s">
        <v>73</v>
      </c>
      <c r="C36">
        <v>9379612</v>
      </c>
      <c r="D36" t="s">
        <v>237</v>
      </c>
      <c r="E36" t="s">
        <v>238</v>
      </c>
      <c r="F36" t="s">
        <v>57</v>
      </c>
      <c r="G36" t="s">
        <v>201</v>
      </c>
      <c r="H36" t="s">
        <v>196</v>
      </c>
      <c r="I36" t="s">
        <v>213</v>
      </c>
      <c r="J36">
        <v>60</v>
      </c>
      <c r="K36" t="s">
        <v>199</v>
      </c>
      <c r="M36" s="37">
        <v>45767</v>
      </c>
      <c r="O36" t="s">
        <v>147</v>
      </c>
      <c r="S36" s="37">
        <v>45757</v>
      </c>
    </row>
  </sheetData>
  <autoFilter ref="A1:T1" xr:uid="{00000000-0009-0000-0000-000007000000}">
    <sortState xmlns:xlrd2="http://schemas.microsoft.com/office/spreadsheetml/2017/richdata2" ref="A2:T15">
      <sortCondition ref="M1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FE73-B466-49D0-8298-3577F4F89665}">
  <dimension ref="A1:T25"/>
  <sheetViews>
    <sheetView workbookViewId="0">
      <selection activeCell="E35" sqref="E35"/>
    </sheetView>
  </sheetViews>
  <sheetFormatPr defaultRowHeight="15" x14ac:dyDescent="0.25"/>
  <cols>
    <col min="1" max="1" width="4.28515625" bestFit="1" customWidth="1"/>
    <col min="2" max="2" width="11.140625" bestFit="1" customWidth="1"/>
    <col min="3" max="3" width="8" bestFit="1" customWidth="1"/>
    <col min="4" max="4" width="23.28515625" bestFit="1" customWidth="1"/>
    <col min="5" max="5" width="42.710937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42578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s="46" customFormat="1" x14ac:dyDescent="0.25">
      <c r="A2" s="25"/>
      <c r="B2" s="25" t="s">
        <v>38</v>
      </c>
      <c r="C2" s="25">
        <v>9473925</v>
      </c>
      <c r="D2" s="25" t="s">
        <v>42</v>
      </c>
      <c r="E2" s="25" t="s">
        <v>217</v>
      </c>
      <c r="F2" s="25" t="s">
        <v>57</v>
      </c>
      <c r="G2" s="25" t="s">
        <v>201</v>
      </c>
      <c r="H2" s="25" t="s">
        <v>196</v>
      </c>
      <c r="I2" s="25" t="s">
        <v>15</v>
      </c>
      <c r="J2" s="25">
        <v>15</v>
      </c>
      <c r="K2" s="25" t="s">
        <v>199</v>
      </c>
      <c r="L2" s="25"/>
      <c r="M2" s="26">
        <v>45782</v>
      </c>
      <c r="N2" s="25"/>
      <c r="O2" s="25"/>
      <c r="P2" s="25"/>
      <c r="Q2" s="25"/>
      <c r="R2" s="25"/>
      <c r="S2" s="26">
        <v>45803</v>
      </c>
      <c r="T2" s="26"/>
    </row>
    <row r="3" spans="1:20" s="46" customFormat="1" x14ac:dyDescent="0.25">
      <c r="A3" s="25"/>
      <c r="B3" s="25" t="s">
        <v>38</v>
      </c>
      <c r="C3" s="25">
        <v>9728239</v>
      </c>
      <c r="D3" s="25" t="s">
        <v>253</v>
      </c>
      <c r="E3" s="25" t="s">
        <v>254</v>
      </c>
      <c r="F3" s="25" t="s">
        <v>57</v>
      </c>
      <c r="G3" s="25" t="s">
        <v>201</v>
      </c>
      <c r="H3" s="25" t="s">
        <v>196</v>
      </c>
      <c r="I3" s="25" t="s">
        <v>15</v>
      </c>
      <c r="J3" s="25">
        <v>100</v>
      </c>
      <c r="K3" s="25" t="s">
        <v>199</v>
      </c>
      <c r="L3" s="25"/>
      <c r="M3" s="26">
        <v>45783</v>
      </c>
      <c r="N3" s="25"/>
      <c r="O3" s="25" t="s">
        <v>108</v>
      </c>
      <c r="P3" s="25"/>
      <c r="Q3" s="25"/>
      <c r="R3" s="25"/>
      <c r="S3" s="26">
        <v>45803</v>
      </c>
      <c r="T3" s="26"/>
    </row>
    <row r="4" spans="1:20" s="46" customFormat="1" x14ac:dyDescent="0.25">
      <c r="A4" s="25"/>
      <c r="B4" s="25" t="s">
        <v>38</v>
      </c>
      <c r="C4" s="25">
        <v>9728239</v>
      </c>
      <c r="D4" s="25" t="s">
        <v>249</v>
      </c>
      <c r="E4" s="25" t="s">
        <v>250</v>
      </c>
      <c r="F4" s="25" t="s">
        <v>244</v>
      </c>
      <c r="G4" s="25" t="s">
        <v>201</v>
      </c>
      <c r="H4" s="25" t="s">
        <v>196</v>
      </c>
      <c r="I4" s="25" t="s">
        <v>15</v>
      </c>
      <c r="J4" s="25">
        <v>40</v>
      </c>
      <c r="K4" s="25" t="s">
        <v>199</v>
      </c>
      <c r="L4" s="25"/>
      <c r="M4" s="26">
        <v>45783</v>
      </c>
      <c r="N4" s="25"/>
      <c r="O4" s="25" t="s">
        <v>139</v>
      </c>
      <c r="P4" s="25"/>
      <c r="Q4" s="25"/>
      <c r="R4" s="25"/>
      <c r="S4" s="26">
        <v>45803</v>
      </c>
      <c r="T4" s="26"/>
    </row>
    <row r="5" spans="1:20" s="46" customFormat="1" x14ac:dyDescent="0.25">
      <c r="A5" s="25"/>
      <c r="B5" s="25" t="s">
        <v>38</v>
      </c>
      <c r="C5" s="25">
        <v>9444479</v>
      </c>
      <c r="D5" s="25" t="s">
        <v>52</v>
      </c>
      <c r="E5" s="25" t="s">
        <v>217</v>
      </c>
      <c r="F5" s="25" t="s">
        <v>57</v>
      </c>
      <c r="G5" s="25" t="s">
        <v>201</v>
      </c>
      <c r="H5" s="25" t="s">
        <v>196</v>
      </c>
      <c r="I5" s="25" t="s">
        <v>15</v>
      </c>
      <c r="J5" s="25">
        <v>15</v>
      </c>
      <c r="K5" s="25" t="s">
        <v>199</v>
      </c>
      <c r="L5" s="25"/>
      <c r="M5" s="26">
        <v>45783</v>
      </c>
      <c r="N5" s="25"/>
      <c r="O5" s="25"/>
      <c r="P5" s="25"/>
      <c r="Q5" s="25"/>
      <c r="R5" s="25"/>
      <c r="S5" s="26">
        <v>45803</v>
      </c>
      <c r="T5" s="26"/>
    </row>
    <row r="6" spans="1:20" s="46" customFormat="1" x14ac:dyDescent="0.25">
      <c r="A6" s="25"/>
      <c r="B6" s="25" t="s">
        <v>38</v>
      </c>
      <c r="C6" s="25">
        <v>9935595</v>
      </c>
      <c r="D6" s="25" t="s">
        <v>251</v>
      </c>
      <c r="E6" s="25" t="s">
        <v>252</v>
      </c>
      <c r="F6" s="25" t="s">
        <v>57</v>
      </c>
      <c r="G6" s="25" t="s">
        <v>201</v>
      </c>
      <c r="H6" s="25" t="s">
        <v>196</v>
      </c>
      <c r="I6" s="25" t="s">
        <v>15</v>
      </c>
      <c r="J6" s="25">
        <v>100</v>
      </c>
      <c r="K6" s="25" t="s">
        <v>199</v>
      </c>
      <c r="L6" s="25"/>
      <c r="M6" s="26">
        <v>45787</v>
      </c>
      <c r="N6" s="25"/>
      <c r="O6" s="25" t="s">
        <v>116</v>
      </c>
      <c r="P6" s="25"/>
      <c r="Q6" s="25"/>
      <c r="R6" s="25"/>
      <c r="S6" s="26">
        <v>45803</v>
      </c>
      <c r="T6" s="26"/>
    </row>
    <row r="7" spans="1:20" s="42" customFormat="1" x14ac:dyDescent="0.25">
      <c r="A7"/>
      <c r="B7" s="25" t="s">
        <v>38</v>
      </c>
      <c r="C7">
        <v>9444455</v>
      </c>
      <c r="D7" t="s">
        <v>140</v>
      </c>
      <c r="E7" s="25" t="s">
        <v>217</v>
      </c>
      <c r="F7" t="s">
        <v>244</v>
      </c>
      <c r="G7" t="s">
        <v>201</v>
      </c>
      <c r="H7" t="s">
        <v>196</v>
      </c>
      <c r="I7" t="s">
        <v>15</v>
      </c>
      <c r="J7">
        <v>17</v>
      </c>
      <c r="K7" t="s">
        <v>199</v>
      </c>
      <c r="L7"/>
      <c r="M7" s="37">
        <v>45790</v>
      </c>
      <c r="N7"/>
      <c r="O7"/>
      <c r="P7"/>
      <c r="Q7"/>
      <c r="R7"/>
      <c r="S7" s="26">
        <v>45803</v>
      </c>
      <c r="T7" s="37"/>
    </row>
    <row r="8" spans="1:20" s="42" customFormat="1" x14ac:dyDescent="0.25">
      <c r="A8"/>
      <c r="B8" s="25" t="s">
        <v>38</v>
      </c>
      <c r="C8">
        <v>9444467</v>
      </c>
      <c r="D8" t="s">
        <v>74</v>
      </c>
      <c r="E8" s="25" t="s">
        <v>217</v>
      </c>
      <c r="F8" t="s">
        <v>57</v>
      </c>
      <c r="G8" t="s">
        <v>201</v>
      </c>
      <c r="H8" t="s">
        <v>196</v>
      </c>
      <c r="I8" t="s">
        <v>15</v>
      </c>
      <c r="J8">
        <v>17</v>
      </c>
      <c r="K8" t="s">
        <v>199</v>
      </c>
      <c r="L8"/>
      <c r="M8" s="37">
        <v>45791</v>
      </c>
      <c r="N8"/>
      <c r="O8"/>
      <c r="P8"/>
      <c r="Q8"/>
      <c r="R8"/>
      <c r="S8" s="26">
        <v>45803</v>
      </c>
      <c r="T8" s="37"/>
    </row>
    <row r="9" spans="1:20" s="42" customFormat="1" x14ac:dyDescent="0.25">
      <c r="A9"/>
      <c r="B9" s="25" t="s">
        <v>38</v>
      </c>
      <c r="C9">
        <v>9779965</v>
      </c>
      <c r="D9" t="s">
        <v>255</v>
      </c>
      <c r="E9" s="42" t="s">
        <v>236</v>
      </c>
      <c r="F9" t="s">
        <v>57</v>
      </c>
      <c r="G9" t="s">
        <v>201</v>
      </c>
      <c r="H9" t="s">
        <v>196</v>
      </c>
      <c r="I9" t="s">
        <v>15</v>
      </c>
      <c r="J9">
        <v>100</v>
      </c>
      <c r="K9" t="s">
        <v>199</v>
      </c>
      <c r="L9"/>
      <c r="M9" s="37">
        <v>45794</v>
      </c>
      <c r="N9"/>
      <c r="O9" t="s">
        <v>160</v>
      </c>
      <c r="P9"/>
      <c r="Q9"/>
      <c r="R9"/>
      <c r="S9" s="26">
        <v>45803</v>
      </c>
      <c r="T9" s="37"/>
    </row>
    <row r="10" spans="1:20" s="42" customFormat="1" x14ac:dyDescent="0.25">
      <c r="A10"/>
      <c r="B10" s="25" t="s">
        <v>38</v>
      </c>
      <c r="C10">
        <v>9427471</v>
      </c>
      <c r="D10" t="s">
        <v>257</v>
      </c>
      <c r="E10" s="25" t="s">
        <v>252</v>
      </c>
      <c r="F10" t="s">
        <v>57</v>
      </c>
      <c r="G10" t="s">
        <v>201</v>
      </c>
      <c r="H10" t="s">
        <v>196</v>
      </c>
      <c r="I10" t="s">
        <v>15</v>
      </c>
      <c r="J10">
        <v>90</v>
      </c>
      <c r="K10" t="s">
        <v>199</v>
      </c>
      <c r="L10"/>
      <c r="M10" s="37">
        <v>45800</v>
      </c>
      <c r="N10"/>
      <c r="O10"/>
      <c r="P10"/>
      <c r="Q10"/>
      <c r="R10"/>
      <c r="S10" s="26">
        <v>45803</v>
      </c>
      <c r="T10" s="37"/>
    </row>
    <row r="11" spans="1:20" s="42" customFormat="1" x14ac:dyDescent="0.25">
      <c r="A11"/>
      <c r="B11" s="25" t="s">
        <v>38</v>
      </c>
      <c r="C11">
        <v>9752797</v>
      </c>
      <c r="D11" t="s">
        <v>258</v>
      </c>
      <c r="E11" s="25" t="s">
        <v>222</v>
      </c>
      <c r="F11" t="s">
        <v>57</v>
      </c>
      <c r="G11" t="s">
        <v>201</v>
      </c>
      <c r="H11" t="s">
        <v>196</v>
      </c>
      <c r="I11" t="s">
        <v>15</v>
      </c>
      <c r="J11">
        <v>60</v>
      </c>
      <c r="K11" t="s">
        <v>199</v>
      </c>
      <c r="L11"/>
      <c r="M11" s="37">
        <v>45802</v>
      </c>
      <c r="N11"/>
      <c r="O11"/>
      <c r="P11"/>
      <c r="Q11"/>
      <c r="R11"/>
      <c r="S11" s="26">
        <v>45803</v>
      </c>
      <c r="T11" s="37"/>
    </row>
    <row r="12" spans="1:20" s="42" customFormat="1" x14ac:dyDescent="0.25">
      <c r="A12"/>
      <c r="B12" t="s">
        <v>73</v>
      </c>
      <c r="C12">
        <v>9351452</v>
      </c>
      <c r="D12" t="s">
        <v>259</v>
      </c>
      <c r="E12" s="25" t="s">
        <v>260</v>
      </c>
      <c r="F12" t="s">
        <v>57</v>
      </c>
      <c r="G12" t="s">
        <v>201</v>
      </c>
      <c r="H12" t="s">
        <v>196</v>
      </c>
      <c r="I12" t="s">
        <v>15</v>
      </c>
      <c r="J12">
        <v>60</v>
      </c>
      <c r="K12" t="s">
        <v>199</v>
      </c>
      <c r="L12"/>
      <c r="M12" s="37">
        <v>45804</v>
      </c>
      <c r="N12"/>
      <c r="O12"/>
      <c r="P12"/>
      <c r="Q12"/>
      <c r="R12"/>
      <c r="S12" s="26">
        <v>45803</v>
      </c>
      <c r="T12" s="37"/>
    </row>
    <row r="13" spans="1:20" s="42" customFormat="1" ht="15.75" thickBot="1" x14ac:dyDescent="0.3">
      <c r="A13"/>
      <c r="B13" t="s">
        <v>73</v>
      </c>
      <c r="C13">
        <v>9779587</v>
      </c>
      <c r="D13" t="s">
        <v>188</v>
      </c>
      <c r="E13" s="42" t="s">
        <v>219</v>
      </c>
      <c r="F13" t="s">
        <v>57</v>
      </c>
      <c r="G13" t="s">
        <v>201</v>
      </c>
      <c r="H13" t="s">
        <v>196</v>
      </c>
      <c r="I13" t="s">
        <v>15</v>
      </c>
      <c r="J13">
        <v>70</v>
      </c>
      <c r="K13" t="s">
        <v>199</v>
      </c>
      <c r="L13"/>
      <c r="M13" s="37">
        <v>45808</v>
      </c>
      <c r="N13"/>
      <c r="O13"/>
      <c r="P13"/>
      <c r="Q13"/>
      <c r="R13"/>
      <c r="S13" s="26">
        <v>45803</v>
      </c>
      <c r="T13" s="37"/>
    </row>
    <row r="14" spans="1:20" ht="17.25" customHeight="1" thickBot="1" x14ac:dyDescent="0.3">
      <c r="A14" s="28"/>
      <c r="B14" s="28" t="s">
        <v>37</v>
      </c>
      <c r="C14" s="29"/>
      <c r="D14" s="29"/>
      <c r="E14" s="30"/>
      <c r="F14" s="30"/>
      <c r="G14" s="30"/>
      <c r="H14" s="30"/>
      <c r="I14" s="30"/>
      <c r="J14" s="29">
        <f>SUM(J2:J13)</f>
        <v>684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7" spans="1:20" x14ac:dyDescent="0.25">
      <c r="A17" s="5" t="s">
        <v>189</v>
      </c>
      <c r="B17" s="5" t="s">
        <v>0</v>
      </c>
      <c r="C17" s="38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197</v>
      </c>
      <c r="J17" s="2" t="s">
        <v>200</v>
      </c>
      <c r="K17" s="2" t="s">
        <v>198</v>
      </c>
      <c r="L17" s="2" t="s">
        <v>202</v>
      </c>
      <c r="M17" s="2" t="s">
        <v>203</v>
      </c>
      <c r="N17" s="2" t="s">
        <v>204</v>
      </c>
      <c r="O17" s="2" t="s">
        <v>101</v>
      </c>
      <c r="P17" s="2" t="s">
        <v>205</v>
      </c>
      <c r="Q17" s="2" t="s">
        <v>206</v>
      </c>
      <c r="R17" s="2" t="s">
        <v>207</v>
      </c>
      <c r="S17" s="2" t="s">
        <v>208</v>
      </c>
      <c r="T17" s="2" t="s">
        <v>209</v>
      </c>
    </row>
    <row r="18" spans="1:20" s="42" customFormat="1" ht="15.75" thickBot="1" x14ac:dyDescent="0.3">
      <c r="A18"/>
      <c r="B18" t="s">
        <v>38</v>
      </c>
      <c r="C18">
        <v>9388376</v>
      </c>
      <c r="D18" t="s">
        <v>90</v>
      </c>
      <c r="E18" t="s">
        <v>248</v>
      </c>
      <c r="F18" t="s">
        <v>57</v>
      </c>
      <c r="G18" t="s">
        <v>201</v>
      </c>
      <c r="H18" t="s">
        <v>196</v>
      </c>
      <c r="I18" t="s">
        <v>213</v>
      </c>
      <c r="J18">
        <v>65</v>
      </c>
      <c r="K18" t="s">
        <v>199</v>
      </c>
      <c r="L18"/>
      <c r="M18" s="37">
        <v>45779</v>
      </c>
      <c r="N18"/>
      <c r="O18" t="s">
        <v>116</v>
      </c>
      <c r="P18"/>
      <c r="Q18"/>
      <c r="R18"/>
      <c r="S18" s="26">
        <v>45803</v>
      </c>
      <c r="T18" s="37"/>
    </row>
    <row r="19" spans="1:20" ht="15.75" thickBot="1" x14ac:dyDescent="0.3">
      <c r="A19" s="28"/>
      <c r="B19" s="28" t="s">
        <v>37</v>
      </c>
      <c r="C19" s="29"/>
      <c r="D19" s="29"/>
      <c r="E19" s="30"/>
      <c r="F19" s="30"/>
      <c r="G19" s="30"/>
      <c r="H19" s="30"/>
      <c r="I19" s="30"/>
      <c r="J19" s="29">
        <f>SUM(J18:J18)</f>
        <v>65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5" spans="1:20" x14ac:dyDescent="0.25">
      <c r="E25" t="s">
        <v>256</v>
      </c>
    </row>
  </sheetData>
  <autoFilter ref="A1:T1" xr:uid="{A7D5FE73-B466-49D0-8298-3577F4F89665}">
    <sortState xmlns:xlrd2="http://schemas.microsoft.com/office/spreadsheetml/2017/richdata2" ref="A2:T10">
      <sortCondition ref="M1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D2F2-BCDD-4D1C-A6E3-7D8DA7EC89B1}">
  <dimension ref="A1:T16"/>
  <sheetViews>
    <sheetView workbookViewId="0">
      <selection activeCell="M24" sqref="M24"/>
    </sheetView>
  </sheetViews>
  <sheetFormatPr defaultRowHeight="15" x14ac:dyDescent="0.25"/>
  <cols>
    <col min="1" max="1" width="4.28515625" bestFit="1" customWidth="1"/>
    <col min="2" max="2" width="11.140625" bestFit="1" customWidth="1"/>
    <col min="3" max="3" width="8" bestFit="1" customWidth="1"/>
    <col min="4" max="4" width="23.28515625" bestFit="1" customWidth="1"/>
    <col min="5" max="5" width="20.8554687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5703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s="46" customFormat="1" x14ac:dyDescent="0.25">
      <c r="A2" s="25"/>
      <c r="B2" s="25" t="s">
        <v>38</v>
      </c>
      <c r="C2" s="25">
        <v>9892444</v>
      </c>
      <c r="D2" s="25" t="s">
        <v>265</v>
      </c>
      <c r="E2" s="25" t="s">
        <v>266</v>
      </c>
      <c r="F2" t="s">
        <v>57</v>
      </c>
      <c r="G2" t="s">
        <v>201</v>
      </c>
      <c r="H2" t="s">
        <v>196</v>
      </c>
      <c r="I2" t="s">
        <v>15</v>
      </c>
      <c r="J2" s="25">
        <v>40</v>
      </c>
      <c r="K2" s="25" t="s">
        <v>199</v>
      </c>
      <c r="L2" s="25"/>
      <c r="M2" s="26">
        <v>45782</v>
      </c>
      <c r="N2" s="25"/>
      <c r="O2" s="25"/>
      <c r="P2" s="25"/>
      <c r="Q2" s="25"/>
      <c r="R2" s="25"/>
      <c r="S2" s="26">
        <v>45834</v>
      </c>
      <c r="T2" s="26"/>
    </row>
    <row r="3" spans="1:20" s="46" customFormat="1" x14ac:dyDescent="0.25">
      <c r="A3" s="25"/>
      <c r="B3" s="25" t="s">
        <v>38</v>
      </c>
      <c r="C3" s="25">
        <v>9831024</v>
      </c>
      <c r="D3" s="25" t="s">
        <v>120</v>
      </c>
      <c r="E3" s="25" t="s">
        <v>266</v>
      </c>
      <c r="F3" t="s">
        <v>57</v>
      </c>
      <c r="G3" t="s">
        <v>201</v>
      </c>
      <c r="H3" t="s">
        <v>196</v>
      </c>
      <c r="I3" t="s">
        <v>15</v>
      </c>
      <c r="J3" s="25">
        <v>16</v>
      </c>
      <c r="K3" s="25" t="s">
        <v>199</v>
      </c>
      <c r="L3" s="25"/>
      <c r="M3" s="26">
        <v>45817</v>
      </c>
      <c r="N3" s="25"/>
      <c r="O3" s="25"/>
      <c r="P3" s="25"/>
      <c r="Q3" s="25"/>
      <c r="R3" s="25"/>
      <c r="S3" s="26">
        <v>45834</v>
      </c>
      <c r="T3" s="26"/>
    </row>
    <row r="4" spans="1:20" s="46" customFormat="1" x14ac:dyDescent="0.25">
      <c r="A4" s="25"/>
      <c r="B4" s="25" t="s">
        <v>38</v>
      </c>
      <c r="C4" s="25" t="s">
        <v>267</v>
      </c>
      <c r="D4" s="25" t="s">
        <v>74</v>
      </c>
      <c r="E4" s="25" t="s">
        <v>266</v>
      </c>
      <c r="F4" t="s">
        <v>57</v>
      </c>
      <c r="G4" t="s">
        <v>201</v>
      </c>
      <c r="H4" t="s">
        <v>196</v>
      </c>
      <c r="I4" t="s">
        <v>15</v>
      </c>
      <c r="J4" s="25">
        <v>16</v>
      </c>
      <c r="K4" s="25" t="s">
        <v>199</v>
      </c>
      <c r="L4" s="25"/>
      <c r="M4" s="26">
        <v>45822</v>
      </c>
      <c r="N4" s="25"/>
      <c r="O4" s="25"/>
      <c r="P4" s="25"/>
      <c r="Q4" s="25"/>
      <c r="R4" s="25"/>
      <c r="S4" s="26">
        <v>45834</v>
      </c>
      <c r="T4" s="26"/>
    </row>
    <row r="5" spans="1:20" s="46" customFormat="1" x14ac:dyDescent="0.25">
      <c r="A5" s="25"/>
      <c r="B5" s="25" t="s">
        <v>38</v>
      </c>
      <c r="C5" s="25">
        <v>9550694</v>
      </c>
      <c r="D5" s="25" t="s">
        <v>264</v>
      </c>
      <c r="E5" s="25" t="s">
        <v>219</v>
      </c>
      <c r="F5" t="s">
        <v>57</v>
      </c>
      <c r="G5" t="s">
        <v>201</v>
      </c>
      <c r="H5" t="s">
        <v>196</v>
      </c>
      <c r="I5" t="s">
        <v>15</v>
      </c>
      <c r="J5" s="25">
        <v>70</v>
      </c>
      <c r="K5" s="25" t="s">
        <v>199</v>
      </c>
      <c r="L5" s="25"/>
      <c r="M5" s="26">
        <v>45825</v>
      </c>
      <c r="N5" s="25"/>
      <c r="O5" s="25"/>
      <c r="P5" s="25"/>
      <c r="Q5" s="25"/>
      <c r="R5" s="25"/>
      <c r="S5" s="26">
        <v>45834</v>
      </c>
      <c r="T5" s="26"/>
    </row>
    <row r="6" spans="1:20" s="46" customFormat="1" ht="15.75" thickBot="1" x14ac:dyDescent="0.3">
      <c r="A6" s="25"/>
      <c r="B6" s="25" t="s">
        <v>38</v>
      </c>
      <c r="C6" s="25">
        <v>9792046</v>
      </c>
      <c r="D6" s="25" t="s">
        <v>268</v>
      </c>
      <c r="E6" s="25" t="s">
        <v>222</v>
      </c>
      <c r="F6" t="s">
        <v>57</v>
      </c>
      <c r="G6" t="s">
        <v>201</v>
      </c>
      <c r="H6" t="s">
        <v>196</v>
      </c>
      <c r="I6" t="s">
        <v>15</v>
      </c>
      <c r="J6" s="25">
        <v>60</v>
      </c>
      <c r="K6" s="25" t="s">
        <v>199</v>
      </c>
      <c r="L6" s="25"/>
      <c r="M6" s="26">
        <v>45828</v>
      </c>
      <c r="N6" s="25"/>
      <c r="O6" s="25"/>
      <c r="P6" s="25"/>
      <c r="Q6" s="25"/>
      <c r="R6" s="25"/>
      <c r="S6" s="26">
        <v>45834</v>
      </c>
      <c r="T6" s="26"/>
    </row>
    <row r="7" spans="1:20" ht="17.25" customHeight="1" thickBot="1" x14ac:dyDescent="0.3">
      <c r="A7" s="28"/>
      <c r="B7" s="28" t="s">
        <v>37</v>
      </c>
      <c r="C7" s="29"/>
      <c r="D7" s="29"/>
      <c r="E7" s="30"/>
      <c r="F7" s="30"/>
      <c r="G7" s="30"/>
      <c r="H7" s="30"/>
      <c r="I7" s="30"/>
      <c r="J7" s="29">
        <f>SUM(J2:J6)</f>
        <v>202</v>
      </c>
      <c r="K7" s="29"/>
      <c r="L7" s="29"/>
      <c r="M7" s="29"/>
      <c r="N7" s="29"/>
      <c r="O7" s="29"/>
      <c r="P7" s="29"/>
      <c r="Q7" s="29"/>
      <c r="R7" s="29"/>
      <c r="S7" s="29"/>
      <c r="T7" s="29"/>
    </row>
    <row r="10" spans="1:20" ht="15.75" thickBot="1" x14ac:dyDescent="0.3">
      <c r="A10" s="5" t="s">
        <v>189</v>
      </c>
      <c r="B10" s="5" t="s">
        <v>0</v>
      </c>
      <c r="C10" s="38" t="s">
        <v>190</v>
      </c>
      <c r="D10" s="2" t="s">
        <v>191</v>
      </c>
      <c r="E10" s="2" t="s">
        <v>192</v>
      </c>
      <c r="F10" s="2" t="s">
        <v>193</v>
      </c>
      <c r="G10" s="2" t="s">
        <v>194</v>
      </c>
      <c r="H10" s="2" t="s">
        <v>195</v>
      </c>
      <c r="I10" s="2" t="s">
        <v>197</v>
      </c>
      <c r="J10" s="2" t="s">
        <v>200</v>
      </c>
      <c r="K10" s="2" t="s">
        <v>198</v>
      </c>
      <c r="L10" s="2" t="s">
        <v>202</v>
      </c>
      <c r="M10" s="2" t="s">
        <v>203</v>
      </c>
      <c r="N10" s="2" t="s">
        <v>204</v>
      </c>
      <c r="O10" s="2" t="s">
        <v>101</v>
      </c>
      <c r="P10" s="2" t="s">
        <v>205</v>
      </c>
      <c r="Q10" s="2" t="s">
        <v>206</v>
      </c>
      <c r="R10" s="2" t="s">
        <v>207</v>
      </c>
      <c r="S10" s="2" t="s">
        <v>208</v>
      </c>
      <c r="T10" s="2" t="s">
        <v>209</v>
      </c>
    </row>
    <row r="11" spans="1:20" s="42" customFormat="1" ht="15.75" thickBot="1" x14ac:dyDescent="0.3">
      <c r="A11" s="28"/>
      <c r="B11" s="28" t="s">
        <v>37</v>
      </c>
      <c r="C11" s="29"/>
      <c r="D11" s="29"/>
      <c r="E11" s="30"/>
      <c r="F11" s="30"/>
      <c r="G11" s="30"/>
      <c r="H11" s="30"/>
      <c r="I11" s="3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5" spans="1:20" x14ac:dyDescent="0.25">
      <c r="A15" s="25"/>
      <c r="B15" s="25" t="s">
        <v>73</v>
      </c>
      <c r="C15" s="25">
        <v>9407263</v>
      </c>
      <c r="D15" s="25" t="s">
        <v>262</v>
      </c>
      <c r="E15" s="25" t="s">
        <v>263</v>
      </c>
      <c r="F15" t="s">
        <v>57</v>
      </c>
      <c r="G15" t="s">
        <v>201</v>
      </c>
      <c r="H15" t="s">
        <v>196</v>
      </c>
      <c r="I15" t="s">
        <v>15</v>
      </c>
      <c r="J15" s="25">
        <v>60</v>
      </c>
      <c r="K15" s="25" t="s">
        <v>199</v>
      </c>
      <c r="L15" s="25"/>
      <c r="M15" s="26">
        <v>45823</v>
      </c>
      <c r="N15" s="25"/>
      <c r="O15" s="25"/>
      <c r="P15" s="25"/>
      <c r="Q15" s="25"/>
      <c r="R15" s="25"/>
      <c r="S15" s="26">
        <v>45811</v>
      </c>
      <c r="T15" s="26"/>
    </row>
    <row r="16" spans="1:20" s="46" customFormat="1" x14ac:dyDescent="0.25">
      <c r="A16"/>
      <c r="B16" t="s">
        <v>73</v>
      </c>
      <c r="C16">
        <v>9886782</v>
      </c>
      <c r="D16" t="s">
        <v>261</v>
      </c>
      <c r="E16" t="s">
        <v>238</v>
      </c>
      <c r="F16" t="s">
        <v>57</v>
      </c>
      <c r="G16" t="s">
        <v>201</v>
      </c>
      <c r="H16" t="s">
        <v>196</v>
      </c>
      <c r="I16" t="s">
        <v>213</v>
      </c>
      <c r="J16">
        <v>100</v>
      </c>
      <c r="K16" t="s">
        <v>199</v>
      </c>
      <c r="L16"/>
      <c r="M16" s="37">
        <v>45814</v>
      </c>
      <c r="N16"/>
      <c r="O16"/>
      <c r="P16"/>
      <c r="Q16"/>
      <c r="R16"/>
      <c r="S16" s="26">
        <v>45813</v>
      </c>
      <c r="T16" s="37"/>
    </row>
  </sheetData>
  <autoFilter ref="A1:T1" xr:uid="{2FD4D2F2-BCDD-4D1C-A6E3-7D8DA7EC89B1}">
    <sortState xmlns:xlrd2="http://schemas.microsoft.com/office/spreadsheetml/2017/richdata2" ref="A2:T5">
      <sortCondition ref="M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7DBC-65A6-4634-B36C-E57C24FC80ED}">
  <dimension ref="A1:T14"/>
  <sheetViews>
    <sheetView workbookViewId="0">
      <selection activeCell="I22" sqref="I22"/>
    </sheetView>
  </sheetViews>
  <sheetFormatPr defaultRowHeight="15" x14ac:dyDescent="0.25"/>
  <cols>
    <col min="1" max="1" width="4.28515625" bestFit="1" customWidth="1"/>
    <col min="2" max="2" width="11.140625" bestFit="1" customWidth="1"/>
    <col min="3" max="3" width="8" bestFit="1" customWidth="1"/>
    <col min="4" max="4" width="16.5703125" bestFit="1" customWidth="1"/>
    <col min="5" max="5" width="27.2851562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42578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s="46" customFormat="1" x14ac:dyDescent="0.25">
      <c r="A2" s="25"/>
      <c r="B2" s="25" t="s">
        <v>38</v>
      </c>
      <c r="C2" s="25">
        <v>9444455</v>
      </c>
      <c r="D2" s="25" t="s">
        <v>140</v>
      </c>
      <c r="E2" s="25" t="s">
        <v>217</v>
      </c>
      <c r="F2" t="s">
        <v>57</v>
      </c>
      <c r="G2" t="s">
        <v>201</v>
      </c>
      <c r="H2" t="s">
        <v>196</v>
      </c>
      <c r="I2" t="s">
        <v>15</v>
      </c>
      <c r="J2" s="25">
        <v>17</v>
      </c>
      <c r="K2" s="25" t="s">
        <v>199</v>
      </c>
      <c r="L2" s="25"/>
      <c r="M2" s="26">
        <v>45839</v>
      </c>
      <c r="N2" s="25"/>
      <c r="O2" s="25"/>
      <c r="P2" s="25"/>
      <c r="Q2" s="25"/>
      <c r="R2" s="25"/>
      <c r="S2" s="26">
        <v>45863</v>
      </c>
      <c r="T2" s="26"/>
    </row>
    <row r="3" spans="1:20" s="46" customFormat="1" x14ac:dyDescent="0.25">
      <c r="A3" s="25"/>
      <c r="B3" s="25" t="s">
        <v>38</v>
      </c>
      <c r="C3" s="25">
        <v>9309241</v>
      </c>
      <c r="D3" s="25" t="s">
        <v>269</v>
      </c>
      <c r="E3" s="25" t="s">
        <v>270</v>
      </c>
      <c r="F3" t="s">
        <v>57</v>
      </c>
      <c r="G3" t="s">
        <v>201</v>
      </c>
      <c r="H3" t="s">
        <v>196</v>
      </c>
      <c r="I3" t="s">
        <v>15</v>
      </c>
      <c r="J3" s="25">
        <v>60</v>
      </c>
      <c r="K3" s="25" t="s">
        <v>199</v>
      </c>
      <c r="L3" s="25"/>
      <c r="M3" s="26">
        <v>45844</v>
      </c>
      <c r="N3" s="25"/>
      <c r="O3" s="25"/>
      <c r="P3" s="25"/>
      <c r="Q3" s="25"/>
      <c r="R3" s="25"/>
      <c r="S3" s="26">
        <v>45863</v>
      </c>
      <c r="T3" s="26"/>
    </row>
    <row r="4" spans="1:20" s="46" customFormat="1" x14ac:dyDescent="0.25">
      <c r="A4" s="25"/>
      <c r="B4" s="25" t="s">
        <v>38</v>
      </c>
      <c r="C4" s="25">
        <v>9887396</v>
      </c>
      <c r="D4" s="25" t="s">
        <v>274</v>
      </c>
      <c r="E4" s="25" t="s">
        <v>222</v>
      </c>
      <c r="F4" t="s">
        <v>57</v>
      </c>
      <c r="G4" t="s">
        <v>201</v>
      </c>
      <c r="H4" t="s">
        <v>196</v>
      </c>
      <c r="I4" t="s">
        <v>15</v>
      </c>
      <c r="J4" s="25">
        <v>25</v>
      </c>
      <c r="K4" s="25" t="s">
        <v>199</v>
      </c>
      <c r="L4" s="25"/>
      <c r="M4" s="26">
        <v>45844</v>
      </c>
      <c r="N4" s="25"/>
      <c r="O4" s="25"/>
      <c r="P4" s="25"/>
      <c r="Q4" s="25"/>
      <c r="R4" s="25"/>
      <c r="S4" s="26">
        <v>45863</v>
      </c>
      <c r="T4" s="26"/>
    </row>
    <row r="5" spans="1:20" s="46" customFormat="1" x14ac:dyDescent="0.25">
      <c r="A5" s="25"/>
      <c r="B5" s="25" t="s">
        <v>38</v>
      </c>
      <c r="C5" s="25">
        <v>9729283</v>
      </c>
      <c r="D5" s="25" t="s">
        <v>275</v>
      </c>
      <c r="E5" s="25" t="s">
        <v>276</v>
      </c>
      <c r="F5" t="s">
        <v>57</v>
      </c>
      <c r="G5" t="s">
        <v>201</v>
      </c>
      <c r="H5" t="s">
        <v>196</v>
      </c>
      <c r="I5" t="s">
        <v>15</v>
      </c>
      <c r="J5" s="25">
        <v>10</v>
      </c>
      <c r="K5" s="25" t="s">
        <v>199</v>
      </c>
      <c r="L5" s="25"/>
      <c r="M5" s="26">
        <v>45844</v>
      </c>
      <c r="N5" s="25"/>
      <c r="O5" s="25"/>
      <c r="P5" s="25"/>
      <c r="Q5" s="25"/>
      <c r="R5" s="25"/>
      <c r="S5" s="26">
        <v>45863</v>
      </c>
      <c r="T5" s="26"/>
    </row>
    <row r="6" spans="1:20" s="46" customFormat="1" x14ac:dyDescent="0.25">
      <c r="A6" s="25"/>
      <c r="B6" s="25" t="s">
        <v>38</v>
      </c>
      <c r="C6" s="25">
        <v>9444467</v>
      </c>
      <c r="D6" s="25" t="s">
        <v>74</v>
      </c>
      <c r="E6" s="25" t="s">
        <v>217</v>
      </c>
      <c r="F6" s="25" t="s">
        <v>10</v>
      </c>
      <c r="G6" t="s">
        <v>201</v>
      </c>
      <c r="H6" t="s">
        <v>196</v>
      </c>
      <c r="I6" t="s">
        <v>15</v>
      </c>
      <c r="J6" s="25">
        <v>15</v>
      </c>
      <c r="K6" s="25" t="s">
        <v>199</v>
      </c>
      <c r="L6" s="25"/>
      <c r="M6" s="26">
        <v>45846</v>
      </c>
      <c r="N6" s="25"/>
      <c r="O6" s="25"/>
      <c r="P6" s="25"/>
      <c r="Q6" s="25"/>
      <c r="R6" s="25"/>
      <c r="S6" s="26">
        <v>45863</v>
      </c>
      <c r="T6" s="26"/>
    </row>
    <row r="7" spans="1:20" s="46" customFormat="1" x14ac:dyDescent="0.25">
      <c r="A7" s="25"/>
      <c r="B7" s="25" t="s">
        <v>38</v>
      </c>
      <c r="C7" s="25">
        <v>9329409</v>
      </c>
      <c r="D7" s="25" t="s">
        <v>272</v>
      </c>
      <c r="E7" s="25" t="s">
        <v>273</v>
      </c>
      <c r="F7" t="s">
        <v>10</v>
      </c>
      <c r="G7" t="s">
        <v>201</v>
      </c>
      <c r="H7" t="s">
        <v>196</v>
      </c>
      <c r="I7" t="s">
        <v>15</v>
      </c>
      <c r="J7" s="25">
        <v>100</v>
      </c>
      <c r="K7" s="25" t="s">
        <v>199</v>
      </c>
      <c r="L7" s="25"/>
      <c r="M7" s="26">
        <v>45848</v>
      </c>
      <c r="N7" s="25"/>
      <c r="O7" s="25"/>
      <c r="P7" s="25"/>
      <c r="Q7" s="25"/>
      <c r="R7" s="25"/>
      <c r="S7" s="26">
        <v>45863</v>
      </c>
      <c r="T7" s="26"/>
    </row>
    <row r="8" spans="1:20" s="46" customFormat="1" x14ac:dyDescent="0.25">
      <c r="A8" s="25"/>
      <c r="B8" s="25" t="s">
        <v>38</v>
      </c>
      <c r="C8" s="25">
        <v>9444479</v>
      </c>
      <c r="D8" s="25" t="s">
        <v>52</v>
      </c>
      <c r="E8" s="25" t="s">
        <v>217</v>
      </c>
      <c r="F8" t="s">
        <v>57</v>
      </c>
      <c r="G8" t="s">
        <v>201</v>
      </c>
      <c r="H8" t="s">
        <v>196</v>
      </c>
      <c r="I8" t="s">
        <v>15</v>
      </c>
      <c r="J8" s="25">
        <v>15</v>
      </c>
      <c r="K8" s="25" t="s">
        <v>199</v>
      </c>
      <c r="L8" s="25"/>
      <c r="M8" s="26">
        <v>45851</v>
      </c>
      <c r="N8" s="25"/>
      <c r="O8" s="25"/>
      <c r="P8" s="25"/>
      <c r="Q8" s="25"/>
      <c r="R8" s="25"/>
      <c r="S8" s="26">
        <v>45863</v>
      </c>
      <c r="T8" s="26"/>
    </row>
    <row r="9" spans="1:20" s="46" customFormat="1" x14ac:dyDescent="0.25">
      <c r="A9" s="25"/>
      <c r="B9" s="25" t="s">
        <v>38</v>
      </c>
      <c r="C9" s="25">
        <v>9749489</v>
      </c>
      <c r="D9" s="25" t="s">
        <v>271</v>
      </c>
      <c r="E9" s="25" t="s">
        <v>218</v>
      </c>
      <c r="F9" t="s">
        <v>57</v>
      </c>
      <c r="G9" t="s">
        <v>201</v>
      </c>
      <c r="H9" t="s">
        <v>196</v>
      </c>
      <c r="I9" t="s">
        <v>15</v>
      </c>
      <c r="J9" s="25">
        <v>120</v>
      </c>
      <c r="K9" s="25" t="s">
        <v>199</v>
      </c>
      <c r="L9" s="25"/>
      <c r="M9" s="26">
        <v>45855</v>
      </c>
      <c r="N9" s="25"/>
      <c r="O9" s="25" t="s">
        <v>113</v>
      </c>
      <c r="P9" s="25"/>
      <c r="Q9" s="25"/>
      <c r="R9" s="25"/>
      <c r="S9" s="26">
        <v>45863</v>
      </c>
      <c r="T9" s="26"/>
    </row>
    <row r="10" spans="1:20" s="46" customFormat="1" x14ac:dyDescent="0.25">
      <c r="A10" s="25"/>
      <c r="B10" s="25" t="s">
        <v>38</v>
      </c>
      <c r="C10" s="25">
        <v>9447328</v>
      </c>
      <c r="D10" s="25" t="s">
        <v>84</v>
      </c>
      <c r="E10" s="25" t="s">
        <v>217</v>
      </c>
      <c r="F10" t="s">
        <v>57</v>
      </c>
      <c r="G10" t="s">
        <v>201</v>
      </c>
      <c r="H10" t="s">
        <v>196</v>
      </c>
      <c r="I10" t="s">
        <v>15</v>
      </c>
      <c r="J10" s="25">
        <v>16</v>
      </c>
      <c r="K10" s="25" t="s">
        <v>199</v>
      </c>
      <c r="L10" s="25"/>
      <c r="M10" s="26">
        <v>45855</v>
      </c>
      <c r="N10" s="25"/>
      <c r="O10" s="25"/>
      <c r="P10" s="25"/>
      <c r="Q10" s="25"/>
      <c r="R10" s="25"/>
      <c r="S10" s="26">
        <v>45863</v>
      </c>
      <c r="T10" s="26"/>
    </row>
    <row r="11" spans="1:20" s="46" customFormat="1" x14ac:dyDescent="0.25">
      <c r="A11" s="25"/>
      <c r="B11" s="25" t="s">
        <v>38</v>
      </c>
      <c r="C11" s="25">
        <v>9473925</v>
      </c>
      <c r="D11" s="25" t="s">
        <v>42</v>
      </c>
      <c r="E11" s="25" t="s">
        <v>217</v>
      </c>
      <c r="F11" t="s">
        <v>57</v>
      </c>
      <c r="G11" t="s">
        <v>201</v>
      </c>
      <c r="H11" t="s">
        <v>196</v>
      </c>
      <c r="I11" t="s">
        <v>15</v>
      </c>
      <c r="J11" s="25">
        <v>16</v>
      </c>
      <c r="K11" s="25" t="s">
        <v>199</v>
      </c>
      <c r="L11" s="25"/>
      <c r="M11" s="26">
        <v>45860</v>
      </c>
      <c r="N11" s="25"/>
      <c r="O11" s="25"/>
      <c r="P11" s="25"/>
      <c r="Q11" s="25"/>
      <c r="R11" s="25"/>
      <c r="S11" s="26">
        <v>45863</v>
      </c>
      <c r="T11" s="26"/>
    </row>
    <row r="12" spans="1:20" s="46" customFormat="1" x14ac:dyDescent="0.25">
      <c r="A12" s="25"/>
      <c r="B12" s="25" t="s">
        <v>38</v>
      </c>
      <c r="C12" s="25">
        <v>9283978</v>
      </c>
      <c r="D12" s="25" t="s">
        <v>280</v>
      </c>
      <c r="E12" s="25" t="s">
        <v>246</v>
      </c>
      <c r="F12" t="s">
        <v>57</v>
      </c>
      <c r="G12" t="s">
        <v>201</v>
      </c>
      <c r="H12" t="s">
        <v>196</v>
      </c>
      <c r="I12" t="s">
        <v>15</v>
      </c>
      <c r="J12" s="25">
        <v>16</v>
      </c>
      <c r="K12" s="25" t="s">
        <v>199</v>
      </c>
      <c r="L12" s="25"/>
      <c r="M12" s="26">
        <v>45866</v>
      </c>
      <c r="N12" s="25"/>
      <c r="O12" s="25"/>
      <c r="P12" s="25"/>
      <c r="Q12" s="25"/>
      <c r="R12" s="25"/>
      <c r="S12" s="26"/>
      <c r="T12" s="26"/>
    </row>
    <row r="13" spans="1:20" s="46" customFormat="1" ht="15.75" thickBot="1" x14ac:dyDescent="0.3">
      <c r="A13" s="25"/>
      <c r="B13" s="25" t="s">
        <v>38</v>
      </c>
      <c r="C13" s="25">
        <v>9891660</v>
      </c>
      <c r="D13" s="25" t="s">
        <v>279</v>
      </c>
      <c r="E13" s="25" t="s">
        <v>281</v>
      </c>
      <c r="F13" t="s">
        <v>57</v>
      </c>
      <c r="G13" t="s">
        <v>201</v>
      </c>
      <c r="H13" t="s">
        <v>196</v>
      </c>
      <c r="I13" t="s">
        <v>15</v>
      </c>
      <c r="J13" s="25">
        <v>100</v>
      </c>
      <c r="K13" s="25" t="s">
        <v>199</v>
      </c>
      <c r="L13" s="25"/>
      <c r="M13" s="26">
        <v>45867</v>
      </c>
      <c r="N13" s="25"/>
      <c r="O13" s="25"/>
      <c r="P13" s="25"/>
      <c r="Q13" s="25"/>
      <c r="R13" s="25"/>
      <c r="S13" s="26"/>
      <c r="T13" s="26"/>
    </row>
    <row r="14" spans="1:20" ht="17.25" customHeight="1" thickBot="1" x14ac:dyDescent="0.3">
      <c r="A14" s="28"/>
      <c r="B14" s="28" t="s">
        <v>37</v>
      </c>
      <c r="C14" s="29"/>
      <c r="D14" s="29"/>
      <c r="E14" s="30"/>
      <c r="F14" s="30"/>
      <c r="G14" s="30"/>
      <c r="H14" s="30"/>
      <c r="I14" s="30"/>
      <c r="J14" s="29">
        <f>SUM(J2:J13)</f>
        <v>510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</row>
  </sheetData>
  <autoFilter ref="A1:T1" xr:uid="{11C57DBC-65A6-4634-B36C-E57C24FC80ED}">
    <sortState xmlns:xlrd2="http://schemas.microsoft.com/office/spreadsheetml/2017/richdata2" ref="A2:T14">
      <sortCondition ref="M1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E6A0-7266-439A-A211-243CCBB5FED7}">
  <dimension ref="A1:T18"/>
  <sheetViews>
    <sheetView workbookViewId="0">
      <selection activeCell="M34" sqref="M34"/>
    </sheetView>
  </sheetViews>
  <sheetFormatPr defaultRowHeight="15" x14ac:dyDescent="0.25"/>
  <cols>
    <col min="1" max="1" width="4.28515625" bestFit="1" customWidth="1"/>
    <col min="2" max="2" width="11.140625" bestFit="1" customWidth="1"/>
    <col min="3" max="3" width="8" bestFit="1" customWidth="1"/>
    <col min="4" max="4" width="16.5703125" bestFit="1" customWidth="1"/>
    <col min="5" max="5" width="27.2851562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42578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x14ac:dyDescent="0.25">
      <c r="A2" s="25"/>
      <c r="B2" s="25" t="s">
        <v>38</v>
      </c>
      <c r="C2" s="25">
        <v>9444479</v>
      </c>
      <c r="D2" s="25" t="s">
        <v>52</v>
      </c>
      <c r="E2" s="25" t="s">
        <v>217</v>
      </c>
      <c r="F2" t="s">
        <v>57</v>
      </c>
      <c r="G2" t="s">
        <v>201</v>
      </c>
      <c r="H2" t="s">
        <v>196</v>
      </c>
      <c r="I2" t="s">
        <v>15</v>
      </c>
      <c r="J2" s="25">
        <v>17</v>
      </c>
      <c r="K2" s="25" t="s">
        <v>199</v>
      </c>
      <c r="L2" s="25"/>
      <c r="M2" s="26">
        <v>45871</v>
      </c>
      <c r="N2" s="25"/>
      <c r="O2" s="25"/>
      <c r="P2" s="25"/>
      <c r="Q2" s="25"/>
      <c r="R2" s="25"/>
      <c r="S2" s="26">
        <v>45898</v>
      </c>
      <c r="T2" s="26"/>
    </row>
    <row r="3" spans="1:20" x14ac:dyDescent="0.25">
      <c r="A3" s="25"/>
      <c r="B3" s="25" t="s">
        <v>38</v>
      </c>
      <c r="C3" s="25">
        <v>9792187</v>
      </c>
      <c r="D3" s="25" t="s">
        <v>277</v>
      </c>
      <c r="E3" s="25" t="s">
        <v>278</v>
      </c>
      <c r="F3" t="s">
        <v>57</v>
      </c>
      <c r="G3" t="s">
        <v>201</v>
      </c>
      <c r="H3" t="s">
        <v>196</v>
      </c>
      <c r="I3" t="s">
        <v>15</v>
      </c>
      <c r="J3" s="25">
        <v>40</v>
      </c>
      <c r="K3" s="25" t="s">
        <v>199</v>
      </c>
      <c r="L3" s="25"/>
      <c r="M3" s="26">
        <v>45874</v>
      </c>
      <c r="N3" s="25"/>
      <c r="O3" s="25"/>
      <c r="P3" s="25"/>
      <c r="Q3" s="25"/>
      <c r="R3" s="25"/>
      <c r="S3" s="26">
        <v>45898</v>
      </c>
      <c r="T3" s="26"/>
    </row>
    <row r="4" spans="1:20" x14ac:dyDescent="0.25">
      <c r="A4" s="25"/>
      <c r="B4" s="25" t="s">
        <v>38</v>
      </c>
      <c r="C4" s="25">
        <v>9444455</v>
      </c>
      <c r="D4" s="25" t="s">
        <v>140</v>
      </c>
      <c r="E4" s="25" t="s">
        <v>217</v>
      </c>
      <c r="F4" t="s">
        <v>57</v>
      </c>
      <c r="G4" t="s">
        <v>201</v>
      </c>
      <c r="H4" t="s">
        <v>196</v>
      </c>
      <c r="I4" t="s">
        <v>15</v>
      </c>
      <c r="J4" s="25">
        <v>17</v>
      </c>
      <c r="K4" s="25" t="s">
        <v>199</v>
      </c>
      <c r="L4" s="25"/>
      <c r="M4" s="26">
        <v>45874</v>
      </c>
      <c r="N4" s="25"/>
      <c r="O4" s="25"/>
      <c r="P4" s="25"/>
      <c r="Q4" s="25"/>
      <c r="R4" s="25"/>
      <c r="S4" s="26">
        <v>45898</v>
      </c>
      <c r="T4" s="26"/>
    </row>
    <row r="5" spans="1:20" x14ac:dyDescent="0.25">
      <c r="A5" s="25"/>
      <c r="B5" s="25" t="s">
        <v>38</v>
      </c>
      <c r="C5" s="25">
        <v>9444479</v>
      </c>
      <c r="D5" s="25" t="s">
        <v>52</v>
      </c>
      <c r="E5" s="25" t="s">
        <v>246</v>
      </c>
      <c r="F5" t="s">
        <v>57</v>
      </c>
      <c r="G5" t="s">
        <v>201</v>
      </c>
      <c r="H5" t="s">
        <v>196</v>
      </c>
      <c r="I5" t="s">
        <v>15</v>
      </c>
      <c r="J5" s="25">
        <v>17</v>
      </c>
      <c r="K5" s="25" t="s">
        <v>199</v>
      </c>
      <c r="L5" s="25"/>
      <c r="M5" s="26">
        <v>45877</v>
      </c>
      <c r="N5" s="25"/>
      <c r="O5" s="25"/>
      <c r="P5" s="25"/>
      <c r="Q5" s="25"/>
      <c r="R5" s="25"/>
      <c r="S5" s="26">
        <v>45898</v>
      </c>
      <c r="T5" s="26"/>
    </row>
    <row r="6" spans="1:20" x14ac:dyDescent="0.25">
      <c r="A6" s="25"/>
      <c r="B6" s="25" t="s">
        <v>38</v>
      </c>
      <c r="C6" s="25">
        <v>9447328</v>
      </c>
      <c r="D6" s="25" t="s">
        <v>84</v>
      </c>
      <c r="E6" s="25" t="s">
        <v>217</v>
      </c>
      <c r="F6" t="s">
        <v>57</v>
      </c>
      <c r="G6" t="s">
        <v>201</v>
      </c>
      <c r="H6" t="s">
        <v>196</v>
      </c>
      <c r="I6" t="s">
        <v>15</v>
      </c>
      <c r="J6" s="25">
        <v>17</v>
      </c>
      <c r="K6" s="25" t="s">
        <v>199</v>
      </c>
      <c r="L6" s="25"/>
      <c r="M6" s="26">
        <v>45878</v>
      </c>
      <c r="N6" s="25"/>
      <c r="O6" s="25"/>
      <c r="P6" s="25"/>
      <c r="Q6" s="25"/>
      <c r="R6" s="25"/>
      <c r="S6" s="26">
        <v>45898</v>
      </c>
      <c r="T6" s="26"/>
    </row>
    <row r="7" spans="1:20" x14ac:dyDescent="0.25">
      <c r="A7" s="25"/>
      <c r="B7" s="25" t="s">
        <v>38</v>
      </c>
      <c r="C7" s="25">
        <v>9899296</v>
      </c>
      <c r="D7" s="25" t="s">
        <v>77</v>
      </c>
      <c r="E7" s="25" t="s">
        <v>222</v>
      </c>
      <c r="F7" t="s">
        <v>57</v>
      </c>
      <c r="G7" t="s">
        <v>201</v>
      </c>
      <c r="H7" t="s">
        <v>196</v>
      </c>
      <c r="I7" t="s">
        <v>15</v>
      </c>
      <c r="J7" s="25">
        <v>100</v>
      </c>
      <c r="K7" s="25" t="s">
        <v>199</v>
      </c>
      <c r="L7" s="25"/>
      <c r="M7" s="26">
        <v>45881</v>
      </c>
      <c r="N7" s="25"/>
      <c r="O7" s="25"/>
      <c r="P7" s="25"/>
      <c r="Q7" s="25"/>
      <c r="R7" s="25"/>
      <c r="S7" s="26">
        <v>45898</v>
      </c>
      <c r="T7" s="26"/>
    </row>
    <row r="8" spans="1:20" x14ac:dyDescent="0.25">
      <c r="A8" s="25"/>
      <c r="B8" s="25" t="s">
        <v>38</v>
      </c>
      <c r="C8" s="25">
        <v>9456915</v>
      </c>
      <c r="D8" s="25" t="s">
        <v>282</v>
      </c>
      <c r="E8" s="25" t="s">
        <v>283</v>
      </c>
      <c r="F8" t="s">
        <v>57</v>
      </c>
      <c r="G8" t="s">
        <v>201</v>
      </c>
      <c r="H8" t="s">
        <v>196</v>
      </c>
      <c r="I8" t="s">
        <v>15</v>
      </c>
      <c r="J8" s="25">
        <v>50</v>
      </c>
      <c r="K8" s="25" t="s">
        <v>199</v>
      </c>
      <c r="L8" s="25"/>
      <c r="M8" s="26">
        <v>45885</v>
      </c>
      <c r="N8" s="25"/>
      <c r="O8" s="25"/>
      <c r="P8" s="25"/>
      <c r="Q8" s="25"/>
      <c r="R8" s="25"/>
      <c r="S8" s="26">
        <v>45898</v>
      </c>
      <c r="T8" s="26"/>
    </row>
    <row r="9" spans="1:20" x14ac:dyDescent="0.25">
      <c r="A9" s="25"/>
      <c r="B9" s="25" t="s">
        <v>38</v>
      </c>
      <c r="C9" s="25">
        <v>9444479</v>
      </c>
      <c r="D9" s="25" t="s">
        <v>52</v>
      </c>
      <c r="E9" s="25" t="s">
        <v>217</v>
      </c>
      <c r="F9" t="s">
        <v>57</v>
      </c>
      <c r="G9" t="s">
        <v>201</v>
      </c>
      <c r="H9" t="s">
        <v>196</v>
      </c>
      <c r="I9" t="s">
        <v>15</v>
      </c>
      <c r="J9" s="25">
        <v>17</v>
      </c>
      <c r="K9" s="25" t="s">
        <v>199</v>
      </c>
      <c r="L9" s="25"/>
      <c r="M9" s="26">
        <v>45888</v>
      </c>
      <c r="N9" s="25"/>
      <c r="O9" s="25"/>
      <c r="P9" s="25"/>
      <c r="Q9" s="25"/>
      <c r="R9" s="25"/>
      <c r="S9" s="26">
        <v>45898</v>
      </c>
      <c r="T9" s="26"/>
    </row>
    <row r="10" spans="1:20" x14ac:dyDescent="0.25">
      <c r="A10" s="25"/>
      <c r="B10" s="25" t="s">
        <v>38</v>
      </c>
      <c r="C10" s="25">
        <v>9301536</v>
      </c>
      <c r="D10" s="25" t="s">
        <v>284</v>
      </c>
      <c r="E10" s="25" t="s">
        <v>278</v>
      </c>
      <c r="F10" t="s">
        <v>57</v>
      </c>
      <c r="G10" t="s">
        <v>201</v>
      </c>
      <c r="H10" t="s">
        <v>196</v>
      </c>
      <c r="I10" t="s">
        <v>15</v>
      </c>
      <c r="J10" s="25">
        <v>20</v>
      </c>
      <c r="K10" s="25" t="s">
        <v>199</v>
      </c>
      <c r="L10" s="25"/>
      <c r="M10" s="26">
        <v>45891</v>
      </c>
      <c r="N10" s="25"/>
      <c r="O10" s="25"/>
      <c r="P10" s="25"/>
      <c r="Q10" s="25"/>
      <c r="R10" s="25"/>
      <c r="S10" s="26">
        <v>45898</v>
      </c>
      <c r="T10" s="26"/>
    </row>
    <row r="11" spans="1:20" ht="15.75" thickBot="1" x14ac:dyDescent="0.3">
      <c r="A11" s="25"/>
      <c r="B11" s="25" t="s">
        <v>38</v>
      </c>
      <c r="C11" s="25">
        <v>9447328</v>
      </c>
      <c r="D11" s="25" t="s">
        <v>84</v>
      </c>
      <c r="E11" s="25" t="s">
        <v>217</v>
      </c>
      <c r="F11" t="s">
        <v>57</v>
      </c>
      <c r="G11" t="s">
        <v>201</v>
      </c>
      <c r="H11" t="s">
        <v>196</v>
      </c>
      <c r="I11" t="s">
        <v>15</v>
      </c>
      <c r="J11" s="25">
        <v>18</v>
      </c>
      <c r="K11" s="25" t="s">
        <v>199</v>
      </c>
      <c r="L11" s="25"/>
      <c r="M11" s="26">
        <v>45895</v>
      </c>
      <c r="N11" s="25"/>
      <c r="O11" s="25"/>
      <c r="P11" s="25"/>
      <c r="Q11" s="25"/>
      <c r="R11" s="25"/>
      <c r="S11" s="26">
        <v>45898</v>
      </c>
      <c r="T11" s="26"/>
    </row>
    <row r="12" spans="1:20" ht="15.75" thickBot="1" x14ac:dyDescent="0.3">
      <c r="A12" s="28"/>
      <c r="B12" s="28" t="s">
        <v>37</v>
      </c>
      <c r="C12" s="29"/>
      <c r="D12" s="29"/>
      <c r="E12" s="30"/>
      <c r="F12" s="30"/>
      <c r="G12" s="30"/>
      <c r="H12" s="30"/>
      <c r="I12" s="30"/>
      <c r="J12" s="29">
        <f>SUM(J2:J11)</f>
        <v>313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6" spans="1:20" ht="18.75" x14ac:dyDescent="0.3">
      <c r="B16" s="47" t="s">
        <v>213</v>
      </c>
    </row>
    <row r="17" spans="1:20" ht="15.75" thickBot="1" x14ac:dyDescent="0.3">
      <c r="A17" s="5" t="s">
        <v>189</v>
      </c>
      <c r="B17" s="5" t="s">
        <v>0</v>
      </c>
      <c r="C17" s="38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197</v>
      </c>
      <c r="J17" s="2" t="s">
        <v>200</v>
      </c>
      <c r="K17" s="2" t="s">
        <v>198</v>
      </c>
      <c r="L17" s="2" t="s">
        <v>202</v>
      </c>
      <c r="M17" s="2" t="s">
        <v>203</v>
      </c>
      <c r="N17" s="2" t="s">
        <v>204</v>
      </c>
      <c r="O17" s="2" t="s">
        <v>101</v>
      </c>
      <c r="P17" s="2" t="s">
        <v>205</v>
      </c>
      <c r="Q17" s="2" t="s">
        <v>206</v>
      </c>
      <c r="R17" s="2" t="s">
        <v>207</v>
      </c>
      <c r="S17" s="2" t="s">
        <v>208</v>
      </c>
      <c r="T17" s="2" t="s">
        <v>209</v>
      </c>
    </row>
    <row r="18" spans="1:20" ht="15.75" thickBot="1" x14ac:dyDescent="0.3">
      <c r="A18" s="28"/>
      <c r="B18" s="28" t="s">
        <v>37</v>
      </c>
      <c r="C18" s="29"/>
      <c r="D18" s="29"/>
      <c r="E18" s="30"/>
      <c r="F18" s="30"/>
      <c r="G18" s="30"/>
      <c r="H18" s="30"/>
      <c r="I18" s="30"/>
      <c r="J18" s="29" t="e">
        <f>SUM(#REF!)</f>
        <v>#REF!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</row>
  </sheetData>
  <autoFilter ref="A1:T1" xr:uid="{32C8E6A0-7266-439A-A211-243CCBB5FED7}">
    <sortState xmlns:xlrd2="http://schemas.microsoft.com/office/spreadsheetml/2017/richdata2" ref="A2:T11">
      <sortCondition ref="M1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E1B2-9435-47A8-B464-1E4677A9EC9E}">
  <dimension ref="A1:T21"/>
  <sheetViews>
    <sheetView workbookViewId="0">
      <selection activeCell="O30" sqref="O30"/>
    </sheetView>
  </sheetViews>
  <sheetFormatPr defaultRowHeight="15" x14ac:dyDescent="0.25"/>
  <cols>
    <col min="1" max="1" width="4.28515625" bestFit="1" customWidth="1"/>
    <col min="2" max="2" width="14.140625" bestFit="1" customWidth="1"/>
    <col min="3" max="3" width="8" bestFit="1" customWidth="1"/>
    <col min="4" max="4" width="14.85546875" bestFit="1" customWidth="1"/>
    <col min="5" max="5" width="27.710937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42578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x14ac:dyDescent="0.25">
      <c r="A2" s="25"/>
      <c r="B2" s="25" t="s">
        <v>38</v>
      </c>
      <c r="C2" s="25">
        <v>9444455</v>
      </c>
      <c r="D2" s="25" t="s">
        <v>140</v>
      </c>
      <c r="E2" s="25" t="s">
        <v>217</v>
      </c>
      <c r="F2" s="25" t="s">
        <v>244</v>
      </c>
      <c r="G2" t="s">
        <v>201</v>
      </c>
      <c r="H2" t="s">
        <v>196</v>
      </c>
      <c r="I2" t="s">
        <v>15</v>
      </c>
      <c r="J2" s="25">
        <v>15</v>
      </c>
      <c r="K2" s="25" t="s">
        <v>199</v>
      </c>
      <c r="L2" s="25"/>
      <c r="M2" s="26">
        <v>45903</v>
      </c>
      <c r="N2" s="25"/>
      <c r="O2" s="25" t="s">
        <v>225</v>
      </c>
      <c r="P2" s="25"/>
      <c r="Q2" s="25"/>
      <c r="R2" s="25"/>
      <c r="S2" s="26">
        <v>45929</v>
      </c>
      <c r="T2" s="26"/>
    </row>
    <row r="3" spans="1:20" x14ac:dyDescent="0.25">
      <c r="A3" s="25"/>
      <c r="B3" s="25" t="s">
        <v>38</v>
      </c>
      <c r="C3" s="25">
        <v>9755062</v>
      </c>
      <c r="D3" s="25" t="s">
        <v>287</v>
      </c>
      <c r="E3" s="25" t="s">
        <v>283</v>
      </c>
      <c r="F3" s="25" t="s">
        <v>286</v>
      </c>
      <c r="G3" t="s">
        <v>201</v>
      </c>
      <c r="H3" t="s">
        <v>196</v>
      </c>
      <c r="I3" t="s">
        <v>15</v>
      </c>
      <c r="J3" s="25">
        <v>70</v>
      </c>
      <c r="K3" s="25" t="s">
        <v>199</v>
      </c>
      <c r="L3" s="25"/>
      <c r="M3" s="26">
        <v>45904</v>
      </c>
      <c r="N3" s="25"/>
      <c r="O3" s="25" t="s">
        <v>116</v>
      </c>
      <c r="P3" s="25"/>
      <c r="Q3" s="25"/>
      <c r="R3" s="25"/>
      <c r="S3" s="26">
        <v>45929</v>
      </c>
      <c r="T3" s="26"/>
    </row>
    <row r="4" spans="1:20" x14ac:dyDescent="0.25">
      <c r="A4" s="25"/>
      <c r="B4" s="25" t="s">
        <v>38</v>
      </c>
      <c r="C4" s="25">
        <v>9488011</v>
      </c>
      <c r="D4" s="25" t="s">
        <v>285</v>
      </c>
      <c r="E4" s="25" t="s">
        <v>273</v>
      </c>
      <c r="F4" s="25" t="s">
        <v>286</v>
      </c>
      <c r="G4" t="s">
        <v>201</v>
      </c>
      <c r="H4" t="s">
        <v>196</v>
      </c>
      <c r="I4" t="s">
        <v>15</v>
      </c>
      <c r="J4" s="25">
        <v>100</v>
      </c>
      <c r="K4" s="25" t="s">
        <v>199</v>
      </c>
      <c r="L4" s="25"/>
      <c r="M4" s="26">
        <v>45905</v>
      </c>
      <c r="N4" s="25"/>
      <c r="O4" s="25" t="s">
        <v>105</v>
      </c>
      <c r="P4" s="25"/>
      <c r="Q4" s="25"/>
      <c r="R4" s="25"/>
      <c r="S4" s="26">
        <v>45929</v>
      </c>
      <c r="T4" s="26"/>
    </row>
    <row r="5" spans="1:20" x14ac:dyDescent="0.25">
      <c r="A5" s="25"/>
      <c r="B5" s="25" t="s">
        <v>38</v>
      </c>
      <c r="C5" s="25" t="s">
        <v>292</v>
      </c>
      <c r="D5" s="25" t="s">
        <v>293</v>
      </c>
      <c r="E5" s="25" t="s">
        <v>294</v>
      </c>
      <c r="F5" s="25" t="s">
        <v>298</v>
      </c>
      <c r="G5" t="s">
        <v>201</v>
      </c>
      <c r="H5" t="s">
        <v>196</v>
      </c>
      <c r="I5" t="s">
        <v>15</v>
      </c>
      <c r="J5" s="25">
        <v>12</v>
      </c>
      <c r="K5" s="25" t="s">
        <v>199</v>
      </c>
      <c r="L5" s="25"/>
      <c r="M5" s="26">
        <v>45905</v>
      </c>
      <c r="N5" s="25"/>
      <c r="O5" s="25" t="s">
        <v>111</v>
      </c>
      <c r="P5" s="25"/>
      <c r="Q5" s="25"/>
      <c r="R5" s="25"/>
      <c r="S5" s="26">
        <v>45929</v>
      </c>
      <c r="T5" s="26"/>
    </row>
    <row r="6" spans="1:20" x14ac:dyDescent="0.25">
      <c r="A6" s="25"/>
      <c r="B6" s="25" t="s">
        <v>38</v>
      </c>
      <c r="C6" s="25">
        <v>9441207</v>
      </c>
      <c r="D6" s="25" t="s">
        <v>300</v>
      </c>
      <c r="E6" s="25" t="s">
        <v>234</v>
      </c>
      <c r="F6" s="25" t="s">
        <v>298</v>
      </c>
      <c r="G6" t="s">
        <v>201</v>
      </c>
      <c r="H6" t="s">
        <v>196</v>
      </c>
      <c r="I6" t="s">
        <v>15</v>
      </c>
      <c r="J6" s="25">
        <v>60</v>
      </c>
      <c r="K6" s="25" t="s">
        <v>199</v>
      </c>
      <c r="L6" s="25"/>
      <c r="M6" s="26">
        <v>45905</v>
      </c>
      <c r="N6" s="25"/>
      <c r="O6" s="25" t="s">
        <v>113</v>
      </c>
      <c r="P6" s="25"/>
      <c r="Q6" s="25"/>
      <c r="R6" s="25"/>
      <c r="S6" s="26">
        <v>45929</v>
      </c>
      <c r="T6" s="26"/>
    </row>
    <row r="7" spans="1:20" x14ac:dyDescent="0.25">
      <c r="A7" s="25"/>
      <c r="B7" s="25" t="s">
        <v>38</v>
      </c>
      <c r="C7" s="25">
        <v>9444479</v>
      </c>
      <c r="D7" s="25" t="s">
        <v>52</v>
      </c>
      <c r="E7" s="25" t="s">
        <v>217</v>
      </c>
      <c r="F7" s="25" t="s">
        <v>286</v>
      </c>
      <c r="G7" t="s">
        <v>201</v>
      </c>
      <c r="H7" t="s">
        <v>196</v>
      </c>
      <c r="I7" t="s">
        <v>15</v>
      </c>
      <c r="J7" s="25">
        <v>15</v>
      </c>
      <c r="K7" s="25" t="s">
        <v>199</v>
      </c>
      <c r="L7" s="25"/>
      <c r="M7" s="26">
        <v>45909</v>
      </c>
      <c r="N7" s="25"/>
      <c r="O7" s="25"/>
      <c r="P7" s="25"/>
      <c r="Q7" s="25"/>
      <c r="R7" s="25"/>
      <c r="S7" s="26">
        <v>45929</v>
      </c>
      <c r="T7" s="26"/>
    </row>
    <row r="8" spans="1:20" x14ac:dyDescent="0.25">
      <c r="A8" s="25"/>
      <c r="B8" s="25" t="s">
        <v>38</v>
      </c>
      <c r="C8" s="25">
        <v>9795062</v>
      </c>
      <c r="D8" s="25" t="s">
        <v>291</v>
      </c>
      <c r="E8" s="25" t="s">
        <v>222</v>
      </c>
      <c r="F8" s="25" t="s">
        <v>286</v>
      </c>
      <c r="G8" t="s">
        <v>201</v>
      </c>
      <c r="H8" t="s">
        <v>196</v>
      </c>
      <c r="I8" t="s">
        <v>15</v>
      </c>
      <c r="J8" s="25">
        <v>60</v>
      </c>
      <c r="K8" s="25" t="s">
        <v>199</v>
      </c>
      <c r="L8" s="25"/>
      <c r="M8" s="26">
        <v>45913</v>
      </c>
      <c r="N8" s="25"/>
      <c r="O8" s="25"/>
      <c r="P8" s="25"/>
      <c r="Q8" s="25"/>
      <c r="R8" s="25"/>
      <c r="S8" s="26">
        <v>45929</v>
      </c>
      <c r="T8" s="26"/>
    </row>
    <row r="9" spans="1:20" x14ac:dyDescent="0.25">
      <c r="A9" s="25"/>
      <c r="B9" s="25" t="s">
        <v>38</v>
      </c>
      <c r="C9" s="25">
        <v>9394519</v>
      </c>
      <c r="D9" s="25" t="s">
        <v>53</v>
      </c>
      <c r="E9" s="25" t="s">
        <v>299</v>
      </c>
      <c r="F9" s="25" t="s">
        <v>286</v>
      </c>
      <c r="G9" t="s">
        <v>201</v>
      </c>
      <c r="H9" t="s">
        <v>196</v>
      </c>
      <c r="I9" t="s">
        <v>15</v>
      </c>
      <c r="J9" s="25">
        <v>16</v>
      </c>
      <c r="K9" s="25" t="s">
        <v>199</v>
      </c>
      <c r="L9" s="25"/>
      <c r="M9" s="26">
        <v>45913</v>
      </c>
      <c r="N9" s="25"/>
      <c r="O9" s="25"/>
      <c r="P9" s="25"/>
      <c r="Q9" s="25"/>
      <c r="R9" s="25"/>
      <c r="S9" s="26">
        <v>45929</v>
      </c>
      <c r="T9" s="26"/>
    </row>
    <row r="10" spans="1:20" x14ac:dyDescent="0.25">
      <c r="A10" s="25"/>
      <c r="B10" s="25" t="s">
        <v>38</v>
      </c>
      <c r="C10" s="25" t="s">
        <v>288</v>
      </c>
      <c r="D10" s="25" t="s">
        <v>289</v>
      </c>
      <c r="E10" s="25" t="s">
        <v>273</v>
      </c>
      <c r="F10" s="25" t="s">
        <v>286</v>
      </c>
      <c r="G10" t="s">
        <v>201</v>
      </c>
      <c r="H10" t="s">
        <v>196</v>
      </c>
      <c r="I10" t="s">
        <v>15</v>
      </c>
      <c r="J10" s="25">
        <v>100</v>
      </c>
      <c r="K10" s="25" t="s">
        <v>199</v>
      </c>
      <c r="L10" s="25"/>
      <c r="M10" s="26">
        <v>45918</v>
      </c>
      <c r="N10" s="25"/>
      <c r="O10" s="25" t="s">
        <v>113</v>
      </c>
      <c r="P10" s="25"/>
      <c r="Q10" s="25"/>
      <c r="R10" s="25"/>
      <c r="S10" s="26">
        <v>45929</v>
      </c>
      <c r="T10" s="26"/>
    </row>
    <row r="11" spans="1:20" x14ac:dyDescent="0.25">
      <c r="A11" s="25"/>
      <c r="B11" s="25" t="s">
        <v>38</v>
      </c>
      <c r="C11" s="25">
        <v>9441154</v>
      </c>
      <c r="D11" s="25" t="s">
        <v>297</v>
      </c>
      <c r="E11" s="25" t="s">
        <v>263</v>
      </c>
      <c r="F11" s="25" t="s">
        <v>286</v>
      </c>
      <c r="G11" t="s">
        <v>201</v>
      </c>
      <c r="H11" t="s">
        <v>196</v>
      </c>
      <c r="I11" t="s">
        <v>15</v>
      </c>
      <c r="J11" s="25">
        <v>60</v>
      </c>
      <c r="K11" s="25" t="s">
        <v>199</v>
      </c>
      <c r="L11" s="25"/>
      <c r="M11" s="26">
        <v>45918</v>
      </c>
      <c r="N11" s="25"/>
      <c r="O11" s="25"/>
      <c r="P11" s="25"/>
      <c r="Q11" s="25"/>
      <c r="R11" s="25"/>
      <c r="S11" s="26">
        <v>45929</v>
      </c>
      <c r="T11" s="26"/>
    </row>
    <row r="12" spans="1:20" x14ac:dyDescent="0.25">
      <c r="A12" s="25"/>
      <c r="B12" s="25" t="s">
        <v>38</v>
      </c>
      <c r="C12" s="25">
        <v>9444479</v>
      </c>
      <c r="D12" s="25" t="s">
        <v>52</v>
      </c>
      <c r="E12" s="25" t="s">
        <v>217</v>
      </c>
      <c r="F12" s="25" t="s">
        <v>286</v>
      </c>
      <c r="G12" t="s">
        <v>201</v>
      </c>
      <c r="H12" t="s">
        <v>196</v>
      </c>
      <c r="I12" t="s">
        <v>15</v>
      </c>
      <c r="J12" s="25">
        <v>15</v>
      </c>
      <c r="K12" s="25" t="s">
        <v>199</v>
      </c>
      <c r="L12" s="25"/>
      <c r="M12" s="26">
        <v>45926</v>
      </c>
      <c r="N12" s="25"/>
      <c r="O12" s="25"/>
      <c r="P12" s="25"/>
      <c r="Q12" s="25"/>
      <c r="R12" s="25"/>
      <c r="S12" s="26">
        <v>45929</v>
      </c>
      <c r="T12" s="26"/>
    </row>
    <row r="13" spans="1:20" ht="15.75" thickBot="1" x14ac:dyDescent="0.3">
      <c r="A13" s="25"/>
      <c r="B13" s="25" t="s">
        <v>38</v>
      </c>
      <c r="C13" s="25">
        <v>9913511</v>
      </c>
      <c r="D13" s="25" t="s">
        <v>295</v>
      </c>
      <c r="E13" s="25" t="s">
        <v>278</v>
      </c>
      <c r="F13" s="25" t="s">
        <v>286</v>
      </c>
      <c r="G13" t="s">
        <v>201</v>
      </c>
      <c r="H13" t="s">
        <v>196</v>
      </c>
      <c r="I13" t="s">
        <v>15</v>
      </c>
      <c r="J13" s="25">
        <v>110</v>
      </c>
      <c r="K13" s="25" t="s">
        <v>199</v>
      </c>
      <c r="L13" s="25"/>
      <c r="M13" s="26">
        <v>45927</v>
      </c>
      <c r="N13" s="25"/>
      <c r="O13" s="25" t="s">
        <v>116</v>
      </c>
      <c r="P13" s="25"/>
      <c r="Q13" s="25"/>
      <c r="R13" s="25"/>
      <c r="S13" s="26">
        <v>45929</v>
      </c>
      <c r="T13" s="26"/>
    </row>
    <row r="14" spans="1:20" ht="15.75" thickBot="1" x14ac:dyDescent="0.3">
      <c r="A14" s="28"/>
      <c r="B14" s="28" t="s">
        <v>37</v>
      </c>
      <c r="C14" s="29"/>
      <c r="D14" s="29"/>
      <c r="E14" s="30"/>
      <c r="F14" s="30"/>
      <c r="G14" s="30"/>
      <c r="H14" s="30"/>
      <c r="I14" s="30"/>
      <c r="J14" s="29">
        <f>SUM(J2:J13)</f>
        <v>633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8" spans="1:20" ht="18.75" x14ac:dyDescent="0.3">
      <c r="B18" s="47" t="s">
        <v>213</v>
      </c>
    </row>
    <row r="19" spans="1:20" x14ac:dyDescent="0.25">
      <c r="A19" s="5" t="s">
        <v>189</v>
      </c>
      <c r="B19" s="5" t="s">
        <v>0</v>
      </c>
      <c r="C19" s="38" t="s">
        <v>190</v>
      </c>
      <c r="D19" s="2" t="s">
        <v>191</v>
      </c>
      <c r="E19" s="2" t="s">
        <v>192</v>
      </c>
      <c r="F19" s="2" t="s">
        <v>193</v>
      </c>
      <c r="G19" s="2" t="s">
        <v>194</v>
      </c>
      <c r="H19" s="2" t="s">
        <v>195</v>
      </c>
      <c r="I19" s="2" t="s">
        <v>197</v>
      </c>
      <c r="J19" s="2" t="s">
        <v>200</v>
      </c>
      <c r="K19" s="2" t="s">
        <v>198</v>
      </c>
      <c r="L19" s="2" t="s">
        <v>202</v>
      </c>
      <c r="M19" s="2" t="s">
        <v>203</v>
      </c>
      <c r="N19" s="2" t="s">
        <v>204</v>
      </c>
      <c r="O19" s="2" t="s">
        <v>101</v>
      </c>
      <c r="P19" s="2" t="s">
        <v>205</v>
      </c>
      <c r="Q19" s="2" t="s">
        <v>206</v>
      </c>
      <c r="R19" s="2" t="s">
        <v>207</v>
      </c>
      <c r="S19" s="2" t="s">
        <v>208</v>
      </c>
      <c r="T19" s="2" t="s">
        <v>209</v>
      </c>
    </row>
    <row r="20" spans="1:20" ht="15.75" thickBot="1" x14ac:dyDescent="0.3">
      <c r="A20" s="25"/>
      <c r="B20" s="25" t="s">
        <v>38</v>
      </c>
      <c r="C20" s="25">
        <v>9529499</v>
      </c>
      <c r="D20" s="25" t="s">
        <v>290</v>
      </c>
      <c r="E20" s="25" t="s">
        <v>296</v>
      </c>
      <c r="F20" s="25" t="s">
        <v>286</v>
      </c>
      <c r="G20" t="s">
        <v>201</v>
      </c>
      <c r="H20" t="s">
        <v>196</v>
      </c>
      <c r="I20" t="s">
        <v>213</v>
      </c>
      <c r="J20" s="25">
        <v>100</v>
      </c>
      <c r="K20" s="25" t="s">
        <v>199</v>
      </c>
      <c r="L20" s="25"/>
      <c r="M20" s="26">
        <v>45915</v>
      </c>
      <c r="N20" s="25"/>
      <c r="O20" s="25" t="s">
        <v>116</v>
      </c>
      <c r="P20" s="25"/>
      <c r="Q20" s="25"/>
      <c r="R20" s="25"/>
      <c r="S20" s="26">
        <v>45929</v>
      </c>
      <c r="T20" s="26"/>
    </row>
    <row r="21" spans="1:20" ht="15.75" thickBot="1" x14ac:dyDescent="0.3">
      <c r="A21" s="28"/>
      <c r="B21" s="28" t="s">
        <v>37</v>
      </c>
      <c r="C21" s="29"/>
      <c r="D21" s="29"/>
      <c r="E21" s="30"/>
      <c r="F21" s="30"/>
      <c r="G21" s="30"/>
      <c r="H21" s="30"/>
      <c r="I21" s="30"/>
      <c r="J21" s="29">
        <f>SUM(J20:J20)</f>
        <v>100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</row>
  </sheetData>
  <autoFilter ref="A1:T1" xr:uid="{304BE1B2-9435-47A8-B464-1E4677A9EC9E}">
    <sortState xmlns:xlrd2="http://schemas.microsoft.com/office/spreadsheetml/2017/richdata2" ref="A2:T14">
      <sortCondition ref="M1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F038-F26E-4DE2-86FE-A395956A8878}">
  <dimension ref="A1:T17"/>
  <sheetViews>
    <sheetView tabSelected="1" workbookViewId="0">
      <selection activeCell="F26" sqref="F26:F27"/>
    </sheetView>
  </sheetViews>
  <sheetFormatPr defaultRowHeight="15" x14ac:dyDescent="0.25"/>
  <cols>
    <col min="1" max="1" width="4.28515625" bestFit="1" customWidth="1"/>
    <col min="2" max="2" width="14.140625" bestFit="1" customWidth="1"/>
    <col min="3" max="3" width="8" bestFit="1" customWidth="1"/>
    <col min="4" max="4" width="18.140625" bestFit="1" customWidth="1"/>
    <col min="5" max="5" width="27.7109375" bestFit="1" customWidth="1"/>
    <col min="6" max="6" width="15" bestFit="1" customWidth="1"/>
    <col min="7" max="7" width="6.5703125" bestFit="1" customWidth="1"/>
    <col min="8" max="8" width="7.85546875" bestFit="1" customWidth="1"/>
    <col min="9" max="9" width="13.42578125" bestFit="1" customWidth="1"/>
    <col min="10" max="10" width="8.7109375" bestFit="1" customWidth="1"/>
    <col min="11" max="11" width="4.85546875" bestFit="1" customWidth="1"/>
    <col min="12" max="12" width="3" bestFit="1" customWidth="1"/>
    <col min="13" max="13" width="10.140625" bestFit="1" customWidth="1"/>
    <col min="14" max="14" width="8.42578125" bestFit="1" customWidth="1"/>
    <col min="15" max="15" width="9.42578125" bestFit="1" customWidth="1"/>
    <col min="16" max="16" width="8.7109375" bestFit="1" customWidth="1"/>
    <col min="17" max="17" width="8.5703125" bestFit="1" customWidth="1"/>
    <col min="18" max="18" width="11.42578125" bestFit="1" customWidth="1"/>
    <col min="19" max="19" width="13.28515625" bestFit="1" customWidth="1"/>
    <col min="20" max="20" width="19" bestFit="1" customWidth="1"/>
  </cols>
  <sheetData>
    <row r="1" spans="1:20" x14ac:dyDescent="0.25">
      <c r="A1" s="5" t="s">
        <v>189</v>
      </c>
      <c r="B1" s="5" t="s">
        <v>0</v>
      </c>
      <c r="C1" s="38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197</v>
      </c>
      <c r="J1" s="2" t="s">
        <v>200</v>
      </c>
      <c r="K1" s="2" t="s">
        <v>198</v>
      </c>
      <c r="L1" s="2" t="s">
        <v>202</v>
      </c>
      <c r="M1" s="2" t="s">
        <v>203</v>
      </c>
      <c r="N1" s="2" t="s">
        <v>204</v>
      </c>
      <c r="O1" s="2" t="s">
        <v>101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</row>
    <row r="2" spans="1:20" x14ac:dyDescent="0.25">
      <c r="A2" s="25"/>
      <c r="B2" s="25" t="s">
        <v>38</v>
      </c>
      <c r="C2" s="25">
        <v>9444455</v>
      </c>
      <c r="D2" s="25" t="s">
        <v>140</v>
      </c>
      <c r="E2" s="25" t="s">
        <v>217</v>
      </c>
      <c r="F2" s="25" t="s">
        <v>286</v>
      </c>
      <c r="G2" t="s">
        <v>201</v>
      </c>
      <c r="H2" t="s">
        <v>196</v>
      </c>
      <c r="I2" t="s">
        <v>15</v>
      </c>
      <c r="J2" s="25">
        <v>15</v>
      </c>
      <c r="K2" s="25" t="s">
        <v>199</v>
      </c>
      <c r="L2" s="25"/>
      <c r="M2" s="26">
        <v>45931</v>
      </c>
      <c r="N2" s="25"/>
      <c r="O2" s="25"/>
      <c r="P2" s="25"/>
      <c r="Q2" s="25"/>
      <c r="R2" s="25"/>
      <c r="S2" s="26">
        <v>45950</v>
      </c>
      <c r="T2" s="26"/>
    </row>
    <row r="3" spans="1:20" x14ac:dyDescent="0.25">
      <c r="A3" s="25"/>
      <c r="B3" s="25" t="s">
        <v>38</v>
      </c>
      <c r="C3" s="25">
        <v>9826732</v>
      </c>
      <c r="D3" s="25" t="s">
        <v>143</v>
      </c>
      <c r="E3" s="25" t="s">
        <v>252</v>
      </c>
      <c r="F3" s="25" t="s">
        <v>286</v>
      </c>
      <c r="G3" t="s">
        <v>201</v>
      </c>
      <c r="H3" t="s">
        <v>196</v>
      </c>
      <c r="I3" t="s">
        <v>15</v>
      </c>
      <c r="J3" s="25">
        <v>100</v>
      </c>
      <c r="K3" s="25" t="s">
        <v>199</v>
      </c>
      <c r="L3" s="25"/>
      <c r="M3" s="26">
        <v>45934</v>
      </c>
      <c r="N3" s="25"/>
      <c r="O3" s="25" t="s">
        <v>116</v>
      </c>
      <c r="P3" s="25"/>
      <c r="Q3" s="25"/>
      <c r="R3" s="25"/>
      <c r="S3" s="26">
        <v>45950</v>
      </c>
      <c r="T3" s="26"/>
    </row>
    <row r="4" spans="1:20" x14ac:dyDescent="0.25">
      <c r="A4" s="25"/>
      <c r="B4" s="25" t="s">
        <v>38</v>
      </c>
      <c r="C4" s="25">
        <v>9444479</v>
      </c>
      <c r="D4" s="25" t="s">
        <v>52</v>
      </c>
      <c r="E4" s="25" t="s">
        <v>217</v>
      </c>
      <c r="F4" s="25" t="s">
        <v>286</v>
      </c>
      <c r="G4" t="s">
        <v>201</v>
      </c>
      <c r="H4" t="s">
        <v>196</v>
      </c>
      <c r="I4" t="s">
        <v>15</v>
      </c>
      <c r="J4" s="25">
        <v>15</v>
      </c>
      <c r="K4" s="25" t="s">
        <v>199</v>
      </c>
      <c r="L4" s="25"/>
      <c r="M4" s="26">
        <v>45937</v>
      </c>
      <c r="N4" s="25"/>
      <c r="O4" s="25"/>
      <c r="P4" s="25"/>
      <c r="Q4" s="25"/>
      <c r="R4" s="25"/>
      <c r="S4" s="26">
        <v>45950</v>
      </c>
      <c r="T4" s="26"/>
    </row>
    <row r="5" spans="1:20" x14ac:dyDescent="0.25">
      <c r="A5" s="25"/>
      <c r="B5" s="25" t="s">
        <v>38</v>
      </c>
      <c r="C5" s="25">
        <v>9441154</v>
      </c>
      <c r="D5" s="25" t="s">
        <v>297</v>
      </c>
      <c r="E5" s="25" t="s">
        <v>303</v>
      </c>
      <c r="F5" s="25" t="s">
        <v>286</v>
      </c>
      <c r="G5" t="s">
        <v>201</v>
      </c>
      <c r="H5" t="s">
        <v>196</v>
      </c>
      <c r="I5" t="s">
        <v>15</v>
      </c>
      <c r="J5" s="25">
        <v>50</v>
      </c>
      <c r="K5" s="25" t="s">
        <v>199</v>
      </c>
      <c r="L5" s="25"/>
      <c r="M5" s="26">
        <v>45947</v>
      </c>
      <c r="N5" s="25"/>
      <c r="O5" s="25"/>
      <c r="P5" s="25"/>
      <c r="Q5" s="25"/>
      <c r="R5" s="25"/>
      <c r="S5" s="26">
        <v>45950</v>
      </c>
      <c r="T5" s="26"/>
    </row>
    <row r="6" spans="1:20" x14ac:dyDescent="0.25">
      <c r="A6" s="25"/>
      <c r="B6" s="25" t="s">
        <v>38</v>
      </c>
      <c r="C6" s="25">
        <v>9831024</v>
      </c>
      <c r="D6" s="25" t="s">
        <v>120</v>
      </c>
      <c r="E6" s="25" t="s">
        <v>217</v>
      </c>
      <c r="F6" s="25" t="s">
        <v>286</v>
      </c>
      <c r="G6" t="s">
        <v>201</v>
      </c>
      <c r="H6" t="s">
        <v>196</v>
      </c>
      <c r="I6" t="s">
        <v>15</v>
      </c>
      <c r="J6" s="25">
        <v>15</v>
      </c>
      <c r="K6" s="25" t="s">
        <v>199</v>
      </c>
      <c r="L6" s="25"/>
      <c r="M6" s="26">
        <v>45948</v>
      </c>
      <c r="N6" s="25"/>
      <c r="O6" s="25"/>
      <c r="P6" s="25"/>
      <c r="Q6" s="25"/>
      <c r="R6" s="25"/>
      <c r="S6" s="26">
        <v>45950</v>
      </c>
      <c r="T6" s="26"/>
    </row>
    <row r="7" spans="1:20" x14ac:dyDescent="0.25">
      <c r="A7" s="25"/>
      <c r="B7" s="25" t="s">
        <v>117</v>
      </c>
      <c r="C7" s="25">
        <v>9818058</v>
      </c>
      <c r="D7" s="25" t="s">
        <v>302</v>
      </c>
      <c r="E7" s="25" t="s">
        <v>222</v>
      </c>
      <c r="F7" s="25" t="s">
        <v>286</v>
      </c>
      <c r="G7" t="s">
        <v>201</v>
      </c>
      <c r="H7" t="s">
        <v>196</v>
      </c>
      <c r="I7" t="s">
        <v>15</v>
      </c>
      <c r="J7" s="25">
        <v>100</v>
      </c>
      <c r="K7" s="25" t="s">
        <v>199</v>
      </c>
      <c r="L7" s="25"/>
      <c r="M7" s="26">
        <v>45950</v>
      </c>
      <c r="N7" s="25"/>
      <c r="O7" s="25"/>
      <c r="P7" s="25"/>
      <c r="Q7" s="25"/>
      <c r="R7" s="25"/>
      <c r="S7" s="26">
        <v>45950</v>
      </c>
      <c r="T7" s="26"/>
    </row>
    <row r="8" spans="1:20" x14ac:dyDescent="0.25">
      <c r="A8" s="25"/>
      <c r="B8" s="25" t="s">
        <v>117</v>
      </c>
      <c r="C8" s="25">
        <v>9316232</v>
      </c>
      <c r="D8" s="25" t="s">
        <v>301</v>
      </c>
      <c r="E8" s="25" t="s">
        <v>219</v>
      </c>
      <c r="F8" s="25" t="s">
        <v>286</v>
      </c>
      <c r="G8" t="s">
        <v>201</v>
      </c>
      <c r="H8" t="s">
        <v>196</v>
      </c>
      <c r="I8" t="s">
        <v>15</v>
      </c>
      <c r="J8" s="25">
        <v>55</v>
      </c>
      <c r="K8" s="25" t="s">
        <v>199</v>
      </c>
      <c r="L8" s="25"/>
      <c r="M8" s="26">
        <v>45950</v>
      </c>
      <c r="N8" s="25"/>
      <c r="O8" s="25"/>
      <c r="P8" s="25"/>
      <c r="Q8" s="25"/>
      <c r="R8" s="25"/>
      <c r="S8" s="26">
        <v>45950</v>
      </c>
      <c r="T8" s="26"/>
    </row>
    <row r="9" spans="1:20" ht="15.75" thickBot="1" x14ac:dyDescent="0.3">
      <c r="A9" s="25"/>
      <c r="B9" s="25" t="s">
        <v>73</v>
      </c>
      <c r="C9" s="25">
        <v>9444455</v>
      </c>
      <c r="D9" s="25" t="s">
        <v>140</v>
      </c>
      <c r="E9" s="25" t="s">
        <v>217</v>
      </c>
      <c r="F9" s="25" t="s">
        <v>286</v>
      </c>
      <c r="G9" t="s">
        <v>201</v>
      </c>
      <c r="H9" t="s">
        <v>196</v>
      </c>
      <c r="I9" t="s">
        <v>15</v>
      </c>
      <c r="J9" s="25">
        <v>15</v>
      </c>
      <c r="K9" s="25" t="s">
        <v>199</v>
      </c>
      <c r="L9" s="25"/>
      <c r="M9" s="26">
        <v>45951</v>
      </c>
      <c r="N9" s="25"/>
      <c r="O9" s="25"/>
      <c r="P9" s="25"/>
      <c r="Q9" s="25"/>
      <c r="R9" s="25"/>
      <c r="S9" s="26">
        <v>45950</v>
      </c>
      <c r="T9" s="26"/>
    </row>
    <row r="10" spans="1:20" ht="15.75" thickBot="1" x14ac:dyDescent="0.3">
      <c r="A10" s="28"/>
      <c r="B10" s="28" t="s">
        <v>37</v>
      </c>
      <c r="C10" s="29"/>
      <c r="D10" s="29"/>
      <c r="E10" s="30"/>
      <c r="F10" s="30"/>
      <c r="G10" s="30"/>
      <c r="H10" s="30"/>
      <c r="I10" s="30"/>
      <c r="J10" s="29">
        <f>SUM(J2:J9)</f>
        <v>365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4" spans="1:20" ht="18.75" x14ac:dyDescent="0.3">
      <c r="B14" s="47" t="s">
        <v>213</v>
      </c>
    </row>
    <row r="15" spans="1:20" x14ac:dyDescent="0.25">
      <c r="A15" s="5" t="s">
        <v>189</v>
      </c>
      <c r="B15" s="5" t="s">
        <v>0</v>
      </c>
      <c r="C15" s="38" t="s">
        <v>190</v>
      </c>
      <c r="D15" s="2" t="s">
        <v>191</v>
      </c>
      <c r="E15" s="2" t="s">
        <v>192</v>
      </c>
      <c r="F15" s="2" t="s">
        <v>193</v>
      </c>
      <c r="G15" s="2" t="s">
        <v>194</v>
      </c>
      <c r="H15" s="2" t="s">
        <v>195</v>
      </c>
      <c r="I15" s="2" t="s">
        <v>197</v>
      </c>
      <c r="J15" s="2" t="s">
        <v>200</v>
      </c>
      <c r="K15" s="2" t="s">
        <v>198</v>
      </c>
      <c r="L15" s="2" t="s">
        <v>202</v>
      </c>
      <c r="M15" s="2" t="s">
        <v>203</v>
      </c>
      <c r="N15" s="2" t="s">
        <v>204</v>
      </c>
      <c r="O15" s="2" t="s">
        <v>101</v>
      </c>
      <c r="P15" s="2" t="s">
        <v>205</v>
      </c>
      <c r="Q15" s="2" t="s">
        <v>206</v>
      </c>
      <c r="R15" s="2" t="s">
        <v>207</v>
      </c>
      <c r="S15" s="2" t="s">
        <v>208</v>
      </c>
      <c r="T15" s="2" t="s">
        <v>209</v>
      </c>
    </row>
    <row r="16" spans="1:20" ht="15.75" thickBot="1" x14ac:dyDescent="0.3">
      <c r="A16" s="25"/>
      <c r="B16" s="25"/>
      <c r="C16" s="25"/>
      <c r="D16" s="25"/>
      <c r="E16" s="25"/>
      <c r="F16" s="25"/>
      <c r="J16" s="25"/>
      <c r="K16" s="25"/>
      <c r="L16" s="25"/>
      <c r="M16" s="26"/>
      <c r="N16" s="25"/>
      <c r="O16" s="25"/>
      <c r="P16" s="25"/>
      <c r="Q16" s="25"/>
      <c r="R16" s="25"/>
      <c r="S16" s="26"/>
      <c r="T16" s="26"/>
    </row>
    <row r="17" spans="1:20" ht="15.75" thickBot="1" x14ac:dyDescent="0.3">
      <c r="A17" s="28"/>
      <c r="B17" s="28" t="s">
        <v>37</v>
      </c>
      <c r="C17" s="29"/>
      <c r="D17" s="29"/>
      <c r="E17" s="30"/>
      <c r="F17" s="30"/>
      <c r="G17" s="30"/>
      <c r="H17" s="30"/>
      <c r="I17" s="30"/>
      <c r="J17" s="29">
        <f>SUM(J16:J16)</f>
        <v>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</row>
  </sheetData>
  <autoFilter ref="A1:T1" xr:uid="{77AFF038-F26E-4DE2-86FE-A395956A8878}">
    <sortState xmlns:xlrd2="http://schemas.microsoft.com/office/spreadsheetml/2017/richdata2" ref="A2:T10">
      <sortCondition ref="M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October</vt:lpstr>
      <vt:lpstr>November</vt:lpstr>
      <vt:lpstr>December</vt:lpstr>
      <vt:lpstr>January</vt:lpstr>
      <vt:lpstr>February</vt:lpstr>
      <vt:lpstr>March</vt:lpstr>
      <vt:lpstr>March bis</vt:lpstr>
      <vt:lpstr>April</vt:lpstr>
      <vt:lpstr>May</vt:lpstr>
      <vt:lpstr>June</vt:lpstr>
      <vt:lpstr>July</vt:lpstr>
      <vt:lpstr>August</vt:lpstr>
      <vt:lpstr>September</vt:lpstr>
      <vt:lpstr>October 25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2024-10-08T07:16:09Z</dcterms:created>
  <dcterms:modified xsi:type="dcterms:W3CDTF">2025-10-20T09:24:07Z</dcterms:modified>
</cp:coreProperties>
</file>